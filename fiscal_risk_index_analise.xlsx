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GitHub\fiscal-risk-model\"/>
    </mc:Choice>
  </mc:AlternateContent>
  <bookViews>
    <workbookView xWindow="0" yWindow="0" windowWidth="20490" windowHeight="7035" activeTab="1"/>
  </bookViews>
  <sheets>
    <sheet name="Plan2" sheetId="3" r:id="rId1"/>
    <sheet name="Plan3" sheetId="4" r:id="rId2"/>
    <sheet name="ratings" sheetId="5" r:id="rId3"/>
  </sheets>
  <definedNames>
    <definedName name="_xlnm._FilterDatabase" localSheetId="1" hidden="1">Plan3!$A$1:$Q$1</definedName>
    <definedName name="fiscal_risk_index" localSheetId="0">Plan2!$B$2:$V$1858</definedName>
    <definedName name="fiscal_risk_index_1" localSheetId="0">Plan2!$B$2:$V$1858</definedName>
    <definedName name="fiscal_risk_index_2" localSheetId="0">Plan2!$B$2:$V$1330</definedName>
    <definedName name="fiscal_risk_index_3" localSheetId="0">Plan2!$B$2:$V$1874</definedName>
  </definedNames>
  <calcPr calcId="152511"/>
</workbook>
</file>

<file path=xl/calcChain.xml><?xml version="1.0" encoding="utf-8"?>
<calcChain xmlns="http://schemas.openxmlformats.org/spreadsheetml/2006/main">
  <c r="S3" i="4" l="1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2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B2" i="4"/>
  <c r="A4" i="3" l="1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3" i="3"/>
</calcChain>
</file>

<file path=xl/connections.xml><?xml version="1.0" encoding="utf-8"?>
<connections xmlns="http://schemas.openxmlformats.org/spreadsheetml/2006/main">
  <connection id="1" name="fiscal_risk_index" type="6" refreshedVersion="5" background="1" saveData="1">
    <textPr codePage="850" sourceFile="C:\Users\usuario\Documents\GitHub\fiscal-risk-model\fiscal_risk_index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fiscal_risk_index1" type="6" refreshedVersion="5" background="1">
    <textPr codePage="850" sourceFile="C:\Users\usuario\Documents\GitHub\fiscal-risk-model\fiscal_risk_index.csv" comma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fiscal_risk_index2" type="6" refreshedVersion="5" background="1" saveData="1">
    <textPr codePage="850" sourceFile="C:\Users\usuario\Documents\GitHub\fiscal-risk-model\fiscal_risk_index.csv" comma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fiscal_risk_index3" type="6" refreshedVersion="5" background="1" saveData="1">
    <textPr codePage="850" sourceFile="C:\Users\usuario\Documents\GitHub\fiscal-risk-model\fiscal_risk_index.csv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fiscal_risk_index4" type="6" refreshedVersion="5" background="1" saveData="1">
    <textPr codePage="850" sourceFile="C:\Users\usuario\Documents\GitHub\fiscal-risk-model\fiscal_risk_index.csv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<sst xmlns="http://schemas.openxmlformats.org/spreadsheetml/2006/main" count="4498" uniqueCount="458">
  <si>
    <t>country_code</t>
  </si>
  <si>
    <t>country</t>
  </si>
  <si>
    <t>year</t>
  </si>
  <si>
    <t>gdp_per_capita</t>
  </si>
  <si>
    <t>real_gdp_growth</t>
  </si>
  <si>
    <t>inflation_rate</t>
  </si>
  <si>
    <t>compulsory_education_years</t>
  </si>
  <si>
    <t>population_65_plus_pct</t>
  </si>
  <si>
    <t>unemployment_rate</t>
  </si>
  <si>
    <t>gdp_deflator_inflation</t>
  </si>
  <si>
    <t>age_dependency_ratio</t>
  </si>
  <si>
    <t>gross_capital_formation_pct_gdp</t>
  </si>
  <si>
    <t>total_reserves_months_imports</t>
  </si>
  <si>
    <t>savings_pct_gdp</t>
  </si>
  <si>
    <t>exports_pct_gdp</t>
  </si>
  <si>
    <t>fiscal_balance_pct_gdp</t>
  </si>
  <si>
    <t>gross_debt_pct_gdp</t>
  </si>
  <si>
    <t>fiscal_risk_index</t>
  </si>
  <si>
    <t>fiscal_risk_index_100</t>
  </si>
  <si>
    <t>AFG</t>
  </si>
  <si>
    <t>Afghanistan</t>
  </si>
  <si>
    <t>ALB</t>
  </si>
  <si>
    <t>Albania</t>
  </si>
  <si>
    <t>AGO</t>
  </si>
  <si>
    <t>Angola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</si>
  <si>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</si>
  <si>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</si>
  <si>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</si>
  <si>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</si>
  <si>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</si>
  <si>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</si>
  <si>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</si>
  <si>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</si>
  <si>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</si>
  <si>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</si>
  <si>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</si>
  <si>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</si>
  <si>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</si>
  <si>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</si>
  <si>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</si>
  <si>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</si>
  <si>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BLR</t>
  </si>
  <si>
    <t>Belarus</t>
  </si>
  <si>
    <t>BEL</t>
  </si>
  <si>
    <t>Belgium</t>
  </si>
  <si>
    <t>BLZ</t>
  </si>
  <si>
    <t>Belize</t>
  </si>
  <si>
    <t>BIH</t>
  </si>
  <si>
    <t>Bosnia and Herzegovina</t>
  </si>
  <si>
    <t>BRA</t>
  </si>
  <si>
    <t>Brazil</t>
  </si>
  <si>
    <t>BGR</t>
  </si>
  <si>
    <t>Bulgaria</t>
  </si>
  <si>
    <t>CPV</t>
  </si>
  <si>
    <t>Cabo Verde</t>
  </si>
  <si>
    <t>CMR</t>
  </si>
  <si>
    <t>Cameroon</t>
  </si>
  <si>
    <t>CAN</t>
  </si>
  <si>
    <t>Canada</t>
  </si>
  <si>
    <t>CHL</t>
  </si>
  <si>
    <t>Chile</t>
  </si>
  <si>
    <t>COL</t>
  </si>
  <si>
    <t>Colombia</t>
  </si>
  <si>
    <t>COD</t>
  </si>
  <si>
    <t>Congo, Dem. Rep.</t>
  </si>
  <si>
    <t>COG</t>
  </si>
  <si>
    <t>Congo, Rep.</t>
  </si>
  <si>
    <t>CRI</t>
  </si>
  <si>
    <t>Costa Rica</t>
  </si>
  <si>
    <t>HRV</t>
  </si>
  <si>
    <t>Croatia</t>
  </si>
  <si>
    <t>CYP</t>
  </si>
  <si>
    <t>Cyprus</t>
  </si>
  <si>
    <t>CZE</t>
  </si>
  <si>
    <t>Czechia</t>
  </si>
  <si>
    <t>DNK</t>
  </si>
  <si>
    <t>Denmark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</si>
  <si>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</si>
  <si>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</si>
  <si>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</si>
  <si>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</si>
  <si>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</si>
  <si>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</si>
  <si>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</si>
  <si>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</si>
  <si>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EST</t>
  </si>
  <si>
    <t>Estonia</t>
  </si>
  <si>
    <t>SWZ</t>
  </si>
  <si>
    <t>Eswatini</t>
  </si>
  <si>
    <t>ETH</t>
  </si>
  <si>
    <t>Ethiopia</t>
  </si>
  <si>
    <t>FIN</t>
  </si>
  <si>
    <t>Finland</t>
  </si>
  <si>
    <t>FRA</t>
  </si>
  <si>
    <t>France</t>
  </si>
  <si>
    <t>GAB</t>
  </si>
  <si>
    <t>Gabon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</si>
  <si>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</si>
  <si>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</si>
  <si>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</si>
  <si>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</si>
  <si>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</si>
  <si>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</si>
  <si>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</si>
  <si>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</si>
  <si>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GTM</t>
  </si>
  <si>
    <t>Guatemala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</si>
  <si>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</si>
  <si>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</si>
  <si>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</si>
  <si>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</si>
  <si>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</si>
  <si>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</si>
  <si>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</si>
  <si>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</si>
  <si>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IRQ</t>
  </si>
  <si>
    <t>Iraq</t>
  </si>
  <si>
    <t>IRL</t>
  </si>
  <si>
    <t>Ireland</t>
  </si>
  <si>
    <t>ISR</t>
  </si>
  <si>
    <t>Israel</t>
  </si>
  <si>
    <t>ITA</t>
  </si>
  <si>
    <t>Italy</t>
  </si>
  <si>
    <t>JOR</t>
  </si>
  <si>
    <t>Jordan</t>
  </si>
  <si>
    <t>KAZ</t>
  </si>
  <si>
    <t>Kazakhstan</t>
  </si>
  <si>
    <t>KEN</t>
  </si>
  <si>
    <t>Kenya</t>
  </si>
  <si>
    <t>KOR</t>
  </si>
  <si>
    <t>Korea, Rep.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</si>
  <si>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</si>
  <si>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</si>
  <si>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</si>
  <si>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</si>
  <si>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</si>
  <si>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</si>
  <si>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</si>
  <si>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</si>
  <si>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</si>
  <si>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</si>
  <si>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LTU</t>
  </si>
  <si>
    <t>Lithuania</t>
  </si>
  <si>
    <t>LUX</t>
  </si>
  <si>
    <t>Luxembourg</t>
  </si>
  <si>
    <t>MAC</t>
  </si>
  <si>
    <t>Macao SAR,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</si>
  <si>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</si>
  <si>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</si>
  <si>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</si>
  <si>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</si>
  <si>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</si>
  <si>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</si>
  <si>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</si>
  <si>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</si>
  <si>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MLT</t>
  </si>
  <si>
    <t>Malta</t>
  </si>
  <si>
    <t>MUS</t>
  </si>
  <si>
    <t>Mauritius</t>
  </si>
  <si>
    <t>MEX</t>
  </si>
  <si>
    <t>Mexico</t>
  </si>
  <si>
    <t>MDA</t>
  </si>
  <si>
    <t>Moldova</t>
  </si>
  <si>
    <t>MNG</t>
  </si>
  <si>
    <t>Mongolia</t>
  </si>
  <si>
    <t>MAR</t>
  </si>
  <si>
    <t>Morocco</t>
  </si>
  <si>
    <t>NAM</t>
  </si>
  <si>
    <t>Namibia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</si>
  <si>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</si>
  <si>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</si>
  <si>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</si>
  <si>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</si>
  <si>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</si>
  <si>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</si>
  <si>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</si>
  <si>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</si>
  <si>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MKD</t>
  </si>
  <si>
    <t>North Macedonia</t>
  </si>
  <si>
    <t>NOR</t>
  </si>
  <si>
    <t>Norway</t>
  </si>
  <si>
    <t>PAN</t>
  </si>
  <si>
    <t>Panama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</si>
  <si>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</si>
  <si>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</si>
  <si>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</si>
  <si>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</si>
  <si>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</si>
  <si>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</si>
  <si>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</si>
  <si>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</si>
  <si>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</si>
  <si>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</si>
  <si>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</si>
  <si>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</si>
  <si>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</si>
  <si>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</si>
  <si>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</si>
  <si>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</si>
  <si>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</si>
  <si>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</si>
  <si>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SRB</t>
  </si>
  <si>
    <t>Serbia</t>
  </si>
  <si>
    <t>SVK</t>
  </si>
  <si>
    <t>Slovak Republic</t>
  </si>
  <si>
    <t>SVN</t>
  </si>
  <si>
    <t>Slovenia</t>
  </si>
  <si>
    <t>ZAF</t>
  </si>
  <si>
    <t>South Africa</t>
  </si>
  <si>
    <t>ESP</t>
  </si>
  <si>
    <t>Spain</t>
  </si>
  <si>
    <t>LKA</t>
  </si>
  <si>
    <t>Sri Lanka</t>
  </si>
  <si>
    <t>SDN</t>
  </si>
  <si>
    <t>Sudan</t>
  </si>
  <si>
    <t>SWE</t>
  </si>
  <si>
    <t>Sweden</t>
  </si>
  <si>
    <t>CHE</t>
  </si>
  <si>
    <t>Switzerland</t>
  </si>
  <si>
    <t>TJK</t>
  </si>
  <si>
    <t>Tajikistan</t>
  </si>
  <si>
    <t>TZA</t>
  </si>
  <si>
    <t>Tanzania</t>
  </si>
  <si>
    <t>THA</t>
  </si>
  <si>
    <t>Thailand</t>
  </si>
  <si>
    <t>TON</t>
  </si>
  <si>
    <t>Tonga</t>
  </si>
  <si>
    <t>TUN</t>
  </si>
  <si>
    <t>Tunisia</t>
  </si>
  <si>
    <t>TUR</t>
  </si>
  <si>
    <t>Turkiye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</si>
  <si>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</si>
  <si>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</si>
  <si>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</si>
  <si>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</si>
  <si>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</si>
  <si>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</si>
  <si>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</si>
  <si>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</si>
  <si>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</si>
  <si>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</si>
  <si>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</si>
  <si>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</si>
  <si>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</si>
  <si>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</si>
  <si>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ZMB</t>
  </si>
  <si>
    <t>Zambia</t>
  </si>
  <si>
    <t>ZWE</t>
  </si>
  <si>
    <t>Zimbabwe</t>
  </si>
  <si>
    <t>government_expenditure_pct_gdp</t>
  </si>
  <si>
    <t>government_revenue_pct_gdp</t>
  </si>
  <si>
    <t>WSM</t>
  </si>
  <si>
    <t>Samoa</t>
  </si>
  <si>
    <t>SGP</t>
  </si>
  <si>
    <t>Singapore</t>
  </si>
  <si>
    <t>S&amp;P</t>
  </si>
  <si>
    <t>Moody's</t>
  </si>
  <si>
    <t>DBRS</t>
  </si>
  <si>
    <t>TE</t>
  </si>
  <si>
    <t>Austrália</t>
  </si>
  <si>
    <t>AAA</t>
  </si>
  <si>
    <t>Aaa</t>
  </si>
  <si>
    <t>Canadá</t>
  </si>
  <si>
    <t>Dinamarca</t>
  </si>
  <si>
    <t>Alemanha</t>
  </si>
  <si>
    <t>Liechtenstein</t>
  </si>
  <si>
    <t>Luxemburgo</t>
  </si>
  <si>
    <t>Holanda</t>
  </si>
  <si>
    <t>Noruega</t>
  </si>
  <si>
    <t>Suíça</t>
  </si>
  <si>
    <t>Suécia</t>
  </si>
  <si>
    <t>Cingapura</t>
  </si>
  <si>
    <t>União Europeia</t>
  </si>
  <si>
    <t>AA+</t>
  </si>
  <si>
    <t>Nova Zelândia</t>
  </si>
  <si>
    <t>Estados Unidos</t>
  </si>
  <si>
    <t>Aa1</t>
  </si>
  <si>
    <t>Áustria</t>
  </si>
  <si>
    <t>Finlândia</t>
  </si>
  <si>
    <t>AA (high)</t>
  </si>
  <si>
    <t>Taiwan</t>
  </si>
  <si>
    <t>Aa3</t>
  </si>
  <si>
    <t>Emirados Árabes Unidos</t>
  </si>
  <si>
    <t>AA</t>
  </si>
  <si>
    <t>Aa2</t>
  </si>
  <si>
    <t>Hong Kong</t>
  </si>
  <si>
    <t>Irlanda</t>
  </si>
  <si>
    <t>Catar</t>
  </si>
  <si>
    <t>Ilha do Homem</t>
  </si>
  <si>
    <t>N/A</t>
  </si>
  <si>
    <t>Macau</t>
  </si>
  <si>
    <t>Reino Unido</t>
  </si>
  <si>
    <t>Coréia Do Sul</t>
  </si>
  <si>
    <t>Bélgica</t>
  </si>
  <si>
    <t>AA-</t>
  </si>
  <si>
    <t>A1</t>
  </si>
  <si>
    <t>Ilhas Caimã</t>
  </si>
  <si>
    <t>República Tcheca</t>
  </si>
  <si>
    <t>França</t>
  </si>
  <si>
    <t>A+</t>
  </si>
  <si>
    <t>Kuweit</t>
  </si>
  <si>
    <t>Estônia</t>
  </si>
  <si>
    <t>NR</t>
  </si>
  <si>
    <t>AA (low)</t>
  </si>
  <si>
    <t>Islândia</t>
  </si>
  <si>
    <t>Arábia Saudita</t>
  </si>
  <si>
    <t>Eslovenia</t>
  </si>
  <si>
    <t>A2</t>
  </si>
  <si>
    <t>Bermudas</t>
  </si>
  <si>
    <t>A (high)</t>
  </si>
  <si>
    <t>China</t>
  </si>
  <si>
    <t>A</t>
  </si>
  <si>
    <t>Japão</t>
  </si>
  <si>
    <t>Lituânia</t>
  </si>
  <si>
    <t>A-</t>
  </si>
  <si>
    <t>A3</t>
  </si>
  <si>
    <t>Eslováquia</t>
  </si>
  <si>
    <t>A (low)</t>
  </si>
  <si>
    <t>Letônia</t>
  </si>
  <si>
    <t>Polônia</t>
  </si>
  <si>
    <t>Espanha</t>
  </si>
  <si>
    <t>Croácia</t>
  </si>
  <si>
    <t>Chipre</t>
  </si>
  <si>
    <t>Baa1</t>
  </si>
  <si>
    <t>Andorra</t>
  </si>
  <si>
    <t>Malásia</t>
  </si>
  <si>
    <t>Itália</t>
  </si>
  <si>
    <t>BBB+</t>
  </si>
  <si>
    <t>Baa2</t>
  </si>
  <si>
    <t>Bulgária</t>
  </si>
  <si>
    <t>BBB (high)</t>
  </si>
  <si>
    <t>Tailândia</t>
  </si>
  <si>
    <t>Botsuana</t>
  </si>
  <si>
    <t>BBB-</t>
  </si>
  <si>
    <t>San-Marinha</t>
  </si>
  <si>
    <t>BBB</t>
  </si>
  <si>
    <t>Filipinas</t>
  </si>
  <si>
    <t>Uruguai</t>
  </si>
  <si>
    <t>Aruba</t>
  </si>
  <si>
    <t>Baa3</t>
  </si>
  <si>
    <t>Indonésia</t>
  </si>
  <si>
    <t>Cazaquistão</t>
  </si>
  <si>
    <t>Hungria</t>
  </si>
  <si>
    <t>México</t>
  </si>
  <si>
    <t>Grécia</t>
  </si>
  <si>
    <t>Índia</t>
  </si>
  <si>
    <t>Maurício</t>
  </si>
  <si>
    <t>-</t>
  </si>
  <si>
    <t>Montserrat</t>
  </si>
  <si>
    <t>Romênia</t>
  </si>
  <si>
    <t>BB (high)</t>
  </si>
  <si>
    <t>Azerbaijão</t>
  </si>
  <si>
    <t>Omã</t>
  </si>
  <si>
    <t>Panamá</t>
  </si>
  <si>
    <t>Colômbia</t>
  </si>
  <si>
    <t>BB-</t>
  </si>
  <si>
    <t>Marrocos</t>
  </si>
  <si>
    <t>Ba1</t>
  </si>
  <si>
    <t>Paraguai</t>
  </si>
  <si>
    <t>Sérvia</t>
  </si>
  <si>
    <t>Ba2</t>
  </si>
  <si>
    <t>Trinidad E Tobago</t>
  </si>
  <si>
    <t>BB+</t>
  </si>
  <si>
    <t>Vietnã</t>
  </si>
  <si>
    <t>Brasil</t>
  </si>
  <si>
    <t>BB</t>
  </si>
  <si>
    <t>Geórgia</t>
  </si>
  <si>
    <t>Macedônia</t>
  </si>
  <si>
    <t>Costa-Rica</t>
  </si>
  <si>
    <t>República Dominicana</t>
  </si>
  <si>
    <t>Costa Do Marfim</t>
  </si>
  <si>
    <t>África Do Sul</t>
  </si>
  <si>
    <t>Uzbequistão</t>
  </si>
  <si>
    <t>Ba3</t>
  </si>
  <si>
    <t>Albânia</t>
  </si>
  <si>
    <t>Armênia</t>
  </si>
  <si>
    <t>Jamaica</t>
  </si>
  <si>
    <t>Seicheles</t>
  </si>
  <si>
    <t>Turquia</t>
  </si>
  <si>
    <t>Baamas</t>
  </si>
  <si>
    <t>Jordânia</t>
  </si>
  <si>
    <t>B1</t>
  </si>
  <si>
    <t>Montenegro</t>
  </si>
  <si>
    <t>B+</t>
  </si>
  <si>
    <t>Namíbia</t>
  </si>
  <si>
    <t>Benin</t>
  </si>
  <si>
    <t>Fiji</t>
  </si>
  <si>
    <t>Guiné</t>
  </si>
  <si>
    <t>Mongólia</t>
  </si>
  <si>
    <t>Turcomenistão</t>
  </si>
  <si>
    <t>B2</t>
  </si>
  <si>
    <t>Moldávia</t>
  </si>
  <si>
    <t>Ruanda</t>
  </si>
  <si>
    <t>Tanzânia</t>
  </si>
  <si>
    <t>Barbados</t>
  </si>
  <si>
    <t>Barein</t>
  </si>
  <si>
    <t>B</t>
  </si>
  <si>
    <t>Camboja</t>
  </si>
  <si>
    <t>Quirguistão</t>
  </si>
  <si>
    <t>B3</t>
  </si>
  <si>
    <t>Lesoto</t>
  </si>
  <si>
    <t>Nicarágua</t>
  </si>
  <si>
    <t>Zâmbia</t>
  </si>
  <si>
    <t>CCC+</t>
  </si>
  <si>
    <t>Caa2</t>
  </si>
  <si>
    <t>Bósnia-Herzegóvina</t>
  </si>
  <si>
    <t>Papua Nova Guiné</t>
  </si>
  <si>
    <t>B-</t>
  </si>
  <si>
    <t>Tadjiquistão</t>
  </si>
  <si>
    <t>Togo</t>
  </si>
  <si>
    <t>Nigéria</t>
  </si>
  <si>
    <t>Chade</t>
  </si>
  <si>
    <t>Congo</t>
  </si>
  <si>
    <t>Egito</t>
  </si>
  <si>
    <t>Caa1</t>
  </si>
  <si>
    <t>Quênia</t>
  </si>
  <si>
    <t>Madagáscar</t>
  </si>
  <si>
    <t>Ilhas Salomão</t>
  </si>
  <si>
    <t>São Vicente E Granadinas</t>
  </si>
  <si>
    <t>Suazilândia</t>
  </si>
  <si>
    <t>Camarões</t>
  </si>
  <si>
    <t>Equador</t>
  </si>
  <si>
    <t>Gana</t>
  </si>
  <si>
    <t>Iraque</t>
  </si>
  <si>
    <t>Tunísia</t>
  </si>
  <si>
    <t>Gabão</t>
  </si>
  <si>
    <t>Paquistão</t>
  </si>
  <si>
    <t>B (low)</t>
  </si>
  <si>
    <t>Burkina-Faso</t>
  </si>
  <si>
    <t>Maldivas</t>
  </si>
  <si>
    <t>Senegal</t>
  </si>
  <si>
    <t>Moçambique</t>
  </si>
  <si>
    <t>República Do Congo</t>
  </si>
  <si>
    <t>Laos</t>
  </si>
  <si>
    <t>Sri-Lanka</t>
  </si>
  <si>
    <t>Suriname</t>
  </si>
  <si>
    <t>Etiópia</t>
  </si>
  <si>
    <t>SD</t>
  </si>
  <si>
    <t>Caa3</t>
  </si>
  <si>
    <t>Mali</t>
  </si>
  <si>
    <t>Níger</t>
  </si>
  <si>
    <t>Rússia</t>
  </si>
  <si>
    <t>Bolívia</t>
  </si>
  <si>
    <t>C</t>
  </si>
  <si>
    <t>Líbano</t>
  </si>
  <si>
    <t>Ucrânia</t>
  </si>
  <si>
    <t>Ca</t>
  </si>
  <si>
    <t>Venezuela</t>
  </si>
  <si>
    <t>Cuba</t>
  </si>
  <si>
    <t>Porto Rico</t>
  </si>
  <si>
    <t>D</t>
  </si>
  <si>
    <t>Granada</t>
  </si>
  <si>
    <t>Kosovo</t>
  </si>
  <si>
    <t>Japan</t>
  </si>
  <si>
    <t>Indonesia</t>
  </si>
  <si>
    <t>Oman</t>
  </si>
  <si>
    <t>Viet Nam</t>
  </si>
  <si>
    <t>Mozambique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</si>
</sst>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33333"/>
      <name val="Arial"/>
      <family val="2"/>
    </font>
    <font>
      <sz val="12"/>
      <color rgb="FF212529"/>
      <name val="Arial"/>
      <family val="2"/>
    </font>
    <font>
      <sz val="12"/>
      <color rgb="FF006400"/>
      <name val="Arial"/>
      <family val="2"/>
    </font>
    <font>
      <sz val="12"/>
      <color rgb="FF8B000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333333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0" fillId="33" borderId="0" xfId="0" applyFill="1"/>
    <xf numFmtId="11" fontId="0" fillId="0" borderId="0" xfId="0" applyNumberFormat="1"/>
    <xf numFmtId="0" fontId="18" fillId="35" borderId="10" xfId="0" applyFont="1" applyFill="1" applyBorder="1" applyAlignment="1">
      <alignment horizontal="left" vertical="center" wrapText="1"/>
    </xf>
    <xf numFmtId="0" fontId="22" fillId="34" borderId="10" xfId="43" applyFill="1" applyBorder="1" applyAlignment="1">
      <alignment horizontal="left" vertical="center" wrapText="1"/>
    </xf>
    <xf numFmtId="0" fontId="20" fillId="34" borderId="10" xfId="0" applyFont="1" applyFill="1" applyBorder="1" applyAlignment="1">
      <alignment horizontal="left" vertical="center" wrapText="1"/>
    </xf>
    <xf numFmtId="0" fontId="20" fillId="34" borderId="10" xfId="0" applyFont="1" applyFill="1" applyBorder="1" applyAlignment="1">
      <alignment vertical="center" wrapText="1"/>
    </xf>
    <xf numFmtId="0" fontId="19" fillId="34" borderId="10" xfId="0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vertical="center" wrapText="1"/>
    </xf>
    <xf numFmtId="0" fontId="21" fillId="34" borderId="10" xfId="0" applyFont="1" applyFill="1" applyBorder="1" applyAlignment="1">
      <alignment vertical="center" wrapText="1"/>
    </xf>
    <xf numFmtId="0" fontId="21" fillId="34" borderId="10" xfId="0" applyFont="1" applyFill="1" applyBorder="1" applyAlignment="1">
      <alignment horizontal="left" vertical="center" wrapText="1"/>
    </xf>
    <xf numFmtId="0" fontId="0" fillId="0" borderId="0" xfId="0"/>
    <xf numFmtId="0" fontId="23" fillId="35" borderId="10" xfId="0" applyFont="1" applyFill="1" applyBorder="1" applyAlignment="1">
      <alignment horizontal="left" vertical="center" wrapText="1"/>
    </xf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Hiperlink" xfId="43" builtinId="8"/>
    <cellStyle name="Incorreto" xfId="8" builtinId="27" customBuiltin="1"/>
    <cellStyle name="Neutra" xfId="9" builtinId="28" customBuiltin="1"/>
    <cellStyle name="Normal" xfId="0" builtinId="0"/>
    <cellStyle name="Nota" xfId="16" builtinId="10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fiscal_risk_index_3" connectionId="5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fiscal_risk_index_2" connectionId="4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fiscal_risk_index_1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fiscal_risk_index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4" Type="http://schemas.openxmlformats.org/officeDocument/2006/relationships/queryTable" Target="../queryTables/queryTable4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pt.tradingeconomics.com/belgium/rating" TargetMode="External"/><Relationship Id="rId117" Type="http://schemas.openxmlformats.org/officeDocument/2006/relationships/hyperlink" Target="https://pt.tradingeconomics.com/togo/rating" TargetMode="External"/><Relationship Id="rId21" Type="http://schemas.openxmlformats.org/officeDocument/2006/relationships/hyperlink" Target="https://pt.tradingeconomics.com/qatar/rating" TargetMode="External"/><Relationship Id="rId42" Type="http://schemas.openxmlformats.org/officeDocument/2006/relationships/hyperlink" Target="https://pt.tradingeconomics.com/slovakia/rating" TargetMode="External"/><Relationship Id="rId47" Type="http://schemas.openxmlformats.org/officeDocument/2006/relationships/hyperlink" Target="https://pt.tradingeconomics.com/cyprus/rating" TargetMode="External"/><Relationship Id="rId63" Type="http://schemas.openxmlformats.org/officeDocument/2006/relationships/hyperlink" Target="https://pt.tradingeconomics.com/mexico/rating" TargetMode="External"/><Relationship Id="rId68" Type="http://schemas.openxmlformats.org/officeDocument/2006/relationships/hyperlink" Target="https://pt.tradingeconomics.com/romania/rating" TargetMode="External"/><Relationship Id="rId84" Type="http://schemas.openxmlformats.org/officeDocument/2006/relationships/hyperlink" Target="https://pt.tradingeconomics.com/ivory-coast/rating" TargetMode="External"/><Relationship Id="rId89" Type="http://schemas.openxmlformats.org/officeDocument/2006/relationships/hyperlink" Target="https://pt.tradingeconomics.com/jamaica/rating" TargetMode="External"/><Relationship Id="rId112" Type="http://schemas.openxmlformats.org/officeDocument/2006/relationships/hyperlink" Target="https://pt.tradingeconomics.com/nicaragua/rating" TargetMode="External"/><Relationship Id="rId133" Type="http://schemas.openxmlformats.org/officeDocument/2006/relationships/hyperlink" Target="https://pt.tradingeconomics.com/iraq/rating" TargetMode="External"/><Relationship Id="rId138" Type="http://schemas.openxmlformats.org/officeDocument/2006/relationships/hyperlink" Target="https://pt.tradingeconomics.com/belize/rating" TargetMode="External"/><Relationship Id="rId154" Type="http://schemas.openxmlformats.org/officeDocument/2006/relationships/hyperlink" Target="https://pt.tradingeconomics.com/ukraine/rating" TargetMode="External"/><Relationship Id="rId159" Type="http://schemas.openxmlformats.org/officeDocument/2006/relationships/hyperlink" Target="https://pt.tradingeconomics.com/kosovo/rating" TargetMode="External"/><Relationship Id="rId16" Type="http://schemas.openxmlformats.org/officeDocument/2006/relationships/hyperlink" Target="https://pt.tradingeconomics.com/finland/rating" TargetMode="External"/><Relationship Id="rId107" Type="http://schemas.openxmlformats.org/officeDocument/2006/relationships/hyperlink" Target="https://pt.tradingeconomics.com/barbados/rating" TargetMode="External"/><Relationship Id="rId11" Type="http://schemas.openxmlformats.org/officeDocument/2006/relationships/hyperlink" Target="https://pt.tradingeconomics.com/singapore/rating" TargetMode="External"/><Relationship Id="rId32" Type="http://schemas.openxmlformats.org/officeDocument/2006/relationships/hyperlink" Target="https://pt.tradingeconomics.com/iceland/rating" TargetMode="External"/><Relationship Id="rId37" Type="http://schemas.openxmlformats.org/officeDocument/2006/relationships/hyperlink" Target="https://pt.tradingeconomics.com/japan/rating" TargetMode="External"/><Relationship Id="rId53" Type="http://schemas.openxmlformats.org/officeDocument/2006/relationships/hyperlink" Target="https://pt.tradingeconomics.com/thailand/rating" TargetMode="External"/><Relationship Id="rId58" Type="http://schemas.openxmlformats.org/officeDocument/2006/relationships/hyperlink" Target="https://pt.tradingeconomics.com/aruba/rating" TargetMode="External"/><Relationship Id="rId74" Type="http://schemas.openxmlformats.org/officeDocument/2006/relationships/hyperlink" Target="https://pt.tradingeconomics.com/paraguay/rating" TargetMode="External"/><Relationship Id="rId79" Type="http://schemas.openxmlformats.org/officeDocument/2006/relationships/hyperlink" Target="https://pt.tradingeconomics.com/brazil/rating" TargetMode="External"/><Relationship Id="rId102" Type="http://schemas.openxmlformats.org/officeDocument/2006/relationships/hyperlink" Target="https://pt.tradingeconomics.com/bangladesh/rating" TargetMode="External"/><Relationship Id="rId123" Type="http://schemas.openxmlformats.org/officeDocument/2006/relationships/hyperlink" Target="https://pt.tradingeconomics.com/egypt/rating" TargetMode="External"/><Relationship Id="rId128" Type="http://schemas.openxmlformats.org/officeDocument/2006/relationships/hyperlink" Target="https://pt.tradingeconomics.com/st-vincent-and-the-grenadines/rating" TargetMode="External"/><Relationship Id="rId144" Type="http://schemas.openxmlformats.org/officeDocument/2006/relationships/hyperlink" Target="https://pt.tradingeconomics.com/laos/rating" TargetMode="External"/><Relationship Id="rId149" Type="http://schemas.openxmlformats.org/officeDocument/2006/relationships/hyperlink" Target="https://pt.tradingeconomics.com/niger/rating" TargetMode="External"/><Relationship Id="rId5" Type="http://schemas.openxmlformats.org/officeDocument/2006/relationships/hyperlink" Target="https://pt.tradingeconomics.com/liechtenstein/rating" TargetMode="External"/><Relationship Id="rId90" Type="http://schemas.openxmlformats.org/officeDocument/2006/relationships/hyperlink" Target="https://pt.tradingeconomics.com/seychelles/rating" TargetMode="External"/><Relationship Id="rId95" Type="http://schemas.openxmlformats.org/officeDocument/2006/relationships/hyperlink" Target="https://pt.tradingeconomics.com/montenegro/rating" TargetMode="External"/><Relationship Id="rId160" Type="http://schemas.openxmlformats.org/officeDocument/2006/relationships/hyperlink" Target="https://pt.tradingeconomics.com/nepal/rating" TargetMode="External"/><Relationship Id="rId22" Type="http://schemas.openxmlformats.org/officeDocument/2006/relationships/hyperlink" Target="https://pt.tradingeconomics.com/isle-of-man/rating" TargetMode="External"/><Relationship Id="rId27" Type="http://schemas.openxmlformats.org/officeDocument/2006/relationships/hyperlink" Target="https://pt.tradingeconomics.com/cayman-islands/rating" TargetMode="External"/><Relationship Id="rId43" Type="http://schemas.openxmlformats.org/officeDocument/2006/relationships/hyperlink" Target="https://pt.tradingeconomics.com/latvia/rating" TargetMode="External"/><Relationship Id="rId48" Type="http://schemas.openxmlformats.org/officeDocument/2006/relationships/hyperlink" Target="https://pt.tradingeconomics.com/israel/rating" TargetMode="External"/><Relationship Id="rId64" Type="http://schemas.openxmlformats.org/officeDocument/2006/relationships/hyperlink" Target="https://pt.tradingeconomics.com/greece/rating" TargetMode="External"/><Relationship Id="rId69" Type="http://schemas.openxmlformats.org/officeDocument/2006/relationships/hyperlink" Target="https://pt.tradingeconomics.com/azerbaijan/rating" TargetMode="External"/><Relationship Id="rId113" Type="http://schemas.openxmlformats.org/officeDocument/2006/relationships/hyperlink" Target="https://pt.tradingeconomics.com/zambia/rating" TargetMode="External"/><Relationship Id="rId118" Type="http://schemas.openxmlformats.org/officeDocument/2006/relationships/hyperlink" Target="https://pt.tradingeconomics.com/nigeria/rating" TargetMode="External"/><Relationship Id="rId134" Type="http://schemas.openxmlformats.org/officeDocument/2006/relationships/hyperlink" Target="https://pt.tradingeconomics.com/tunisia/rating" TargetMode="External"/><Relationship Id="rId139" Type="http://schemas.openxmlformats.org/officeDocument/2006/relationships/hyperlink" Target="https://pt.tradingeconomics.com/burkina-faso/rating" TargetMode="External"/><Relationship Id="rId80" Type="http://schemas.openxmlformats.org/officeDocument/2006/relationships/hyperlink" Target="https://pt.tradingeconomics.com/georgia/rating" TargetMode="External"/><Relationship Id="rId85" Type="http://schemas.openxmlformats.org/officeDocument/2006/relationships/hyperlink" Target="https://pt.tradingeconomics.com/south-africa/rating" TargetMode="External"/><Relationship Id="rId150" Type="http://schemas.openxmlformats.org/officeDocument/2006/relationships/hyperlink" Target="https://pt.tradingeconomics.com/russia/rating" TargetMode="External"/><Relationship Id="rId155" Type="http://schemas.openxmlformats.org/officeDocument/2006/relationships/hyperlink" Target="https://pt.tradingeconomics.com/venezuela/rating" TargetMode="External"/><Relationship Id="rId12" Type="http://schemas.openxmlformats.org/officeDocument/2006/relationships/hyperlink" Target="https://pt.tradingeconomics.com/european-union/rating" TargetMode="External"/><Relationship Id="rId17" Type="http://schemas.openxmlformats.org/officeDocument/2006/relationships/hyperlink" Target="https://pt.tradingeconomics.com/taiwan/rating" TargetMode="External"/><Relationship Id="rId33" Type="http://schemas.openxmlformats.org/officeDocument/2006/relationships/hyperlink" Target="https://pt.tradingeconomics.com/saudi-arabia/rating" TargetMode="External"/><Relationship Id="rId38" Type="http://schemas.openxmlformats.org/officeDocument/2006/relationships/hyperlink" Target="https://pt.tradingeconomics.com/lithuania/rating" TargetMode="External"/><Relationship Id="rId59" Type="http://schemas.openxmlformats.org/officeDocument/2006/relationships/hyperlink" Target="https://pt.tradingeconomics.com/indonesia/rating" TargetMode="External"/><Relationship Id="rId103" Type="http://schemas.openxmlformats.org/officeDocument/2006/relationships/hyperlink" Target="https://pt.tradingeconomics.com/moldova/rating" TargetMode="External"/><Relationship Id="rId108" Type="http://schemas.openxmlformats.org/officeDocument/2006/relationships/hyperlink" Target="https://pt.tradingeconomics.com/bahrain/rating" TargetMode="External"/><Relationship Id="rId124" Type="http://schemas.openxmlformats.org/officeDocument/2006/relationships/hyperlink" Target="https://pt.tradingeconomics.com/el-salvador/rating" TargetMode="External"/><Relationship Id="rId129" Type="http://schemas.openxmlformats.org/officeDocument/2006/relationships/hyperlink" Target="https://pt.tradingeconomics.com/swaziland/rating" TargetMode="External"/><Relationship Id="rId20" Type="http://schemas.openxmlformats.org/officeDocument/2006/relationships/hyperlink" Target="https://pt.tradingeconomics.com/ireland/rating" TargetMode="External"/><Relationship Id="rId41" Type="http://schemas.openxmlformats.org/officeDocument/2006/relationships/hyperlink" Target="https://pt.tradingeconomics.com/chile/rating" TargetMode="External"/><Relationship Id="rId54" Type="http://schemas.openxmlformats.org/officeDocument/2006/relationships/hyperlink" Target="https://pt.tradingeconomics.com/botswana/rating" TargetMode="External"/><Relationship Id="rId62" Type="http://schemas.openxmlformats.org/officeDocument/2006/relationships/hyperlink" Target="https://pt.tradingeconomics.com/hungary/rating" TargetMode="External"/><Relationship Id="rId70" Type="http://schemas.openxmlformats.org/officeDocument/2006/relationships/hyperlink" Target="https://pt.tradingeconomics.com/oman/rating" TargetMode="External"/><Relationship Id="rId75" Type="http://schemas.openxmlformats.org/officeDocument/2006/relationships/hyperlink" Target="https://pt.tradingeconomics.com/serbia/rating" TargetMode="External"/><Relationship Id="rId83" Type="http://schemas.openxmlformats.org/officeDocument/2006/relationships/hyperlink" Target="https://pt.tradingeconomics.com/dominican-republic/rating" TargetMode="External"/><Relationship Id="rId88" Type="http://schemas.openxmlformats.org/officeDocument/2006/relationships/hyperlink" Target="https://pt.tradingeconomics.com/armenia/rating" TargetMode="External"/><Relationship Id="rId91" Type="http://schemas.openxmlformats.org/officeDocument/2006/relationships/hyperlink" Target="https://pt.tradingeconomics.com/turkey/rating" TargetMode="External"/><Relationship Id="rId96" Type="http://schemas.openxmlformats.org/officeDocument/2006/relationships/hyperlink" Target="https://pt.tradingeconomics.com/namibia/rating" TargetMode="External"/><Relationship Id="rId111" Type="http://schemas.openxmlformats.org/officeDocument/2006/relationships/hyperlink" Target="https://pt.tradingeconomics.com/lesotho/rating" TargetMode="External"/><Relationship Id="rId132" Type="http://schemas.openxmlformats.org/officeDocument/2006/relationships/hyperlink" Target="https://pt.tradingeconomics.com/ghana/rating" TargetMode="External"/><Relationship Id="rId140" Type="http://schemas.openxmlformats.org/officeDocument/2006/relationships/hyperlink" Target="https://pt.tradingeconomics.com/maldives/rating" TargetMode="External"/><Relationship Id="rId145" Type="http://schemas.openxmlformats.org/officeDocument/2006/relationships/hyperlink" Target="https://pt.tradingeconomics.com/sri-lanka/rating" TargetMode="External"/><Relationship Id="rId153" Type="http://schemas.openxmlformats.org/officeDocument/2006/relationships/hyperlink" Target="https://pt.tradingeconomics.com/lebanon/rating" TargetMode="External"/><Relationship Id="rId161" Type="http://schemas.openxmlformats.org/officeDocument/2006/relationships/printerSettings" Target="../printerSettings/printerSettings1.bin"/><Relationship Id="rId1" Type="http://schemas.openxmlformats.org/officeDocument/2006/relationships/hyperlink" Target="https://pt.tradingeconomics.com/australia/rating" TargetMode="External"/><Relationship Id="rId6" Type="http://schemas.openxmlformats.org/officeDocument/2006/relationships/hyperlink" Target="https://pt.tradingeconomics.com/luxembourg/rating" TargetMode="External"/><Relationship Id="rId15" Type="http://schemas.openxmlformats.org/officeDocument/2006/relationships/hyperlink" Target="https://pt.tradingeconomics.com/austria/rating" TargetMode="External"/><Relationship Id="rId23" Type="http://schemas.openxmlformats.org/officeDocument/2006/relationships/hyperlink" Target="https://pt.tradingeconomics.com/macau/rating" TargetMode="External"/><Relationship Id="rId28" Type="http://schemas.openxmlformats.org/officeDocument/2006/relationships/hyperlink" Target="https://pt.tradingeconomics.com/czech-republic/rating" TargetMode="External"/><Relationship Id="rId36" Type="http://schemas.openxmlformats.org/officeDocument/2006/relationships/hyperlink" Target="https://pt.tradingeconomics.com/china/rating" TargetMode="External"/><Relationship Id="rId49" Type="http://schemas.openxmlformats.org/officeDocument/2006/relationships/hyperlink" Target="https://pt.tradingeconomics.com/andorra/rating" TargetMode="External"/><Relationship Id="rId57" Type="http://schemas.openxmlformats.org/officeDocument/2006/relationships/hyperlink" Target="https://pt.tradingeconomics.com/uruguay/rating" TargetMode="External"/><Relationship Id="rId106" Type="http://schemas.openxmlformats.org/officeDocument/2006/relationships/hyperlink" Target="https://pt.tradingeconomics.com/tanzania/rating" TargetMode="External"/><Relationship Id="rId114" Type="http://schemas.openxmlformats.org/officeDocument/2006/relationships/hyperlink" Target="https://pt.tradingeconomics.com/bosnia-and-herzegovina/rating" TargetMode="External"/><Relationship Id="rId119" Type="http://schemas.openxmlformats.org/officeDocument/2006/relationships/hyperlink" Target="https://pt.tradingeconomics.com/uganda/rating" TargetMode="External"/><Relationship Id="rId127" Type="http://schemas.openxmlformats.org/officeDocument/2006/relationships/hyperlink" Target="https://pt.tradingeconomics.com/solomon-islands/rating" TargetMode="External"/><Relationship Id="rId10" Type="http://schemas.openxmlformats.org/officeDocument/2006/relationships/hyperlink" Target="https://pt.tradingeconomics.com/sweden/rating" TargetMode="External"/><Relationship Id="rId31" Type="http://schemas.openxmlformats.org/officeDocument/2006/relationships/hyperlink" Target="https://pt.tradingeconomics.com/estonia/rating" TargetMode="External"/><Relationship Id="rId44" Type="http://schemas.openxmlformats.org/officeDocument/2006/relationships/hyperlink" Target="https://pt.tradingeconomics.com/poland/rating" TargetMode="External"/><Relationship Id="rId52" Type="http://schemas.openxmlformats.org/officeDocument/2006/relationships/hyperlink" Target="https://pt.tradingeconomics.com/bulgaria/rating" TargetMode="External"/><Relationship Id="rId60" Type="http://schemas.openxmlformats.org/officeDocument/2006/relationships/hyperlink" Target="https://pt.tradingeconomics.com/kazakhstan/rating" TargetMode="External"/><Relationship Id="rId65" Type="http://schemas.openxmlformats.org/officeDocument/2006/relationships/hyperlink" Target="https://pt.tradingeconomics.com/india/rating" TargetMode="External"/><Relationship Id="rId73" Type="http://schemas.openxmlformats.org/officeDocument/2006/relationships/hyperlink" Target="https://pt.tradingeconomics.com/morocco/rating" TargetMode="External"/><Relationship Id="rId78" Type="http://schemas.openxmlformats.org/officeDocument/2006/relationships/hyperlink" Target="https://pt.tradingeconomics.com/vietnam/rating" TargetMode="External"/><Relationship Id="rId81" Type="http://schemas.openxmlformats.org/officeDocument/2006/relationships/hyperlink" Target="https://pt.tradingeconomics.com/macedonia/rating" TargetMode="External"/><Relationship Id="rId86" Type="http://schemas.openxmlformats.org/officeDocument/2006/relationships/hyperlink" Target="https://pt.tradingeconomics.com/uzbekistan/rating" TargetMode="External"/><Relationship Id="rId94" Type="http://schemas.openxmlformats.org/officeDocument/2006/relationships/hyperlink" Target="https://pt.tradingeconomics.com/honduras/rating" TargetMode="External"/><Relationship Id="rId99" Type="http://schemas.openxmlformats.org/officeDocument/2006/relationships/hyperlink" Target="https://pt.tradingeconomics.com/guinea/rating" TargetMode="External"/><Relationship Id="rId101" Type="http://schemas.openxmlformats.org/officeDocument/2006/relationships/hyperlink" Target="https://pt.tradingeconomics.com/turkmenistan/rating" TargetMode="External"/><Relationship Id="rId122" Type="http://schemas.openxmlformats.org/officeDocument/2006/relationships/hyperlink" Target="https://pt.tradingeconomics.com/congo/rating" TargetMode="External"/><Relationship Id="rId130" Type="http://schemas.openxmlformats.org/officeDocument/2006/relationships/hyperlink" Target="https://pt.tradingeconomics.com/cameroon/rating" TargetMode="External"/><Relationship Id="rId135" Type="http://schemas.openxmlformats.org/officeDocument/2006/relationships/hyperlink" Target="https://pt.tradingeconomics.com/gabon/rating" TargetMode="External"/><Relationship Id="rId143" Type="http://schemas.openxmlformats.org/officeDocument/2006/relationships/hyperlink" Target="https://pt.tradingeconomics.com/republic-of-the-congo/rating" TargetMode="External"/><Relationship Id="rId148" Type="http://schemas.openxmlformats.org/officeDocument/2006/relationships/hyperlink" Target="https://pt.tradingeconomics.com/mali/rating" TargetMode="External"/><Relationship Id="rId151" Type="http://schemas.openxmlformats.org/officeDocument/2006/relationships/hyperlink" Target="https://pt.tradingeconomics.com/bolivia/rating" TargetMode="External"/><Relationship Id="rId156" Type="http://schemas.openxmlformats.org/officeDocument/2006/relationships/hyperlink" Target="https://pt.tradingeconomics.com/cuba/rating" TargetMode="External"/><Relationship Id="rId4" Type="http://schemas.openxmlformats.org/officeDocument/2006/relationships/hyperlink" Target="https://pt.tradingeconomics.com/germany/rating" TargetMode="External"/><Relationship Id="rId9" Type="http://schemas.openxmlformats.org/officeDocument/2006/relationships/hyperlink" Target="https://pt.tradingeconomics.com/switzerland/rating" TargetMode="External"/><Relationship Id="rId13" Type="http://schemas.openxmlformats.org/officeDocument/2006/relationships/hyperlink" Target="https://pt.tradingeconomics.com/new-zealand/rating" TargetMode="External"/><Relationship Id="rId18" Type="http://schemas.openxmlformats.org/officeDocument/2006/relationships/hyperlink" Target="https://pt.tradingeconomics.com/united-arab-emirates/rating" TargetMode="External"/><Relationship Id="rId39" Type="http://schemas.openxmlformats.org/officeDocument/2006/relationships/hyperlink" Target="https://pt.tradingeconomics.com/malta/rating" TargetMode="External"/><Relationship Id="rId109" Type="http://schemas.openxmlformats.org/officeDocument/2006/relationships/hyperlink" Target="https://pt.tradingeconomics.com/cambodia/rating" TargetMode="External"/><Relationship Id="rId34" Type="http://schemas.openxmlformats.org/officeDocument/2006/relationships/hyperlink" Target="https://pt.tradingeconomics.com/slovenia/rating" TargetMode="External"/><Relationship Id="rId50" Type="http://schemas.openxmlformats.org/officeDocument/2006/relationships/hyperlink" Target="https://pt.tradingeconomics.com/malaysia/rating" TargetMode="External"/><Relationship Id="rId55" Type="http://schemas.openxmlformats.org/officeDocument/2006/relationships/hyperlink" Target="https://pt.tradingeconomics.com/san-marino/rating" TargetMode="External"/><Relationship Id="rId76" Type="http://schemas.openxmlformats.org/officeDocument/2006/relationships/hyperlink" Target="https://pt.tradingeconomics.com/trinidad-and-tobago/rating" TargetMode="External"/><Relationship Id="rId97" Type="http://schemas.openxmlformats.org/officeDocument/2006/relationships/hyperlink" Target="https://pt.tradingeconomics.com/benin/rating" TargetMode="External"/><Relationship Id="rId104" Type="http://schemas.openxmlformats.org/officeDocument/2006/relationships/hyperlink" Target="https://pt.tradingeconomics.com/rwanda/rating" TargetMode="External"/><Relationship Id="rId120" Type="http://schemas.openxmlformats.org/officeDocument/2006/relationships/hyperlink" Target="https://pt.tradingeconomics.com/angola/rating" TargetMode="External"/><Relationship Id="rId125" Type="http://schemas.openxmlformats.org/officeDocument/2006/relationships/hyperlink" Target="https://pt.tradingeconomics.com/kenya/rating" TargetMode="External"/><Relationship Id="rId141" Type="http://schemas.openxmlformats.org/officeDocument/2006/relationships/hyperlink" Target="https://pt.tradingeconomics.com/senegal/rating" TargetMode="External"/><Relationship Id="rId146" Type="http://schemas.openxmlformats.org/officeDocument/2006/relationships/hyperlink" Target="https://pt.tradingeconomics.com/suriname/rating" TargetMode="External"/><Relationship Id="rId7" Type="http://schemas.openxmlformats.org/officeDocument/2006/relationships/hyperlink" Target="https://pt.tradingeconomics.com/netherlands/rating" TargetMode="External"/><Relationship Id="rId71" Type="http://schemas.openxmlformats.org/officeDocument/2006/relationships/hyperlink" Target="https://pt.tradingeconomics.com/panama/rating" TargetMode="External"/><Relationship Id="rId92" Type="http://schemas.openxmlformats.org/officeDocument/2006/relationships/hyperlink" Target="https://pt.tradingeconomics.com/bahamas/rating" TargetMode="External"/><Relationship Id="rId2" Type="http://schemas.openxmlformats.org/officeDocument/2006/relationships/hyperlink" Target="https://pt.tradingeconomics.com/canada/rating" TargetMode="External"/><Relationship Id="rId29" Type="http://schemas.openxmlformats.org/officeDocument/2006/relationships/hyperlink" Target="https://pt.tradingeconomics.com/france/rating" TargetMode="External"/><Relationship Id="rId24" Type="http://schemas.openxmlformats.org/officeDocument/2006/relationships/hyperlink" Target="https://pt.tradingeconomics.com/united-kingdom/rating" TargetMode="External"/><Relationship Id="rId40" Type="http://schemas.openxmlformats.org/officeDocument/2006/relationships/hyperlink" Target="https://pt.tradingeconomics.com/portugal/rating" TargetMode="External"/><Relationship Id="rId45" Type="http://schemas.openxmlformats.org/officeDocument/2006/relationships/hyperlink" Target="https://pt.tradingeconomics.com/spain/rating" TargetMode="External"/><Relationship Id="rId66" Type="http://schemas.openxmlformats.org/officeDocument/2006/relationships/hyperlink" Target="https://pt.tradingeconomics.com/mauritius/rating" TargetMode="External"/><Relationship Id="rId87" Type="http://schemas.openxmlformats.org/officeDocument/2006/relationships/hyperlink" Target="https://pt.tradingeconomics.com/albania/rating" TargetMode="External"/><Relationship Id="rId110" Type="http://schemas.openxmlformats.org/officeDocument/2006/relationships/hyperlink" Target="https://pt.tradingeconomics.com/kyrgyzstan/rating" TargetMode="External"/><Relationship Id="rId115" Type="http://schemas.openxmlformats.org/officeDocument/2006/relationships/hyperlink" Target="https://pt.tradingeconomics.com/papua-new-guinea/rating" TargetMode="External"/><Relationship Id="rId131" Type="http://schemas.openxmlformats.org/officeDocument/2006/relationships/hyperlink" Target="https://pt.tradingeconomics.com/ecuador/rating" TargetMode="External"/><Relationship Id="rId136" Type="http://schemas.openxmlformats.org/officeDocument/2006/relationships/hyperlink" Target="https://pt.tradingeconomics.com/pakistan/rating" TargetMode="External"/><Relationship Id="rId157" Type="http://schemas.openxmlformats.org/officeDocument/2006/relationships/hyperlink" Target="https://pt.tradingeconomics.com/puerto-rico/rating" TargetMode="External"/><Relationship Id="rId61" Type="http://schemas.openxmlformats.org/officeDocument/2006/relationships/hyperlink" Target="https://pt.tradingeconomics.com/peru/rating" TargetMode="External"/><Relationship Id="rId82" Type="http://schemas.openxmlformats.org/officeDocument/2006/relationships/hyperlink" Target="https://pt.tradingeconomics.com/costa-rica/rating" TargetMode="External"/><Relationship Id="rId152" Type="http://schemas.openxmlformats.org/officeDocument/2006/relationships/hyperlink" Target="https://pt.tradingeconomics.com/belarus/rating" TargetMode="External"/><Relationship Id="rId19" Type="http://schemas.openxmlformats.org/officeDocument/2006/relationships/hyperlink" Target="https://pt.tradingeconomics.com/hong-kong/rating" TargetMode="External"/><Relationship Id="rId14" Type="http://schemas.openxmlformats.org/officeDocument/2006/relationships/hyperlink" Target="https://pt.tradingeconomics.com/united-states/rating" TargetMode="External"/><Relationship Id="rId30" Type="http://schemas.openxmlformats.org/officeDocument/2006/relationships/hyperlink" Target="https://pt.tradingeconomics.com/kuwait/rating" TargetMode="External"/><Relationship Id="rId35" Type="http://schemas.openxmlformats.org/officeDocument/2006/relationships/hyperlink" Target="https://pt.tradingeconomics.com/bermuda/rating" TargetMode="External"/><Relationship Id="rId56" Type="http://schemas.openxmlformats.org/officeDocument/2006/relationships/hyperlink" Target="https://pt.tradingeconomics.com/philippines/rating" TargetMode="External"/><Relationship Id="rId77" Type="http://schemas.openxmlformats.org/officeDocument/2006/relationships/hyperlink" Target="https://pt.tradingeconomics.com/guatemala/rating" TargetMode="External"/><Relationship Id="rId100" Type="http://schemas.openxmlformats.org/officeDocument/2006/relationships/hyperlink" Target="https://pt.tradingeconomics.com/mongolia/rating" TargetMode="External"/><Relationship Id="rId105" Type="http://schemas.openxmlformats.org/officeDocument/2006/relationships/hyperlink" Target="https://pt.tradingeconomics.com/cape-verde/rating" TargetMode="External"/><Relationship Id="rId126" Type="http://schemas.openxmlformats.org/officeDocument/2006/relationships/hyperlink" Target="https://pt.tradingeconomics.com/madagascar/rating" TargetMode="External"/><Relationship Id="rId147" Type="http://schemas.openxmlformats.org/officeDocument/2006/relationships/hyperlink" Target="https://pt.tradingeconomics.com/ethiopia/rating" TargetMode="External"/><Relationship Id="rId8" Type="http://schemas.openxmlformats.org/officeDocument/2006/relationships/hyperlink" Target="https://pt.tradingeconomics.com/norway/rating" TargetMode="External"/><Relationship Id="rId51" Type="http://schemas.openxmlformats.org/officeDocument/2006/relationships/hyperlink" Target="https://pt.tradingeconomics.com/italy/rating" TargetMode="External"/><Relationship Id="rId72" Type="http://schemas.openxmlformats.org/officeDocument/2006/relationships/hyperlink" Target="https://pt.tradingeconomics.com/colombia/rating" TargetMode="External"/><Relationship Id="rId93" Type="http://schemas.openxmlformats.org/officeDocument/2006/relationships/hyperlink" Target="https://pt.tradingeconomics.com/jordan/rating" TargetMode="External"/><Relationship Id="rId98" Type="http://schemas.openxmlformats.org/officeDocument/2006/relationships/hyperlink" Target="https://pt.tradingeconomics.com/fiji/rating" TargetMode="External"/><Relationship Id="rId121" Type="http://schemas.openxmlformats.org/officeDocument/2006/relationships/hyperlink" Target="https://pt.tradingeconomics.com/chad/rating" TargetMode="External"/><Relationship Id="rId142" Type="http://schemas.openxmlformats.org/officeDocument/2006/relationships/hyperlink" Target="https://pt.tradingeconomics.com/mozambique/rating" TargetMode="External"/><Relationship Id="rId3" Type="http://schemas.openxmlformats.org/officeDocument/2006/relationships/hyperlink" Target="https://pt.tradingeconomics.com/denmark/rating" TargetMode="External"/><Relationship Id="rId25" Type="http://schemas.openxmlformats.org/officeDocument/2006/relationships/hyperlink" Target="https://pt.tradingeconomics.com/south-korea/rating" TargetMode="External"/><Relationship Id="rId46" Type="http://schemas.openxmlformats.org/officeDocument/2006/relationships/hyperlink" Target="https://pt.tradingeconomics.com/croatia/rating" TargetMode="External"/><Relationship Id="rId67" Type="http://schemas.openxmlformats.org/officeDocument/2006/relationships/hyperlink" Target="https://pt.tradingeconomics.com/country-list/rating" TargetMode="External"/><Relationship Id="rId116" Type="http://schemas.openxmlformats.org/officeDocument/2006/relationships/hyperlink" Target="https://pt.tradingeconomics.com/tajikistan/rating" TargetMode="External"/><Relationship Id="rId137" Type="http://schemas.openxmlformats.org/officeDocument/2006/relationships/hyperlink" Target="https://pt.tradingeconomics.com/argentina/rating" TargetMode="External"/><Relationship Id="rId158" Type="http://schemas.openxmlformats.org/officeDocument/2006/relationships/hyperlink" Target="https://pt.tradingeconomics.com/grenada/ra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74"/>
  <sheetViews>
    <sheetView topLeftCell="R1" workbookViewId="0">
      <selection activeCell="W1" sqref="W1:W1048576"/>
    </sheetView>
  </sheetViews>
  <sheetFormatPr defaultRowHeight="15" x14ac:dyDescent="0.25"/>
  <cols>
    <col min="1" max="1" width="15.7109375" bestFit="1" customWidth="1"/>
    <col min="2" max="2" width="13.140625" bestFit="1" customWidth="1"/>
    <col min="3" max="3" width="22.42578125" bestFit="1" customWidth="1"/>
    <col min="4" max="4" width="5" bestFit="1" customWidth="1"/>
    <col min="5" max="5" width="14.7109375" bestFit="1" customWidth="1"/>
    <col min="6" max="6" width="16.140625" bestFit="1" customWidth="1"/>
    <col min="7" max="7" width="13.28515625" bestFit="1" customWidth="1"/>
    <col min="8" max="8" width="27.42578125" bestFit="1" customWidth="1"/>
    <col min="9" max="9" width="22.5703125" bestFit="1" customWidth="1"/>
    <col min="10" max="10" width="12.28515625" bestFit="1" customWidth="1"/>
    <col min="11" max="11" width="19.5703125" bestFit="1" customWidth="1"/>
    <col min="12" max="12" width="34.7109375" bestFit="1" customWidth="1"/>
    <col min="13" max="13" width="31" bestFit="1" customWidth="1"/>
    <col min="14" max="14" width="21.42578125" bestFit="1" customWidth="1"/>
    <col min="15" max="15" width="23.7109375" bestFit="1" customWidth="1"/>
    <col min="16" max="16" width="21.7109375" bestFit="1" customWidth="1"/>
    <col min="17" max="17" width="31" bestFit="1" customWidth="1"/>
    <col min="18" max="18" width="30" bestFit="1" customWidth="1"/>
    <col min="19" max="19" width="15.5703125" bestFit="1" customWidth="1"/>
    <col min="20" max="20" width="15.85546875" bestFit="1" customWidth="1"/>
    <col min="21" max="21" width="21.85546875" bestFit="1" customWidth="1"/>
    <col min="22" max="22" width="34.7109375" bestFit="1" customWidth="1"/>
  </cols>
  <sheetData>
    <row r="1" spans="1:22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</row>
    <row r="2" spans="1:2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249</v>
      </c>
      <c r="L2" t="s">
        <v>250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</row>
    <row r="3" spans="1:22" x14ac:dyDescent="0.25">
      <c r="A3" t="str">
        <f>C3&amp;D3</f>
        <v>Afghanistan2010</v>
      </c>
      <c r="B3" t="s">
        <v>19</v>
      </c>
      <c r="C3" t="s">
        <v>20</v>
      </c>
      <c r="D3">
        <v>2010</v>
      </c>
      <c r="E3">
        <v>560.62150546314604</v>
      </c>
      <c r="F3">
        <v>14.3624414710737</v>
      </c>
      <c r="G3">
        <v>2.17853752389418</v>
      </c>
      <c r="H3">
        <v>9</v>
      </c>
      <c r="I3">
        <v>2.3066149011660699</v>
      </c>
      <c r="J3">
        <v>7.8090000000000002</v>
      </c>
      <c r="K3">
        <v>50.8630045999057</v>
      </c>
      <c r="L3">
        <v>11.091949157320499</v>
      </c>
      <c r="M3">
        <v>3.81463031545211</v>
      </c>
      <c r="N3">
        <v>103.144455694301</v>
      </c>
      <c r="O3">
        <v>14.1462411929736</v>
      </c>
      <c r="P3">
        <v>10.4573872731044</v>
      </c>
      <c r="Q3">
        <v>-2.7377694412265701</v>
      </c>
      <c r="R3">
        <v>15.5974704590686</v>
      </c>
      <c r="S3">
        <v>0.93334362549538097</v>
      </c>
      <c r="T3">
        <v>7.6969493197459098</v>
      </c>
      <c r="U3">
        <v>-0.57359519395349501</v>
      </c>
      <c r="V3">
        <v>30.0479669032526</v>
      </c>
    </row>
    <row r="4" spans="1:22" x14ac:dyDescent="0.25">
      <c r="A4" t="str">
        <f t="shared" ref="A4:A67" si="0">C4&amp;D4</f>
        <v>Afghanistan2011</v>
      </c>
      <c r="B4" t="s">
        <v>19</v>
      </c>
      <c r="C4" t="s">
        <v>20</v>
      </c>
      <c r="D4">
        <v>2011</v>
      </c>
      <c r="E4">
        <v>606.69467633772604</v>
      </c>
      <c r="F4">
        <v>0.42635477677734501</v>
      </c>
      <c r="G4">
        <v>11.8041858089129</v>
      </c>
      <c r="H4">
        <v>9</v>
      </c>
      <c r="I4">
        <v>2.3221404547162598</v>
      </c>
      <c r="J4">
        <v>7.83</v>
      </c>
      <c r="K4">
        <v>59.4847758807514</v>
      </c>
      <c r="L4">
        <v>11.5101607150307</v>
      </c>
      <c r="M4">
        <v>16.593346740162701</v>
      </c>
      <c r="N4">
        <v>101.45830829208801</v>
      </c>
      <c r="O4">
        <v>14.1462411929736</v>
      </c>
      <c r="P4">
        <v>10.3439728750425</v>
      </c>
      <c r="Q4">
        <v>-2.7377694412265701</v>
      </c>
      <c r="R4">
        <v>15.5974704590686</v>
      </c>
      <c r="S4">
        <v>-0.67182169752439502</v>
      </c>
      <c r="T4">
        <v>7.5010843705694503</v>
      </c>
      <c r="U4">
        <v>-0.71217562055515904</v>
      </c>
      <c r="V4">
        <v>27.3919579685077</v>
      </c>
    </row>
    <row r="5" spans="1:22" x14ac:dyDescent="0.25">
      <c r="A5" t="str">
        <f t="shared" si="0"/>
        <v>Afghanistan2012</v>
      </c>
      <c r="B5" t="s">
        <v>19</v>
      </c>
      <c r="C5" t="s">
        <v>20</v>
      </c>
      <c r="D5">
        <v>2012</v>
      </c>
      <c r="E5">
        <v>651.41713447004599</v>
      </c>
      <c r="F5">
        <v>12.7522870926697</v>
      </c>
      <c r="G5">
        <v>6.4412128093411702</v>
      </c>
      <c r="H5">
        <v>9</v>
      </c>
      <c r="I5">
        <v>2.3379113387112098</v>
      </c>
      <c r="J5">
        <v>7.875</v>
      </c>
      <c r="K5">
        <v>42.329251448460802</v>
      </c>
      <c r="L5">
        <v>10.2006246425162</v>
      </c>
      <c r="M5">
        <v>7.3017564676043198</v>
      </c>
      <c r="N5">
        <v>99.773130936886503</v>
      </c>
      <c r="O5">
        <v>14.1462411929736</v>
      </c>
      <c r="P5">
        <v>8.6772088536181506</v>
      </c>
      <c r="Q5">
        <v>-2.7377694412265701</v>
      </c>
      <c r="R5">
        <v>15.5974704590686</v>
      </c>
      <c r="S5">
        <v>0.18205705245326501</v>
      </c>
      <c r="T5">
        <v>6.7594678790854603</v>
      </c>
      <c r="U5">
        <v>-0.68277398258532496</v>
      </c>
      <c r="V5">
        <v>27.9554647714452</v>
      </c>
    </row>
    <row r="6" spans="1:22" x14ac:dyDescent="0.25">
      <c r="A6" t="str">
        <f t="shared" si="0"/>
        <v>Afghanistan2013</v>
      </c>
      <c r="B6" t="s">
        <v>19</v>
      </c>
      <c r="C6" t="s">
        <v>20</v>
      </c>
      <c r="D6">
        <v>2013</v>
      </c>
      <c r="E6">
        <v>637.087099117099</v>
      </c>
      <c r="F6">
        <v>5.6007446586322098</v>
      </c>
      <c r="G6">
        <v>7.3857717839785497</v>
      </c>
      <c r="H6">
        <v>9</v>
      </c>
      <c r="I6">
        <v>2.3497690140602798</v>
      </c>
      <c r="J6">
        <v>7.9210000000000003</v>
      </c>
      <c r="K6">
        <v>42.093684446880502</v>
      </c>
      <c r="L6">
        <v>9.4056093316274598</v>
      </c>
      <c r="M6">
        <v>4.8227854787698599</v>
      </c>
      <c r="N6">
        <v>98.063558808758998</v>
      </c>
      <c r="O6">
        <v>14.1462411929736</v>
      </c>
      <c r="P6">
        <v>8.5881376662817601</v>
      </c>
      <c r="Q6">
        <v>-2.7377694412265701</v>
      </c>
      <c r="R6">
        <v>15.5974704590686</v>
      </c>
      <c r="S6">
        <v>-0.63094556956126302</v>
      </c>
      <c r="T6">
        <v>6.9044791707453399</v>
      </c>
      <c r="U6">
        <v>-0.79390636993891694</v>
      </c>
      <c r="V6">
        <v>25.8255202981242</v>
      </c>
    </row>
    <row r="7" spans="1:22" x14ac:dyDescent="0.25">
      <c r="A7" t="str">
        <f t="shared" si="0"/>
        <v>Afghanistan2014</v>
      </c>
      <c r="B7" t="s">
        <v>19</v>
      </c>
      <c r="C7" t="s">
        <v>20</v>
      </c>
      <c r="D7">
        <v>2014</v>
      </c>
      <c r="E7">
        <v>625.05494181393794</v>
      </c>
      <c r="F7">
        <v>2.7245433621956501</v>
      </c>
      <c r="G7">
        <v>4.67399603536344</v>
      </c>
      <c r="H7">
        <v>9</v>
      </c>
      <c r="I7">
        <v>2.35653566515757</v>
      </c>
      <c r="J7">
        <v>7.915</v>
      </c>
      <c r="K7">
        <v>44.589299489333897</v>
      </c>
      <c r="L7">
        <v>8.6137305046204595</v>
      </c>
      <c r="M7">
        <v>0.56694454253260995</v>
      </c>
      <c r="N7">
        <v>96.346393785129607</v>
      </c>
      <c r="O7">
        <v>14.1462411929736</v>
      </c>
      <c r="P7">
        <v>10.702694846181499</v>
      </c>
      <c r="Q7">
        <v>-2.7377694412265701</v>
      </c>
      <c r="R7">
        <v>15.5974704590686</v>
      </c>
      <c r="S7">
        <v>-1.71879680844289</v>
      </c>
      <c r="T7">
        <v>8.7002910496838801</v>
      </c>
      <c r="U7">
        <v>-0.83403838160468202</v>
      </c>
      <c r="V7">
        <v>25.056356974216001</v>
      </c>
    </row>
    <row r="8" spans="1:22" x14ac:dyDescent="0.25">
      <c r="A8" t="str">
        <f t="shared" si="0"/>
        <v>Afghanistan2015</v>
      </c>
      <c r="B8" t="s">
        <v>19</v>
      </c>
      <c r="C8" t="s">
        <v>20</v>
      </c>
      <c r="D8">
        <v>2015</v>
      </c>
      <c r="E8">
        <v>565.56973040875096</v>
      </c>
      <c r="F8">
        <v>1.4513146606643099</v>
      </c>
      <c r="G8">
        <v>-0.66170916471374097</v>
      </c>
      <c r="H8">
        <v>9</v>
      </c>
      <c r="I8">
        <v>2.35669506261475</v>
      </c>
      <c r="J8">
        <v>9.032</v>
      </c>
      <c r="K8">
        <v>37.022569573642699</v>
      </c>
      <c r="L8">
        <v>10.131118168369699</v>
      </c>
      <c r="M8">
        <v>2.4475630014740402</v>
      </c>
      <c r="N8">
        <v>94.613233711282106</v>
      </c>
      <c r="O8">
        <v>14.1462411929736</v>
      </c>
      <c r="P8">
        <v>9.7701939604311701</v>
      </c>
      <c r="Q8">
        <v>-2.7377694412265701</v>
      </c>
      <c r="R8">
        <v>15.5974704590686</v>
      </c>
      <c r="S8">
        <v>-1.3777003286854601</v>
      </c>
      <c r="T8">
        <v>9.1540828566464292</v>
      </c>
      <c r="U8">
        <v>-0.88055328847438596</v>
      </c>
      <c r="V8">
        <v>24.164860164209198</v>
      </c>
    </row>
    <row r="9" spans="1:22" x14ac:dyDescent="0.25">
      <c r="A9" t="str">
        <f t="shared" si="0"/>
        <v>Afghanistan2016</v>
      </c>
      <c r="B9" t="s">
        <v>19</v>
      </c>
      <c r="C9" t="s">
        <v>20</v>
      </c>
      <c r="D9">
        <v>2016</v>
      </c>
      <c r="E9">
        <v>522.08221558389801</v>
      </c>
      <c r="F9">
        <v>2.2603142027982099</v>
      </c>
      <c r="G9">
        <v>4.3838919551391404</v>
      </c>
      <c r="H9">
        <v>9</v>
      </c>
      <c r="I9">
        <v>2.3554973612569099</v>
      </c>
      <c r="J9">
        <v>10.116</v>
      </c>
      <c r="K9">
        <v>43.922765612538903</v>
      </c>
      <c r="L9">
        <v>12.678009904575999</v>
      </c>
      <c r="M9">
        <v>-2.19752646733461</v>
      </c>
      <c r="N9">
        <v>92.889871220210395</v>
      </c>
      <c r="O9">
        <v>14.1462411929736</v>
      </c>
      <c r="P9">
        <v>11.8280603760738</v>
      </c>
      <c r="Q9">
        <v>-2.7377694412265701</v>
      </c>
      <c r="R9">
        <v>15.5974704590686</v>
      </c>
      <c r="S9">
        <v>0.12725798449336001</v>
      </c>
      <c r="T9">
        <v>8.4372660972378899</v>
      </c>
      <c r="U9">
        <v>-0.71227605535101401</v>
      </c>
      <c r="V9">
        <v>27.390033052257301</v>
      </c>
    </row>
    <row r="10" spans="1:22" x14ac:dyDescent="0.25">
      <c r="A10" t="str">
        <f t="shared" si="0"/>
        <v>Afghanistan2017</v>
      </c>
      <c r="B10" t="s">
        <v>19</v>
      </c>
      <c r="C10" t="s">
        <v>20</v>
      </c>
      <c r="D10">
        <v>2017</v>
      </c>
      <c r="E10">
        <v>525.46977089161896</v>
      </c>
      <c r="F10">
        <v>2.6470032027451</v>
      </c>
      <c r="G10">
        <v>4.9759515055383199</v>
      </c>
      <c r="H10">
        <v>9</v>
      </c>
      <c r="I10">
        <v>2.3597370215689701</v>
      </c>
      <c r="J10">
        <v>11.183999999999999</v>
      </c>
      <c r="K10">
        <v>39.220109980768399</v>
      </c>
      <c r="L10">
        <v>13.039262222754401</v>
      </c>
      <c r="M10">
        <v>2.40365618765746</v>
      </c>
      <c r="N10">
        <v>91.293618685393596</v>
      </c>
      <c r="O10">
        <v>14.1462411929736</v>
      </c>
      <c r="P10">
        <v>12.134276641831301</v>
      </c>
      <c r="Q10">
        <v>-2.7377694412265701</v>
      </c>
      <c r="R10">
        <v>15.5974704590686</v>
      </c>
      <c r="S10">
        <v>-0.673105906142618</v>
      </c>
      <c r="T10">
        <v>7.9976601991652503</v>
      </c>
      <c r="U10">
        <v>-0.77494342605682898</v>
      </c>
      <c r="V10">
        <v>26.188960861954101</v>
      </c>
    </row>
    <row r="11" spans="1:22" x14ac:dyDescent="0.25">
      <c r="A11" t="str">
        <f t="shared" si="0"/>
        <v>Afghanistan2018</v>
      </c>
      <c r="B11" t="s">
        <v>19</v>
      </c>
      <c r="C11" t="s">
        <v>20</v>
      </c>
      <c r="D11">
        <v>2018</v>
      </c>
      <c r="E11">
        <v>491.33722138260299</v>
      </c>
      <c r="F11">
        <v>1.1892281294451701</v>
      </c>
      <c r="G11">
        <v>0.62614914916884601</v>
      </c>
      <c r="H11">
        <v>9</v>
      </c>
      <c r="I11">
        <v>2.3671204768881502</v>
      </c>
      <c r="J11">
        <v>11.192</v>
      </c>
      <c r="K11">
        <v>43.126008530499803</v>
      </c>
      <c r="L11">
        <v>10.6462868999183</v>
      </c>
      <c r="M11">
        <v>2.0713485778348701</v>
      </c>
      <c r="N11">
        <v>89.849605975810107</v>
      </c>
      <c r="O11">
        <v>14.1462411929736</v>
      </c>
      <c r="P11">
        <v>12.178586861257999</v>
      </c>
      <c r="Q11">
        <v>-2.7377694412265701</v>
      </c>
      <c r="R11">
        <v>15.5974704590686</v>
      </c>
      <c r="S11">
        <v>1.63419574024946</v>
      </c>
      <c r="T11">
        <v>7.3844129423332099</v>
      </c>
      <c r="U11">
        <v>-0.678826901779923</v>
      </c>
      <c r="V11">
        <v>28.0311138522165</v>
      </c>
    </row>
    <row r="12" spans="1:22" x14ac:dyDescent="0.25">
      <c r="A12" t="str">
        <f t="shared" si="0"/>
        <v>Afghanistan2019</v>
      </c>
      <c r="B12" t="s">
        <v>19</v>
      </c>
      <c r="C12" t="s">
        <v>20</v>
      </c>
      <c r="D12">
        <v>2019</v>
      </c>
      <c r="E12">
        <v>496.60250425850001</v>
      </c>
      <c r="F12">
        <v>3.9116034162555202</v>
      </c>
      <c r="G12">
        <v>2.3023725151683299</v>
      </c>
      <c r="H12">
        <v>9</v>
      </c>
      <c r="I12">
        <v>2.3761533834911401</v>
      </c>
      <c r="J12">
        <v>11.186999999999999</v>
      </c>
      <c r="K12">
        <v>43.126008530499803</v>
      </c>
      <c r="L12">
        <v>10.6462868999183</v>
      </c>
      <c r="M12">
        <v>6.5214798483253098</v>
      </c>
      <c r="N12">
        <v>88.512027612222198</v>
      </c>
      <c r="O12">
        <v>14.1462411929736</v>
      </c>
      <c r="P12">
        <v>13.7489091058633</v>
      </c>
      <c r="Q12">
        <v>-2.7377694412265701</v>
      </c>
      <c r="R12">
        <v>15.5974704590686</v>
      </c>
      <c r="S12">
        <v>-1.0580811178504499</v>
      </c>
      <c r="T12">
        <v>6.1363465205369101</v>
      </c>
      <c r="U12">
        <v>-0.739135966052473</v>
      </c>
      <c r="V12">
        <v>26.875240562733602</v>
      </c>
    </row>
    <row r="13" spans="1:22" x14ac:dyDescent="0.25">
      <c r="A13" t="str">
        <f t="shared" si="0"/>
        <v>Afghanistan2020</v>
      </c>
      <c r="B13" t="s">
        <v>19</v>
      </c>
      <c r="C13" t="s">
        <v>20</v>
      </c>
      <c r="D13">
        <v>2020</v>
      </c>
      <c r="E13">
        <v>510.78706336681103</v>
      </c>
      <c r="F13">
        <v>-2.3511006720346601</v>
      </c>
      <c r="G13">
        <v>5.6018879148222398</v>
      </c>
      <c r="H13">
        <v>9</v>
      </c>
      <c r="I13">
        <v>2.37073382439812</v>
      </c>
      <c r="J13">
        <v>11.71</v>
      </c>
      <c r="K13">
        <v>43.126008530499803</v>
      </c>
      <c r="L13">
        <v>10.6462868999183</v>
      </c>
      <c r="M13">
        <v>6.9629462552563997</v>
      </c>
      <c r="N13">
        <v>87.247816914676307</v>
      </c>
      <c r="O13">
        <v>11.5</v>
      </c>
      <c r="P13">
        <v>16.631633655194101</v>
      </c>
      <c r="Q13">
        <v>-2.7377694412265701</v>
      </c>
      <c r="R13">
        <v>10.4208171386207</v>
      </c>
      <c r="S13">
        <v>-2.24279939297291</v>
      </c>
      <c r="T13">
        <v>7.33114732934028</v>
      </c>
      <c r="U13">
        <v>-0.827683309829091</v>
      </c>
      <c r="V13">
        <v>25.178157201209299</v>
      </c>
    </row>
    <row r="14" spans="1:22" x14ac:dyDescent="0.25">
      <c r="A14" t="str">
        <f t="shared" si="0"/>
        <v>Afghanistan2021</v>
      </c>
      <c r="B14" t="s">
        <v>19</v>
      </c>
      <c r="C14" t="s">
        <v>20</v>
      </c>
      <c r="D14">
        <v>2021</v>
      </c>
      <c r="E14">
        <v>356.49621411589197</v>
      </c>
      <c r="F14">
        <v>-20.738839367634299</v>
      </c>
      <c r="G14">
        <v>5.1332034082496198</v>
      </c>
      <c r="H14">
        <v>9</v>
      </c>
      <c r="I14">
        <v>2.3525495187399601</v>
      </c>
      <c r="J14">
        <v>12.006</v>
      </c>
      <c r="K14">
        <v>43.126008530499803</v>
      </c>
      <c r="L14">
        <v>10.6462868999183</v>
      </c>
      <c r="M14">
        <v>2.8389962508104101</v>
      </c>
      <c r="N14">
        <v>86.083468180427602</v>
      </c>
      <c r="O14">
        <v>13</v>
      </c>
      <c r="P14">
        <v>10.702694846181499</v>
      </c>
      <c r="Q14">
        <v>-2.7377694412265701</v>
      </c>
      <c r="R14">
        <v>14.342152797537</v>
      </c>
      <c r="S14">
        <v>-0.48493881791068799</v>
      </c>
      <c r="T14">
        <v>11.135732734122</v>
      </c>
      <c r="U14">
        <v>-1.0060647845044901</v>
      </c>
      <c r="V14">
        <v>21.7593281345859</v>
      </c>
    </row>
    <row r="15" spans="1:22" x14ac:dyDescent="0.25">
      <c r="A15" t="str">
        <f t="shared" si="0"/>
        <v>Afghanistan2022</v>
      </c>
      <c r="B15" t="s">
        <v>19</v>
      </c>
      <c r="C15" t="s">
        <v>20</v>
      </c>
      <c r="D15">
        <v>2022</v>
      </c>
      <c r="E15">
        <v>357.261152798144</v>
      </c>
      <c r="F15">
        <v>-6.2401719924026899</v>
      </c>
      <c r="G15">
        <v>13.712102372006401</v>
      </c>
      <c r="H15">
        <v>9</v>
      </c>
      <c r="I15">
        <v>2.3551423670493099</v>
      </c>
      <c r="J15">
        <v>14.1</v>
      </c>
      <c r="K15">
        <v>43.126008530499803</v>
      </c>
      <c r="L15">
        <v>10.6462868999183</v>
      </c>
      <c r="M15">
        <v>9.4062393393132204</v>
      </c>
      <c r="N15">
        <v>84.962489328913904</v>
      </c>
      <c r="O15">
        <v>16.7</v>
      </c>
      <c r="P15">
        <v>10.702694846181499</v>
      </c>
      <c r="Q15">
        <v>-2.7377694412265701</v>
      </c>
      <c r="R15">
        <v>18.3800424016375</v>
      </c>
      <c r="S15">
        <v>-0.99733671671102597</v>
      </c>
      <c r="T15">
        <v>10.6426802852761</v>
      </c>
      <c r="U15">
        <v>-0.93338137865853299</v>
      </c>
      <c r="V15">
        <v>23.152365954345701</v>
      </c>
    </row>
    <row r="16" spans="1:22" x14ac:dyDescent="0.25">
      <c r="A16" t="str">
        <f t="shared" si="0"/>
        <v>Afghanistan2023</v>
      </c>
      <c r="B16" t="s">
        <v>19</v>
      </c>
      <c r="C16" t="s">
        <v>20</v>
      </c>
      <c r="D16">
        <v>2023</v>
      </c>
      <c r="E16">
        <v>413.75789470530299</v>
      </c>
      <c r="F16">
        <v>2.2669437364918799</v>
      </c>
      <c r="G16">
        <v>-4.64470870797774</v>
      </c>
      <c r="H16">
        <v>9</v>
      </c>
      <c r="I16">
        <v>2.3775375281985101</v>
      </c>
      <c r="J16">
        <v>14.007999999999999</v>
      </c>
      <c r="K16">
        <v>43.126008530499803</v>
      </c>
      <c r="L16">
        <v>10.6462868999183</v>
      </c>
      <c r="M16">
        <v>2.9236621312166902</v>
      </c>
      <c r="N16">
        <v>83.836172843628702</v>
      </c>
      <c r="O16">
        <v>15.2924823859473</v>
      </c>
      <c r="P16">
        <v>10.702694846181499</v>
      </c>
      <c r="Q16">
        <v>-2.7377694412265701</v>
      </c>
      <c r="R16">
        <v>16.852788120600199</v>
      </c>
      <c r="S16">
        <v>-1.32970350404723</v>
      </c>
      <c r="T16">
        <v>8.2545201597155202</v>
      </c>
      <c r="U16">
        <v>-0.82732798530719398</v>
      </c>
      <c r="V16">
        <v>25.1849672906861</v>
      </c>
    </row>
    <row r="17" spans="1:22" x14ac:dyDescent="0.25">
      <c r="A17" t="str">
        <f t="shared" si="0"/>
        <v>Afghanistan2024</v>
      </c>
      <c r="B17" t="s">
        <v>19</v>
      </c>
      <c r="C17" t="s">
        <v>20</v>
      </c>
      <c r="D17">
        <v>2024</v>
      </c>
      <c r="E17">
        <v>523.77599323775803</v>
      </c>
      <c r="F17">
        <v>2.26362896964504</v>
      </c>
      <c r="G17">
        <v>-6.60118564073725</v>
      </c>
      <c r="H17">
        <v>9</v>
      </c>
      <c r="I17">
        <v>2.4009700265610001</v>
      </c>
      <c r="J17">
        <v>13.686999999999999</v>
      </c>
      <c r="K17">
        <v>43.126008530499803</v>
      </c>
      <c r="L17">
        <v>10.6462868999183</v>
      </c>
      <c r="M17">
        <v>3.3691462233344001</v>
      </c>
      <c r="N17">
        <v>82.776848315823401</v>
      </c>
      <c r="O17">
        <v>14.1462411929736</v>
      </c>
      <c r="P17">
        <v>10.702694846181499</v>
      </c>
      <c r="Q17">
        <v>-2.7377694412265701</v>
      </c>
      <c r="R17">
        <v>15.5974704590686</v>
      </c>
      <c r="S17">
        <v>-0.54805180370990003</v>
      </c>
      <c r="T17">
        <v>8.9120232815673095</v>
      </c>
      <c r="U17">
        <v>-0.77060306375974796</v>
      </c>
      <c r="V17">
        <v>26.272147509042501</v>
      </c>
    </row>
    <row r="18" spans="1:22" x14ac:dyDescent="0.25">
      <c r="A18" t="str">
        <f t="shared" si="0"/>
        <v>Afghanistan2025</v>
      </c>
      <c r="B18" t="s">
        <v>19</v>
      </c>
      <c r="C18" t="s">
        <v>20</v>
      </c>
      <c r="D18">
        <v>2025</v>
      </c>
      <c r="E18">
        <v>523.77599323775803</v>
      </c>
      <c r="F18">
        <v>2.26362896964504</v>
      </c>
      <c r="G18">
        <v>4.67399603536344</v>
      </c>
      <c r="H18">
        <v>9</v>
      </c>
      <c r="I18">
        <v>2.35653566515757</v>
      </c>
      <c r="J18">
        <v>13.351000000000001</v>
      </c>
      <c r="K18">
        <v>43.126008530499803</v>
      </c>
      <c r="L18">
        <v>10.6462868999183</v>
      </c>
      <c r="M18">
        <v>3.3691462233344001</v>
      </c>
      <c r="N18">
        <v>91.293618685393596</v>
      </c>
      <c r="O18">
        <v>14.1462411929736</v>
      </c>
      <c r="P18">
        <v>10.702694846181499</v>
      </c>
      <c r="Q18">
        <v>-2.7377694412265701</v>
      </c>
      <c r="R18">
        <v>15.5974704590686</v>
      </c>
      <c r="S18">
        <v>-0.89076137035872505</v>
      </c>
      <c r="T18">
        <v>7.9760935799000903</v>
      </c>
      <c r="U18">
        <v>-0.85264841207905295</v>
      </c>
      <c r="V18">
        <v>24.699680288857799</v>
      </c>
    </row>
    <row r="19" spans="1:22" x14ac:dyDescent="0.25">
      <c r="A19" t="str">
        <f t="shared" si="0"/>
        <v>Albania2010</v>
      </c>
      <c r="B19" t="s">
        <v>21</v>
      </c>
      <c r="C19" t="s">
        <v>22</v>
      </c>
      <c r="D19">
        <v>2010</v>
      </c>
      <c r="E19">
        <v>4149.1446993684704</v>
      </c>
      <c r="F19">
        <v>2.9731544268124699</v>
      </c>
      <c r="G19">
        <v>3.6271009151747902</v>
      </c>
      <c r="H19">
        <v>8</v>
      </c>
      <c r="I19">
        <v>10.9200550479108</v>
      </c>
      <c r="J19">
        <v>14.086</v>
      </c>
      <c r="K19">
        <v>24.121575341494601</v>
      </c>
      <c r="L19">
        <v>24.645057493506499</v>
      </c>
      <c r="M19">
        <v>4.1274438912079896</v>
      </c>
      <c r="N19">
        <v>48.403413916196698</v>
      </c>
      <c r="O19">
        <v>32.492622632897699</v>
      </c>
      <c r="P19">
        <v>4.8554561047298002</v>
      </c>
      <c r="Q19">
        <v>21.289191713947499</v>
      </c>
      <c r="R19">
        <v>27.609929670104702</v>
      </c>
      <c r="S19">
        <v>-3.5201218589029102</v>
      </c>
      <c r="T19">
        <v>57.7195522335942</v>
      </c>
      <c r="U19">
        <v>-0.51042048198296797</v>
      </c>
      <c r="V19">
        <v>31.258762710123399</v>
      </c>
    </row>
    <row r="20" spans="1:22" x14ac:dyDescent="0.25">
      <c r="A20" t="str">
        <f t="shared" si="0"/>
        <v>Albania2011</v>
      </c>
      <c r="B20" t="s">
        <v>21</v>
      </c>
      <c r="C20" t="s">
        <v>22</v>
      </c>
      <c r="D20">
        <v>2011</v>
      </c>
      <c r="E20">
        <v>4465.70914328865</v>
      </c>
      <c r="F20">
        <v>2.46351683915714</v>
      </c>
      <c r="G20">
        <v>3.4280713014150099</v>
      </c>
      <c r="H20">
        <v>8</v>
      </c>
      <c r="I20">
        <v>11.228183097120899</v>
      </c>
      <c r="J20">
        <v>13.481</v>
      </c>
      <c r="K20">
        <v>22.863900591842199</v>
      </c>
      <c r="L20">
        <v>23.747424541430298</v>
      </c>
      <c r="M20">
        <v>1.69479180198789</v>
      </c>
      <c r="N20">
        <v>47.393916517253302</v>
      </c>
      <c r="O20">
        <v>33.8376091539876</v>
      </c>
      <c r="P20">
        <v>4.2320103980139203</v>
      </c>
      <c r="Q20">
        <v>21.0084990062422</v>
      </c>
      <c r="R20">
        <v>29.054473802263299</v>
      </c>
      <c r="S20">
        <v>-3.5163119530813001</v>
      </c>
      <c r="T20">
        <v>59.412626469737603</v>
      </c>
      <c r="U20">
        <v>-0.52666034613249302</v>
      </c>
      <c r="V20">
        <v>30.947512230254599</v>
      </c>
    </row>
    <row r="21" spans="1:22" x14ac:dyDescent="0.25">
      <c r="A21" t="str">
        <f t="shared" si="0"/>
        <v>Albania2012</v>
      </c>
      <c r="B21" t="s">
        <v>21</v>
      </c>
      <c r="C21" t="s">
        <v>22</v>
      </c>
      <c r="D21">
        <v>2012</v>
      </c>
      <c r="E21">
        <v>4280.9331633887296</v>
      </c>
      <c r="F21">
        <v>0.98412988020410797</v>
      </c>
      <c r="G21">
        <v>2.0315926839529599</v>
      </c>
      <c r="H21">
        <v>9</v>
      </c>
      <c r="I21">
        <v>11.5093140765442</v>
      </c>
      <c r="J21">
        <v>13.375999999999999</v>
      </c>
      <c r="K21">
        <v>23.1453646987216</v>
      </c>
      <c r="L21">
        <v>23.188742298137299</v>
      </c>
      <c r="M21">
        <v>0.22673979064920499</v>
      </c>
      <c r="N21">
        <v>46.630561420180697</v>
      </c>
      <c r="O21">
        <v>29.7150278852687</v>
      </c>
      <c r="P21">
        <v>5.0439306547735496</v>
      </c>
      <c r="Q21">
        <v>19.455804081898201</v>
      </c>
      <c r="R21">
        <v>29.110770936081401</v>
      </c>
      <c r="S21">
        <v>-3.4406003828545102</v>
      </c>
      <c r="T21">
        <v>62.144467068472899</v>
      </c>
      <c r="U21">
        <v>-0.446569711283619</v>
      </c>
      <c r="V21">
        <v>32.4825157438421</v>
      </c>
    </row>
    <row r="22" spans="1:22" x14ac:dyDescent="0.25">
      <c r="A22" t="str">
        <f t="shared" si="0"/>
        <v>Albania2013</v>
      </c>
      <c r="B22" t="s">
        <v>21</v>
      </c>
      <c r="C22" t="s">
        <v>22</v>
      </c>
      <c r="D22">
        <v>2013</v>
      </c>
      <c r="E22">
        <v>4542.9290355673902</v>
      </c>
      <c r="F22">
        <v>1.7072283175406</v>
      </c>
      <c r="G22">
        <v>1.9376208020522301</v>
      </c>
      <c r="H22">
        <v>9</v>
      </c>
      <c r="I22">
        <v>11.8201351814959</v>
      </c>
      <c r="J22">
        <v>15.866</v>
      </c>
      <c r="K22">
        <v>24.121575341494601</v>
      </c>
      <c r="L22">
        <v>22.268762727483502</v>
      </c>
      <c r="M22">
        <v>0.35256378527770899</v>
      </c>
      <c r="N22">
        <v>46.229489134153198</v>
      </c>
      <c r="O22">
        <v>29.056637889997699</v>
      </c>
      <c r="P22">
        <v>5.4030317785284296</v>
      </c>
      <c r="Q22">
        <v>19.824718514613899</v>
      </c>
      <c r="R22">
        <v>28.869402007646901</v>
      </c>
      <c r="S22">
        <v>-5.2152188830083901</v>
      </c>
      <c r="T22">
        <v>70.391063141001993</v>
      </c>
      <c r="U22">
        <v>-0.56998322311747895</v>
      </c>
      <c r="V22">
        <v>30.1171933232295</v>
      </c>
    </row>
    <row r="23" spans="1:22" x14ac:dyDescent="0.25">
      <c r="A23" t="str">
        <f t="shared" si="0"/>
        <v>Albania2014</v>
      </c>
      <c r="B23" t="s">
        <v>21</v>
      </c>
      <c r="C23" t="s">
        <v>22</v>
      </c>
      <c r="D23">
        <v>2014</v>
      </c>
      <c r="E23">
        <v>4793.5975113152499</v>
      </c>
      <c r="F23">
        <v>2.2402269538264199</v>
      </c>
      <c r="G23">
        <v>1.62586504402613</v>
      </c>
      <c r="H23">
        <v>9</v>
      </c>
      <c r="I23">
        <v>12.166769206503499</v>
      </c>
      <c r="J23">
        <v>18.055</v>
      </c>
      <c r="K23">
        <v>24.257646662902999</v>
      </c>
      <c r="L23">
        <v>24.399349017059201</v>
      </c>
      <c r="M23">
        <v>1.4434205388813599</v>
      </c>
      <c r="N23">
        <v>46.099079719702203</v>
      </c>
      <c r="O23">
        <v>28.304782275821299</v>
      </c>
      <c r="P23">
        <v>4.8732022030428297</v>
      </c>
      <c r="Q23">
        <v>17.546691382872101</v>
      </c>
      <c r="R23">
        <v>28.0683434875498</v>
      </c>
      <c r="S23">
        <v>-5.4575441547405301</v>
      </c>
      <c r="T23">
        <v>71.992299832044495</v>
      </c>
      <c r="U23">
        <v>-0.60237904661518604</v>
      </c>
      <c r="V23">
        <v>29.496300468673201</v>
      </c>
    </row>
    <row r="24" spans="1:22" x14ac:dyDescent="0.25">
      <c r="A24" t="str">
        <f t="shared" si="0"/>
        <v>Albania2015</v>
      </c>
      <c r="B24" t="s">
        <v>21</v>
      </c>
      <c r="C24" t="s">
        <v>22</v>
      </c>
      <c r="D24">
        <v>2015</v>
      </c>
      <c r="E24">
        <v>4199.5391292539798</v>
      </c>
      <c r="F24">
        <v>2.2277040745779</v>
      </c>
      <c r="G24">
        <v>1.89617402592356</v>
      </c>
      <c r="H24">
        <v>9</v>
      </c>
      <c r="I24">
        <v>12.5431065412926</v>
      </c>
      <c r="J24">
        <v>17.193000000000001</v>
      </c>
      <c r="K24">
        <v>24.268600037404902</v>
      </c>
      <c r="L24">
        <v>24.558453602395701</v>
      </c>
      <c r="M24">
        <v>0.77157629061159105</v>
      </c>
      <c r="N24">
        <v>46.063682495576003</v>
      </c>
      <c r="O24">
        <v>27.813464840513401</v>
      </c>
      <c r="P24">
        <v>7.0375837006315303</v>
      </c>
      <c r="Q24">
        <v>19.280448244753099</v>
      </c>
      <c r="R24">
        <v>27.069322462031899</v>
      </c>
      <c r="S24">
        <v>-4.3178106330982198</v>
      </c>
      <c r="T24">
        <v>73.716335603187702</v>
      </c>
      <c r="U24">
        <v>-0.49667024871056697</v>
      </c>
      <c r="V24">
        <v>31.5222973471706</v>
      </c>
    </row>
    <row r="25" spans="1:22" x14ac:dyDescent="0.25">
      <c r="A25" t="str">
        <f t="shared" si="0"/>
        <v>Albania2016</v>
      </c>
      <c r="B25" t="s">
        <v>21</v>
      </c>
      <c r="C25" t="s">
        <v>22</v>
      </c>
      <c r="D25">
        <v>2016</v>
      </c>
      <c r="E25">
        <v>4457.63412207495</v>
      </c>
      <c r="F25">
        <v>3.90893551362245</v>
      </c>
      <c r="G25">
        <v>1.2754316836742301</v>
      </c>
      <c r="H25">
        <v>9</v>
      </c>
      <c r="I25">
        <v>12.9202121629827</v>
      </c>
      <c r="J25">
        <v>15.417999999999999</v>
      </c>
      <c r="K25">
        <v>23.7020106412118</v>
      </c>
      <c r="L25">
        <v>24.020432965042598</v>
      </c>
      <c r="M25">
        <v>-0.86426522120169103</v>
      </c>
      <c r="N25">
        <v>46.041864187917497</v>
      </c>
      <c r="O25">
        <v>26.814346013013999</v>
      </c>
      <c r="P25">
        <v>6.5435025667264597</v>
      </c>
      <c r="Q25">
        <v>19.3200538383653</v>
      </c>
      <c r="R25">
        <v>28.669793174160802</v>
      </c>
      <c r="S25">
        <v>-1.4975899135394799</v>
      </c>
      <c r="T25">
        <v>73.324409751276406</v>
      </c>
      <c r="U25">
        <v>-0.30529763637322899</v>
      </c>
      <c r="V25">
        <v>35.190112353213699</v>
      </c>
    </row>
    <row r="26" spans="1:22" x14ac:dyDescent="0.25">
      <c r="A26" t="str">
        <f t="shared" si="0"/>
        <v>Albania2017</v>
      </c>
      <c r="B26" t="s">
        <v>21</v>
      </c>
      <c r="C26" t="s">
        <v>22</v>
      </c>
      <c r="D26">
        <v>2017</v>
      </c>
      <c r="E26">
        <v>5006.3601295195904</v>
      </c>
      <c r="F26">
        <v>3.28317593330073</v>
      </c>
      <c r="G26">
        <v>1.9866613317119399</v>
      </c>
      <c r="H26">
        <v>9</v>
      </c>
      <c r="I26">
        <v>13.305391112027401</v>
      </c>
      <c r="J26">
        <v>13.616</v>
      </c>
      <c r="K26">
        <v>23.4381629574962</v>
      </c>
      <c r="L26">
        <v>25.270139390791002</v>
      </c>
      <c r="M26">
        <v>2.7250691854046099</v>
      </c>
      <c r="N26">
        <v>46.174778181015299</v>
      </c>
      <c r="O26">
        <v>27.657593194661999</v>
      </c>
      <c r="P26">
        <v>6.5748952048540197</v>
      </c>
      <c r="Q26">
        <v>20.372571015826502</v>
      </c>
      <c r="R26">
        <v>31.001795788858299</v>
      </c>
      <c r="S26">
        <v>-1.4055540277330101</v>
      </c>
      <c r="T26">
        <v>71.894782870674604</v>
      </c>
      <c r="U26">
        <v>-0.22910818553613299</v>
      </c>
      <c r="V26">
        <v>36.650346436186403</v>
      </c>
    </row>
    <row r="27" spans="1:22" x14ac:dyDescent="0.25">
      <c r="A27" t="str">
        <f t="shared" si="0"/>
        <v>Albania2018</v>
      </c>
      <c r="B27" t="s">
        <v>21</v>
      </c>
      <c r="C27" t="s">
        <v>22</v>
      </c>
      <c r="D27">
        <v>2018</v>
      </c>
      <c r="E27">
        <v>5897.6545258877404</v>
      </c>
      <c r="F27">
        <v>3.6714192809890802</v>
      </c>
      <c r="G27">
        <v>2.0280596307113399</v>
      </c>
      <c r="H27">
        <v>9</v>
      </c>
      <c r="I27">
        <v>13.739521828078001</v>
      </c>
      <c r="J27">
        <v>12.304</v>
      </c>
      <c r="K27">
        <v>22.929322426594599</v>
      </c>
      <c r="L27">
        <v>25.107909125214899</v>
      </c>
      <c r="M27">
        <v>1.4532872250901501</v>
      </c>
      <c r="N27">
        <v>46.508932454039901</v>
      </c>
      <c r="O27">
        <v>27.125299413203798</v>
      </c>
      <c r="P27">
        <v>6.3705574369326596</v>
      </c>
      <c r="Q27">
        <v>20.506845113800601</v>
      </c>
      <c r="R27">
        <v>31.114013542195099</v>
      </c>
      <c r="S27">
        <v>-1.5798042752427</v>
      </c>
      <c r="T27">
        <v>68.464326704289107</v>
      </c>
      <c r="U27">
        <v>-0.18371631063448199</v>
      </c>
      <c r="V27">
        <v>37.520319406107603</v>
      </c>
    </row>
    <row r="28" spans="1:22" x14ac:dyDescent="0.25">
      <c r="A28" t="str">
        <f t="shared" si="0"/>
        <v>Albania2019</v>
      </c>
      <c r="B28" t="s">
        <v>21</v>
      </c>
      <c r="C28" t="s">
        <v>22</v>
      </c>
      <c r="D28">
        <v>2019</v>
      </c>
      <c r="E28">
        <v>6069.4390313102704</v>
      </c>
      <c r="F28">
        <v>2.06257790176122</v>
      </c>
      <c r="G28">
        <v>1.4110907895424201</v>
      </c>
      <c r="H28">
        <v>9</v>
      </c>
      <c r="I28">
        <v>14.248098663106701</v>
      </c>
      <c r="J28">
        <v>11.465999999999999</v>
      </c>
      <c r="K28">
        <v>22.878396154040502</v>
      </c>
      <c r="L28">
        <v>24.845715802925401</v>
      </c>
      <c r="M28">
        <v>1.0006328555612201</v>
      </c>
      <c r="N28">
        <v>47.042375307793598</v>
      </c>
      <c r="O28">
        <v>25.287525607327598</v>
      </c>
      <c r="P28">
        <v>5.9445881700062504</v>
      </c>
      <c r="Q28">
        <v>17.452450320724601</v>
      </c>
      <c r="R28">
        <v>30.936122485848401</v>
      </c>
      <c r="S28">
        <v>-1.84274877887535</v>
      </c>
      <c r="T28">
        <v>66.601692959281806</v>
      </c>
      <c r="U28">
        <v>-0.19662162568342401</v>
      </c>
      <c r="V28">
        <v>37.272978328321699</v>
      </c>
    </row>
    <row r="29" spans="1:22" x14ac:dyDescent="0.25">
      <c r="A29" t="str">
        <f t="shared" si="0"/>
        <v>Albania2020</v>
      </c>
      <c r="B29" t="s">
        <v>21</v>
      </c>
      <c r="C29" t="s">
        <v>22</v>
      </c>
      <c r="D29">
        <v>2020</v>
      </c>
      <c r="E29">
        <v>6027.9135071634801</v>
      </c>
      <c r="F29">
        <v>-3.3137563688891598</v>
      </c>
      <c r="G29">
        <v>1.6208866171702001</v>
      </c>
      <c r="H29">
        <v>9</v>
      </c>
      <c r="I29">
        <v>14.7670044100644</v>
      </c>
      <c r="J29">
        <v>11.638999999999999</v>
      </c>
      <c r="K29">
        <v>24.604816157443299</v>
      </c>
      <c r="L29">
        <v>23.700981606643801</v>
      </c>
      <c r="M29">
        <v>4.1064998579926702E-2</v>
      </c>
      <c r="N29">
        <v>47.686471268530298</v>
      </c>
      <c r="O29">
        <v>26.2183472454095</v>
      </c>
      <c r="P29">
        <v>9.1648234838953595</v>
      </c>
      <c r="Q29">
        <v>17.6598381776735</v>
      </c>
      <c r="R29">
        <v>22.540758555893301</v>
      </c>
      <c r="S29">
        <v>-6.6651471423453303</v>
      </c>
      <c r="T29">
        <v>75.380960317733795</v>
      </c>
      <c r="U29">
        <v>-0.50114756309780295</v>
      </c>
      <c r="V29">
        <v>31.436485899567401</v>
      </c>
    </row>
    <row r="30" spans="1:22" x14ac:dyDescent="0.25">
      <c r="A30" t="str">
        <f t="shared" si="0"/>
        <v>Albania2021</v>
      </c>
      <c r="B30" t="s">
        <v>21</v>
      </c>
      <c r="C30" t="s">
        <v>22</v>
      </c>
      <c r="D30">
        <v>2021</v>
      </c>
      <c r="E30">
        <v>7242.4551314661303</v>
      </c>
      <c r="F30">
        <v>8.9695761907409501</v>
      </c>
      <c r="G30">
        <v>2.04147163139544</v>
      </c>
      <c r="H30">
        <v>9</v>
      </c>
      <c r="I30">
        <v>15.2660050732804</v>
      </c>
      <c r="J30">
        <v>11.474</v>
      </c>
      <c r="K30">
        <v>24.398323712266201</v>
      </c>
      <c r="L30">
        <v>25.0469777259433</v>
      </c>
      <c r="M30">
        <v>3.4442567503792998</v>
      </c>
      <c r="N30">
        <v>48.441601724710502</v>
      </c>
      <c r="O30">
        <v>28.672266921341301</v>
      </c>
      <c r="P30">
        <v>7.7505322495890701</v>
      </c>
      <c r="Q30">
        <v>21.024898793428299</v>
      </c>
      <c r="R30">
        <v>31.133056257266901</v>
      </c>
      <c r="S30">
        <v>-4.5711522957777504</v>
      </c>
      <c r="T30">
        <v>74.794659504424999</v>
      </c>
      <c r="U30">
        <v>-0.218220622564822</v>
      </c>
      <c r="V30">
        <v>36.859015620129099</v>
      </c>
    </row>
    <row r="31" spans="1:22" x14ac:dyDescent="0.25">
      <c r="A31" t="str">
        <f t="shared" si="0"/>
        <v>Albania2022</v>
      </c>
      <c r="B31" t="s">
        <v>21</v>
      </c>
      <c r="C31" t="s">
        <v>22</v>
      </c>
      <c r="D31">
        <v>2022</v>
      </c>
      <c r="E31">
        <v>7756.9618874425296</v>
      </c>
      <c r="F31">
        <v>4.8268006234358998</v>
      </c>
      <c r="G31">
        <v>6.7252027153005898</v>
      </c>
      <c r="H31">
        <v>9</v>
      </c>
      <c r="I31">
        <v>15.776338162857099</v>
      </c>
      <c r="J31">
        <v>10.785</v>
      </c>
      <c r="K31">
        <v>27.003149721590599</v>
      </c>
      <c r="L31">
        <v>24.731661384617301</v>
      </c>
      <c r="M31">
        <v>9.8616099201628806</v>
      </c>
      <c r="N31">
        <v>49.251046343505102</v>
      </c>
      <c r="O31">
        <v>26.802365474129399</v>
      </c>
      <c r="P31">
        <v>6.3365599079602601</v>
      </c>
      <c r="Q31">
        <v>20.933660645676799</v>
      </c>
      <c r="R31">
        <v>37.197075561497698</v>
      </c>
      <c r="S31">
        <v>-3.6387226434631601</v>
      </c>
      <c r="T31">
        <v>64.697191443195194</v>
      </c>
      <c r="U31">
        <v>-0.12790009624644999</v>
      </c>
      <c r="V31">
        <v>38.590083497283203</v>
      </c>
    </row>
    <row r="32" spans="1:22" x14ac:dyDescent="0.25">
      <c r="A32" t="str">
        <f t="shared" si="0"/>
        <v>Albania2023</v>
      </c>
      <c r="B32" t="s">
        <v>21</v>
      </c>
      <c r="C32" t="s">
        <v>22</v>
      </c>
      <c r="D32">
        <v>2023</v>
      </c>
      <c r="E32">
        <v>9730.8692190689308</v>
      </c>
      <c r="F32">
        <v>4.0154171693574199</v>
      </c>
      <c r="G32">
        <v>4.7583455515003799</v>
      </c>
      <c r="H32">
        <v>9</v>
      </c>
      <c r="I32">
        <v>16.3020000675759</v>
      </c>
      <c r="J32">
        <v>10.669</v>
      </c>
      <c r="K32">
        <v>25.435971873972701</v>
      </c>
      <c r="L32">
        <v>24.755469294995699</v>
      </c>
      <c r="M32">
        <v>5.7339070456440897</v>
      </c>
      <c r="N32">
        <v>50.023925823731901</v>
      </c>
      <c r="O32">
        <v>23.439286143621398</v>
      </c>
      <c r="P32">
        <v>6.73099415157147</v>
      </c>
      <c r="Q32">
        <v>22.164655608935298</v>
      </c>
      <c r="R32">
        <v>38.418821290128797</v>
      </c>
      <c r="S32">
        <v>-1.3187679746271901</v>
      </c>
      <c r="T32">
        <v>57.974607487210001</v>
      </c>
      <c r="U32">
        <v>5.0676931339404901E-2</v>
      </c>
      <c r="V32">
        <v>42.012660497796801</v>
      </c>
    </row>
    <row r="33" spans="1:22" x14ac:dyDescent="0.25">
      <c r="A33" t="str">
        <f t="shared" si="0"/>
        <v>Albania2024</v>
      </c>
      <c r="B33" t="s">
        <v>21</v>
      </c>
      <c r="C33" t="s">
        <v>22</v>
      </c>
      <c r="D33">
        <v>2024</v>
      </c>
      <c r="E33">
        <v>11377.7757431099</v>
      </c>
      <c r="F33">
        <v>4.0459284509534799</v>
      </c>
      <c r="G33">
        <v>2.21587375089991</v>
      </c>
      <c r="H33">
        <v>9</v>
      </c>
      <c r="I33">
        <v>16.922756199529001</v>
      </c>
      <c r="J33">
        <v>10.689</v>
      </c>
      <c r="K33">
        <v>24.121575341494601</v>
      </c>
      <c r="L33">
        <v>26.116523155312201</v>
      </c>
      <c r="M33">
        <v>2.3531809027574702</v>
      </c>
      <c r="N33">
        <v>50.974293834648499</v>
      </c>
      <c r="O33">
        <v>24.951496597804901</v>
      </c>
      <c r="P33">
        <v>6.0410741847230698</v>
      </c>
      <c r="Q33">
        <v>22.501611798468002</v>
      </c>
      <c r="R33">
        <v>36.284868535146501</v>
      </c>
      <c r="S33">
        <v>-0.72456657084213905</v>
      </c>
      <c r="T33">
        <v>54.504814560783501</v>
      </c>
      <c r="U33">
        <v>8.6448662915489805E-2</v>
      </c>
      <c r="V33">
        <v>42.698255433584301</v>
      </c>
    </row>
    <row r="34" spans="1:22" x14ac:dyDescent="0.25">
      <c r="A34" t="str">
        <f t="shared" si="0"/>
        <v>Albania2025</v>
      </c>
      <c r="B34" t="s">
        <v>21</v>
      </c>
      <c r="C34" t="s">
        <v>22</v>
      </c>
      <c r="D34">
        <v>2025</v>
      </c>
      <c r="E34">
        <v>5006.3601295195904</v>
      </c>
      <c r="F34">
        <v>2.9731544268124699</v>
      </c>
      <c r="G34">
        <v>2.0280596307113399</v>
      </c>
      <c r="H34">
        <v>9</v>
      </c>
      <c r="I34">
        <v>13.305391112027401</v>
      </c>
      <c r="J34">
        <v>10.926</v>
      </c>
      <c r="K34">
        <v>24.121575341494601</v>
      </c>
      <c r="L34">
        <v>24.645057493506499</v>
      </c>
      <c r="M34">
        <v>1.4532872250901501</v>
      </c>
      <c r="N34">
        <v>47.042375307793598</v>
      </c>
      <c r="O34">
        <v>27.657593194661999</v>
      </c>
      <c r="P34">
        <v>6.3365599079602601</v>
      </c>
      <c r="Q34">
        <v>20.372571015826502</v>
      </c>
      <c r="R34">
        <v>29.110770936081401</v>
      </c>
      <c r="S34">
        <v>-1.7464653988776899</v>
      </c>
      <c r="T34">
        <v>52.598905173453197</v>
      </c>
      <c r="U34">
        <v>-0.16558933066533901</v>
      </c>
      <c r="V34">
        <v>37.867738027471603</v>
      </c>
    </row>
    <row r="35" spans="1:22" x14ac:dyDescent="0.25">
      <c r="A35" t="str">
        <f t="shared" si="0"/>
        <v>Angola2010</v>
      </c>
      <c r="B35" t="s">
        <v>23</v>
      </c>
      <c r="C35" t="s">
        <v>24</v>
      </c>
      <c r="D35">
        <v>2010</v>
      </c>
      <c r="E35">
        <v>4101.6371556671202</v>
      </c>
      <c r="F35">
        <v>5.2936657281995396</v>
      </c>
      <c r="G35">
        <v>14.469656493257601</v>
      </c>
      <c r="H35">
        <v>6</v>
      </c>
      <c r="I35">
        <v>2.7299024568761499</v>
      </c>
      <c r="J35">
        <v>16.594999999999999</v>
      </c>
      <c r="K35">
        <v>22.4956224961592</v>
      </c>
      <c r="L35">
        <v>30.6918953384479</v>
      </c>
      <c r="M35">
        <v>28.670799911778101</v>
      </c>
      <c r="N35">
        <v>91.828386615967702</v>
      </c>
      <c r="O35">
        <v>29.763832793538299</v>
      </c>
      <c r="P35">
        <v>5.4109183306945203</v>
      </c>
      <c r="Q35">
        <v>37.632950799129603</v>
      </c>
      <c r="R35">
        <v>53.892516131985197</v>
      </c>
      <c r="S35">
        <v>2.9555580523050198</v>
      </c>
      <c r="T35">
        <v>32.593689423216702</v>
      </c>
      <c r="U35">
        <v>-0.48791730153160101</v>
      </c>
      <c r="V35">
        <v>31.690054847149401</v>
      </c>
    </row>
    <row r="36" spans="1:22" x14ac:dyDescent="0.25">
      <c r="A36" t="str">
        <f t="shared" si="0"/>
        <v>Angola2011</v>
      </c>
      <c r="B36" t="s">
        <v>23</v>
      </c>
      <c r="C36" t="s">
        <v>24</v>
      </c>
      <c r="D36">
        <v>2011</v>
      </c>
      <c r="E36">
        <v>5184.15269149912</v>
      </c>
      <c r="F36">
        <v>3.5938696024022199</v>
      </c>
      <c r="G36">
        <v>13.4824679218511</v>
      </c>
      <c r="H36">
        <v>6</v>
      </c>
      <c r="I36">
        <v>2.7282596009889399</v>
      </c>
      <c r="J36">
        <v>16.77</v>
      </c>
      <c r="K36">
        <v>23.747841325273999</v>
      </c>
      <c r="L36">
        <v>39.704463558966999</v>
      </c>
      <c r="M36">
        <v>29.644879139468699</v>
      </c>
      <c r="N36">
        <v>91.856902719792302</v>
      </c>
      <c r="O36">
        <v>27.3662454536118</v>
      </c>
      <c r="P36">
        <v>6.0305602882838798</v>
      </c>
      <c r="Q36">
        <v>37.761580406032301</v>
      </c>
      <c r="R36">
        <v>54.120532481956197</v>
      </c>
      <c r="S36">
        <v>7.1749179767399101</v>
      </c>
      <c r="T36">
        <v>26.317852898005601</v>
      </c>
      <c r="U36">
        <v>-0.13345991745720101</v>
      </c>
      <c r="V36">
        <v>38.483524907636301</v>
      </c>
    </row>
    <row r="37" spans="1:22" x14ac:dyDescent="0.25">
      <c r="A37" t="str">
        <f t="shared" si="0"/>
        <v>Angola2012</v>
      </c>
      <c r="B37" t="s">
        <v>23</v>
      </c>
      <c r="C37" t="s">
        <v>24</v>
      </c>
      <c r="D37">
        <v>2012</v>
      </c>
      <c r="E37">
        <v>5702.4530627743397</v>
      </c>
      <c r="F37">
        <v>8.5031228386661208</v>
      </c>
      <c r="G37">
        <v>10.2779049218839</v>
      </c>
      <c r="H37">
        <v>6</v>
      </c>
      <c r="I37">
        <v>2.7262670632234598</v>
      </c>
      <c r="J37">
        <v>16.539000000000001</v>
      </c>
      <c r="K37">
        <v>20.914942555627601</v>
      </c>
      <c r="L37">
        <v>32.309516314860197</v>
      </c>
      <c r="M37">
        <v>7.1122696375900203</v>
      </c>
      <c r="N37">
        <v>91.899377001794605</v>
      </c>
      <c r="O37">
        <v>27.968561400923502</v>
      </c>
      <c r="P37">
        <v>6.6149462810706003</v>
      </c>
      <c r="Q37">
        <v>37.596989216723898</v>
      </c>
      <c r="R37">
        <v>50.027060712845397</v>
      </c>
      <c r="S37">
        <v>3.6729331919997699</v>
      </c>
      <c r="T37">
        <v>23.805354379450598</v>
      </c>
      <c r="U37">
        <v>-0.36416057333825602</v>
      </c>
      <c r="V37">
        <v>34.061955294253202</v>
      </c>
    </row>
    <row r="38" spans="1:22" x14ac:dyDescent="0.25">
      <c r="A38" t="str">
        <f t="shared" si="0"/>
        <v>Angola2013</v>
      </c>
      <c r="B38" t="s">
        <v>23</v>
      </c>
      <c r="C38" t="s">
        <v>24</v>
      </c>
      <c r="D38">
        <v>2013</v>
      </c>
      <c r="E38">
        <v>5688.5791621521503</v>
      </c>
      <c r="F38">
        <v>4.8830612968839198</v>
      </c>
      <c r="G38">
        <v>8.7778142933262302</v>
      </c>
      <c r="H38">
        <v>6</v>
      </c>
      <c r="I38">
        <v>2.71903360210842</v>
      </c>
      <c r="J38">
        <v>16.463999999999999</v>
      </c>
      <c r="K38">
        <v>25.0809923560514</v>
      </c>
      <c r="L38">
        <v>31.746284217273299</v>
      </c>
      <c r="M38">
        <v>3.2335080378421699</v>
      </c>
      <c r="N38">
        <v>91.949703546888202</v>
      </c>
      <c r="O38">
        <v>26.993763052860899</v>
      </c>
      <c r="P38">
        <v>6.2884863039008696</v>
      </c>
      <c r="Q38">
        <v>32.243007593142003</v>
      </c>
      <c r="R38">
        <v>45.232320919742797</v>
      </c>
      <c r="S38">
        <v>-0.282532206198782</v>
      </c>
      <c r="T38">
        <v>29.473054367980399</v>
      </c>
      <c r="U38">
        <v>-0.62656819538678499</v>
      </c>
      <c r="V38">
        <v>29.032695348983999</v>
      </c>
    </row>
    <row r="39" spans="1:22" x14ac:dyDescent="0.25">
      <c r="A39" t="str">
        <f t="shared" si="0"/>
        <v>Angola2014</v>
      </c>
      <c r="B39" t="s">
        <v>23</v>
      </c>
      <c r="C39" t="s">
        <v>24</v>
      </c>
      <c r="D39">
        <v>2014</v>
      </c>
      <c r="E39">
        <v>5649.6876246913898</v>
      </c>
      <c r="F39">
        <v>4.65572356315585</v>
      </c>
      <c r="G39">
        <v>7.2803873036112003</v>
      </c>
      <c r="H39">
        <v>6</v>
      </c>
      <c r="I39">
        <v>2.70449443635977</v>
      </c>
      <c r="J39">
        <v>16.372</v>
      </c>
      <c r="K39">
        <v>24.780944186180498</v>
      </c>
      <c r="L39">
        <v>27.365768188593499</v>
      </c>
      <c r="M39">
        <v>4.0817318808237202</v>
      </c>
      <c r="N39">
        <v>92.050561891104294</v>
      </c>
      <c r="O39">
        <v>28.8734781928265</v>
      </c>
      <c r="P39">
        <v>5.1462909220312403</v>
      </c>
      <c r="Q39">
        <v>26.499603744251601</v>
      </c>
      <c r="R39">
        <v>37.014326749364201</v>
      </c>
      <c r="S39">
        <v>-5.0780219713756303</v>
      </c>
      <c r="T39">
        <v>35.274186229887498</v>
      </c>
      <c r="U39">
        <v>-1.02942592644009</v>
      </c>
      <c r="V39">
        <v>21.311592453376299</v>
      </c>
    </row>
    <row r="40" spans="1:22" x14ac:dyDescent="0.25">
      <c r="A40" t="str">
        <f t="shared" si="0"/>
        <v>Angola2015</v>
      </c>
      <c r="B40" t="s">
        <v>23</v>
      </c>
      <c r="C40" t="s">
        <v>24</v>
      </c>
      <c r="D40">
        <v>2015</v>
      </c>
      <c r="E40">
        <v>3641.72893919944</v>
      </c>
      <c r="F40">
        <v>0.76317771091478903</v>
      </c>
      <c r="G40">
        <v>9.3559721553378292</v>
      </c>
      <c r="H40">
        <v>6</v>
      </c>
      <c r="I40">
        <v>2.6912811150928801</v>
      </c>
      <c r="J40">
        <v>16.472000000000001</v>
      </c>
      <c r="K40">
        <v>18.3730580743307</v>
      </c>
      <c r="L40">
        <v>16.5707852797015</v>
      </c>
      <c r="M40">
        <v>-2.95734582640344</v>
      </c>
      <c r="N40">
        <v>92.180501900592603</v>
      </c>
      <c r="O40">
        <v>29.108609593576301</v>
      </c>
      <c r="P40">
        <v>6.4820456906484099</v>
      </c>
      <c r="Q40">
        <v>21.127009586208999</v>
      </c>
      <c r="R40">
        <v>26.148931712458499</v>
      </c>
      <c r="S40">
        <v>-2.5820854873678298</v>
      </c>
      <c r="T40">
        <v>50.385818895152902</v>
      </c>
      <c r="U40">
        <v>-1.29228166364482</v>
      </c>
      <c r="V40">
        <v>16.273744009083</v>
      </c>
    </row>
    <row r="41" spans="1:22" x14ac:dyDescent="0.25">
      <c r="A41" t="str">
        <f t="shared" si="0"/>
        <v>Angola2016</v>
      </c>
      <c r="B41" t="s">
        <v>23</v>
      </c>
      <c r="C41" t="s">
        <v>24</v>
      </c>
      <c r="D41">
        <v>2016</v>
      </c>
      <c r="E41">
        <v>2051.8146212625302</v>
      </c>
      <c r="F41">
        <v>-1.70053036291208</v>
      </c>
      <c r="G41">
        <v>30.694415080671899</v>
      </c>
      <c r="H41">
        <v>10</v>
      </c>
      <c r="I41">
        <v>2.6850139481555599</v>
      </c>
      <c r="J41">
        <v>16.571999999999999</v>
      </c>
      <c r="K41">
        <v>15.430372738152499</v>
      </c>
      <c r="L41">
        <v>13.8523290206419</v>
      </c>
      <c r="M41">
        <v>20.872703179698899</v>
      </c>
      <c r="N41">
        <v>92.188004107043099</v>
      </c>
      <c r="O41">
        <v>30.134293482854002</v>
      </c>
      <c r="P41">
        <v>9.0838712049007402</v>
      </c>
      <c r="Q41">
        <v>27.083178046273702</v>
      </c>
      <c r="R41">
        <v>24.6591652555406</v>
      </c>
      <c r="S41">
        <v>-3.93417815396481</v>
      </c>
      <c r="T41">
        <v>65.691623216212093</v>
      </c>
      <c r="U41">
        <v>-1.2237570634650099</v>
      </c>
      <c r="V41">
        <v>17.587074865326802</v>
      </c>
    </row>
    <row r="42" spans="1:22" x14ac:dyDescent="0.25">
      <c r="A42" t="str">
        <f t="shared" si="0"/>
        <v>Angola2017</v>
      </c>
      <c r="B42" t="s">
        <v>23</v>
      </c>
      <c r="C42" t="s">
        <v>24</v>
      </c>
      <c r="D42">
        <v>2017</v>
      </c>
      <c r="E42">
        <v>2790.7188686976801</v>
      </c>
      <c r="F42">
        <v>-0.14939622557183399</v>
      </c>
      <c r="G42">
        <v>29.844479901567901</v>
      </c>
      <c r="H42">
        <v>10</v>
      </c>
      <c r="I42">
        <v>2.68524168427026</v>
      </c>
      <c r="J42">
        <v>16.617000000000001</v>
      </c>
      <c r="K42">
        <v>14.5596504130464</v>
      </c>
      <c r="L42">
        <v>14.2884368656914</v>
      </c>
      <c r="M42">
        <v>23.712806150813201</v>
      </c>
      <c r="N42">
        <v>92.071554290501595</v>
      </c>
      <c r="O42">
        <v>29.182943205155301</v>
      </c>
      <c r="P42">
        <v>5.8181869184485802</v>
      </c>
      <c r="Q42">
        <v>28.510035446857799</v>
      </c>
      <c r="R42">
        <v>25.457235184849701</v>
      </c>
      <c r="S42">
        <v>-5.6827212022937799</v>
      </c>
      <c r="T42">
        <v>59.607196653473203</v>
      </c>
      <c r="U42">
        <v>-1.2698461548448201</v>
      </c>
      <c r="V42">
        <v>16.703739162724901</v>
      </c>
    </row>
    <row r="43" spans="1:22" x14ac:dyDescent="0.25">
      <c r="A43" t="str">
        <f t="shared" si="0"/>
        <v>Angola2018</v>
      </c>
      <c r="B43" t="s">
        <v>23</v>
      </c>
      <c r="C43" t="s">
        <v>24</v>
      </c>
      <c r="D43">
        <v>2018</v>
      </c>
      <c r="E43">
        <v>2860.0936483681999</v>
      </c>
      <c r="F43">
        <v>-0.59441122698307003</v>
      </c>
      <c r="G43">
        <v>19.628937970151998</v>
      </c>
      <c r="H43">
        <v>10</v>
      </c>
      <c r="I43">
        <v>2.6930387123046802</v>
      </c>
      <c r="J43">
        <v>16.602</v>
      </c>
      <c r="K43">
        <v>13.853205997170701</v>
      </c>
      <c r="L43">
        <v>20.049102593209799</v>
      </c>
      <c r="M43">
        <v>25.194156152788601</v>
      </c>
      <c r="N43">
        <v>91.902769414906999</v>
      </c>
      <c r="O43">
        <v>24.200249016073698</v>
      </c>
      <c r="P43">
        <v>5.4126401540864002</v>
      </c>
      <c r="Q43">
        <v>30.6179715346146</v>
      </c>
      <c r="R43">
        <v>36.245895129085099</v>
      </c>
      <c r="S43">
        <v>1.9987957212123499</v>
      </c>
      <c r="T43">
        <v>81.635503317762399</v>
      </c>
      <c r="U43">
        <v>-0.79899828928092298</v>
      </c>
      <c r="V43">
        <v>25.7279294362759</v>
      </c>
    </row>
    <row r="44" spans="1:22" x14ac:dyDescent="0.25">
      <c r="A44" t="str">
        <f t="shared" si="0"/>
        <v>Angola2019</v>
      </c>
      <c r="B44" t="s">
        <v>23</v>
      </c>
      <c r="C44" t="s">
        <v>24</v>
      </c>
      <c r="D44">
        <v>2019</v>
      </c>
      <c r="E44">
        <v>2493.6788444017702</v>
      </c>
      <c r="F44">
        <v>-0.204680245744115</v>
      </c>
      <c r="G44">
        <v>17.080954143437999</v>
      </c>
      <c r="H44">
        <v>10</v>
      </c>
      <c r="I44">
        <v>2.7079779831328401</v>
      </c>
      <c r="J44">
        <v>16.497</v>
      </c>
      <c r="K44">
        <v>14.652102465634499</v>
      </c>
      <c r="L44">
        <v>20.7833249609243</v>
      </c>
      <c r="M44">
        <v>19.865887523588</v>
      </c>
      <c r="N44">
        <v>91.647039630472605</v>
      </c>
      <c r="O44">
        <v>24.675773600473299</v>
      </c>
      <c r="P44">
        <v>6.4250942899666397</v>
      </c>
      <c r="Q44">
        <v>30.060924052161401</v>
      </c>
      <c r="R44">
        <v>37.160331124408302</v>
      </c>
      <c r="S44">
        <v>-0.19540951191261499</v>
      </c>
      <c r="T44">
        <v>100.799290252175</v>
      </c>
      <c r="U44">
        <v>-0.91792951078973295</v>
      </c>
      <c r="V44">
        <v>23.4485138312461</v>
      </c>
    </row>
    <row r="45" spans="1:22" x14ac:dyDescent="0.25">
      <c r="A45" t="str">
        <f t="shared" si="0"/>
        <v>Angola2020</v>
      </c>
      <c r="B45" t="s">
        <v>23</v>
      </c>
      <c r="C45" t="s">
        <v>24</v>
      </c>
      <c r="D45">
        <v>2020</v>
      </c>
      <c r="E45">
        <v>1759.35619918264</v>
      </c>
      <c r="F45">
        <v>-4.0424472463966303</v>
      </c>
      <c r="G45">
        <v>22.271539247050899</v>
      </c>
      <c r="H45">
        <v>10</v>
      </c>
      <c r="I45">
        <v>2.7256087667584898</v>
      </c>
      <c r="J45">
        <v>16.696000000000002</v>
      </c>
      <c r="K45">
        <v>19.644000314979099</v>
      </c>
      <c r="L45">
        <v>49.306645141365898</v>
      </c>
      <c r="M45">
        <v>16.063580652747198</v>
      </c>
      <c r="N45">
        <v>91.369827497237395</v>
      </c>
      <c r="O45">
        <v>19.643956231909499</v>
      </c>
      <c r="P45">
        <v>8.0261477231075897</v>
      </c>
      <c r="Q45">
        <v>20.942426088959099</v>
      </c>
      <c r="R45">
        <v>31.575828007657702</v>
      </c>
      <c r="S45">
        <v>-3.0462610622152799</v>
      </c>
      <c r="T45">
        <v>119.83860560063501</v>
      </c>
      <c r="U45">
        <v>-0.74862491476715398</v>
      </c>
      <c r="V45">
        <v>26.6933769822442</v>
      </c>
    </row>
    <row r="46" spans="1:22" x14ac:dyDescent="0.25">
      <c r="A46" t="str">
        <f t="shared" si="0"/>
        <v>Angola2021</v>
      </c>
      <c r="B46" t="s">
        <v>23</v>
      </c>
      <c r="C46" t="s">
        <v>24</v>
      </c>
      <c r="D46">
        <v>2021</v>
      </c>
      <c r="E46">
        <v>2303.9081266277599</v>
      </c>
      <c r="F46">
        <v>2.1027525192341301</v>
      </c>
      <c r="G46">
        <v>25.754294884189001</v>
      </c>
      <c r="H46">
        <v>10</v>
      </c>
      <c r="I46">
        <v>2.7447041156589398</v>
      </c>
      <c r="J46">
        <v>15.798999999999999</v>
      </c>
      <c r="K46">
        <v>19.644000314979099</v>
      </c>
      <c r="L46">
        <v>23.7435278441584</v>
      </c>
      <c r="M46">
        <v>35.653692284377698</v>
      </c>
      <c r="N46">
        <v>91.036398310478504</v>
      </c>
      <c r="O46">
        <v>15.9851660648707</v>
      </c>
      <c r="P46">
        <v>6.9491541464897404</v>
      </c>
      <c r="Q46">
        <v>25.6904205809732</v>
      </c>
      <c r="R46">
        <v>39.449484071360402</v>
      </c>
      <c r="S46">
        <v>1.3520433471697499</v>
      </c>
      <c r="T46">
        <v>75.502733465525196</v>
      </c>
      <c r="U46">
        <v>-0.60126252243080203</v>
      </c>
      <c r="V46">
        <v>29.517699581681502</v>
      </c>
    </row>
    <row r="47" spans="1:22" x14ac:dyDescent="0.25">
      <c r="A47" t="str">
        <f t="shared" si="0"/>
        <v>Angola2022</v>
      </c>
      <c r="B47" t="s">
        <v>23</v>
      </c>
      <c r="C47" t="s">
        <v>24</v>
      </c>
      <c r="D47">
        <v>2022</v>
      </c>
      <c r="E47">
        <v>3682.1131513698001</v>
      </c>
      <c r="F47">
        <v>4.2160025847513696</v>
      </c>
      <c r="G47">
        <v>21.3552901320822</v>
      </c>
      <c r="H47">
        <v>10</v>
      </c>
      <c r="I47">
        <v>2.7733385596515201</v>
      </c>
      <c r="J47">
        <v>14.124000000000001</v>
      </c>
      <c r="K47">
        <v>19.644000314979099</v>
      </c>
      <c r="L47">
        <v>26.016294275044899</v>
      </c>
      <c r="M47">
        <v>18.121771621760701</v>
      </c>
      <c r="N47">
        <v>90.589511856974198</v>
      </c>
      <c r="O47">
        <v>14.1769859541901</v>
      </c>
      <c r="P47">
        <v>4.3768328674862804</v>
      </c>
      <c r="Q47">
        <v>22.3715666135855</v>
      </c>
      <c r="R47">
        <v>35.196053021706298</v>
      </c>
      <c r="S47">
        <v>1.77913599863076</v>
      </c>
      <c r="T47">
        <v>57.427174343026003</v>
      </c>
      <c r="U47">
        <v>-0.48737655289934501</v>
      </c>
      <c r="V47">
        <v>31.700418743653</v>
      </c>
    </row>
    <row r="48" spans="1:22" x14ac:dyDescent="0.25">
      <c r="A48" t="str">
        <f t="shared" si="0"/>
        <v>Angola2023</v>
      </c>
      <c r="B48" t="s">
        <v>23</v>
      </c>
      <c r="C48" t="s">
        <v>24</v>
      </c>
      <c r="D48">
        <v>2023</v>
      </c>
      <c r="E48">
        <v>2916.1366328427498</v>
      </c>
      <c r="F48">
        <v>1.26330814020108</v>
      </c>
      <c r="G48">
        <v>13.6441017767714</v>
      </c>
      <c r="H48">
        <v>10</v>
      </c>
      <c r="I48">
        <v>2.8114493680609698</v>
      </c>
      <c r="J48">
        <v>14.051</v>
      </c>
      <c r="K48">
        <v>19.644000314979099</v>
      </c>
      <c r="L48">
        <v>20.6351685448859</v>
      </c>
      <c r="M48">
        <v>17.929233456689101</v>
      </c>
      <c r="N48">
        <v>90.055225275226505</v>
      </c>
      <c r="O48">
        <v>12.3076318613212</v>
      </c>
      <c r="P48">
        <v>5.0892711356043199</v>
      </c>
      <c r="Q48">
        <v>15.9501051986419</v>
      </c>
      <c r="R48">
        <v>32.326302433992801</v>
      </c>
      <c r="S48">
        <v>-2.49180028798175</v>
      </c>
      <c r="T48">
        <v>75.739103707094898</v>
      </c>
      <c r="U48">
        <v>-0.86142583057928002</v>
      </c>
      <c r="V48">
        <v>24.5314537756893</v>
      </c>
    </row>
    <row r="49" spans="1:22" x14ac:dyDescent="0.25">
      <c r="A49" t="str">
        <f t="shared" si="0"/>
        <v>Angola2024</v>
      </c>
      <c r="B49" t="s">
        <v>23</v>
      </c>
      <c r="C49" t="s">
        <v>24</v>
      </c>
      <c r="D49">
        <v>2024</v>
      </c>
      <c r="E49">
        <v>2665.87444776753</v>
      </c>
      <c r="F49">
        <v>4.42390664406875</v>
      </c>
      <c r="G49">
        <v>28.2404948915772</v>
      </c>
      <c r="H49">
        <v>10</v>
      </c>
      <c r="I49">
        <v>2.8524211922448801</v>
      </c>
      <c r="J49">
        <v>14.02</v>
      </c>
      <c r="K49">
        <v>19.644000314979099</v>
      </c>
      <c r="L49">
        <v>18.6107758061654</v>
      </c>
      <c r="M49">
        <v>24.604584346650299</v>
      </c>
      <c r="N49">
        <v>89.406080636338203</v>
      </c>
      <c r="O49">
        <v>10.4110011927256</v>
      </c>
      <c r="P49">
        <v>5.5137491057931198</v>
      </c>
      <c r="Q49">
        <v>15.726692630856199</v>
      </c>
      <c r="R49">
        <v>31.4835234652022</v>
      </c>
      <c r="S49">
        <v>-1.1923271652176299</v>
      </c>
      <c r="T49">
        <v>57.106858321808097</v>
      </c>
      <c r="U49">
        <v>-0.73400163783930805</v>
      </c>
      <c r="V49">
        <v>26.973644225808499</v>
      </c>
    </row>
    <row r="50" spans="1:22" x14ac:dyDescent="0.25">
      <c r="A50" t="str">
        <f t="shared" si="0"/>
        <v>Angola2025</v>
      </c>
      <c r="B50" t="s">
        <v>23</v>
      </c>
      <c r="C50" t="s">
        <v>24</v>
      </c>
      <c r="D50">
        <v>2025</v>
      </c>
      <c r="E50">
        <v>2916.1366328427498</v>
      </c>
      <c r="F50">
        <v>2.1027525192341301</v>
      </c>
      <c r="G50">
        <v>17.080954143437999</v>
      </c>
      <c r="H50">
        <v>10</v>
      </c>
      <c r="I50">
        <v>2.7256087667584898</v>
      </c>
      <c r="J50">
        <v>14.108000000000001</v>
      </c>
      <c r="K50">
        <v>19.644000314979099</v>
      </c>
      <c r="L50">
        <v>23.7435278441584</v>
      </c>
      <c r="M50">
        <v>19.865887523588</v>
      </c>
      <c r="N50">
        <v>91.856902719792302</v>
      </c>
      <c r="O50">
        <v>26.993763052860899</v>
      </c>
      <c r="P50">
        <v>6.0305602882838798</v>
      </c>
      <c r="Q50">
        <v>27.083178046273702</v>
      </c>
      <c r="R50">
        <v>36.245895129085099</v>
      </c>
      <c r="S50">
        <v>-4.0702365773651801</v>
      </c>
      <c r="T50">
        <v>51.310897614832101</v>
      </c>
      <c r="U50">
        <v>-0.87059371183776801</v>
      </c>
      <c r="V50">
        <v>24.35574371957</v>
      </c>
    </row>
    <row r="51" spans="1:22" x14ac:dyDescent="0.25">
      <c r="A51" t="str">
        <f t="shared" si="0"/>
        <v>Argentina2010</v>
      </c>
      <c r="B51" t="s">
        <v>25</v>
      </c>
      <c r="C51" t="s">
        <v>26</v>
      </c>
      <c r="D51">
        <v>2010</v>
      </c>
      <c r="E51">
        <v>10260.1313108254</v>
      </c>
      <c r="F51">
        <v>10.1253981561002</v>
      </c>
      <c r="G51">
        <v>53.548304349233902</v>
      </c>
      <c r="H51">
        <v>13</v>
      </c>
      <c r="I51">
        <v>10.402103181104501</v>
      </c>
      <c r="J51">
        <v>7.7140000000000004</v>
      </c>
      <c r="K51">
        <v>23.5896612148895</v>
      </c>
      <c r="L51">
        <v>21.241316426753698</v>
      </c>
      <c r="M51">
        <v>20.915124272046999</v>
      </c>
      <c r="N51">
        <v>56.452142111233997</v>
      </c>
      <c r="O51">
        <v>17.705533806204599</v>
      </c>
      <c r="P51">
        <v>7.2769710396737404</v>
      </c>
      <c r="Q51">
        <v>17.331855792156901</v>
      </c>
      <c r="R51">
        <v>18.933823405370902</v>
      </c>
      <c r="S51">
        <v>-1.3934546635570699</v>
      </c>
      <c r="T51">
        <v>43.454315478587397</v>
      </c>
      <c r="U51">
        <v>9.9506807974133096E-2</v>
      </c>
      <c r="V51">
        <v>42.948525625396101</v>
      </c>
    </row>
    <row r="52" spans="1:22" x14ac:dyDescent="0.25">
      <c r="A52" t="str">
        <f t="shared" si="0"/>
        <v>Argentina2011</v>
      </c>
      <c r="B52" t="s">
        <v>25</v>
      </c>
      <c r="C52" t="s">
        <v>26</v>
      </c>
      <c r="D52">
        <v>2011</v>
      </c>
      <c r="E52">
        <v>12704.2831819684</v>
      </c>
      <c r="F52">
        <v>6.0039516928057903</v>
      </c>
      <c r="G52">
        <v>53.548304349233902</v>
      </c>
      <c r="H52">
        <v>13</v>
      </c>
      <c r="I52">
        <v>10.5160940359427</v>
      </c>
      <c r="J52">
        <v>7.18</v>
      </c>
      <c r="K52">
        <v>23.5896612148895</v>
      </c>
      <c r="L52">
        <v>20.196408074280999</v>
      </c>
      <c r="M52">
        <v>23.703472183959299</v>
      </c>
      <c r="N52">
        <v>56.273953763712399</v>
      </c>
      <c r="O52">
        <v>18.398458917349998</v>
      </c>
      <c r="P52">
        <v>5.2019515779882104</v>
      </c>
      <c r="Q52">
        <v>17.333216546036599</v>
      </c>
      <c r="R52">
        <v>18.4492091453155</v>
      </c>
      <c r="S52">
        <v>-2.74564845953818</v>
      </c>
      <c r="T52">
        <v>38.934854420502703</v>
      </c>
      <c r="U52" s="4">
        <v>9.7516407460099196E-5</v>
      </c>
      <c r="V52">
        <v>41.043264016145301</v>
      </c>
    </row>
    <row r="53" spans="1:22" x14ac:dyDescent="0.25">
      <c r="A53" t="str">
        <f t="shared" si="0"/>
        <v>Argentina2012</v>
      </c>
      <c r="B53" t="s">
        <v>25</v>
      </c>
      <c r="C53" t="s">
        <v>26</v>
      </c>
      <c r="D53">
        <v>2012</v>
      </c>
      <c r="E53">
        <v>12949.717486654001</v>
      </c>
      <c r="F53">
        <v>-1.0264204544321001</v>
      </c>
      <c r="G53">
        <v>53.548304349233902</v>
      </c>
      <c r="H53">
        <v>13</v>
      </c>
      <c r="I53">
        <v>10.642334658939401</v>
      </c>
      <c r="J53">
        <v>7.2169999999999996</v>
      </c>
      <c r="K53">
        <v>23.5896612148895</v>
      </c>
      <c r="L53">
        <v>21.182234604866998</v>
      </c>
      <c r="M53">
        <v>22.314880673304899</v>
      </c>
      <c r="N53">
        <v>56.146774795131499</v>
      </c>
      <c r="O53">
        <v>16.5019865298875</v>
      </c>
      <c r="P53">
        <v>5.2182904121989404</v>
      </c>
      <c r="Q53">
        <v>16.2099451316674</v>
      </c>
      <c r="R53">
        <v>16.237859462024598</v>
      </c>
      <c r="S53">
        <v>-3.0180556001432302</v>
      </c>
      <c r="T53">
        <v>40.436048010475403</v>
      </c>
      <c r="U53">
        <v>-6.9395370115920493E-2</v>
      </c>
      <c r="V53">
        <v>39.711375148189603</v>
      </c>
    </row>
    <row r="54" spans="1:22" x14ac:dyDescent="0.25">
      <c r="A54" t="str">
        <f t="shared" si="0"/>
        <v>Argentina2013</v>
      </c>
      <c r="B54" t="s">
        <v>25</v>
      </c>
      <c r="C54" t="s">
        <v>26</v>
      </c>
      <c r="D54">
        <v>2013</v>
      </c>
      <c r="E54">
        <v>12963.675773326</v>
      </c>
      <c r="F54">
        <v>2.4053237807943599</v>
      </c>
      <c r="G54">
        <v>53.548304349233902</v>
      </c>
      <c r="H54">
        <v>13</v>
      </c>
      <c r="I54">
        <v>10.7671573801093</v>
      </c>
      <c r="J54">
        <v>7.1</v>
      </c>
      <c r="K54">
        <v>23.5896612148895</v>
      </c>
      <c r="L54">
        <v>21.5652829643596</v>
      </c>
      <c r="M54">
        <v>23.948798416274599</v>
      </c>
      <c r="N54">
        <v>56.0487044709811</v>
      </c>
      <c r="O54">
        <v>17.3057789012596</v>
      </c>
      <c r="P54">
        <v>3.4601520546215698</v>
      </c>
      <c r="Q54">
        <v>15.1944663729121</v>
      </c>
      <c r="R54">
        <v>14.6171733884386</v>
      </c>
      <c r="S54">
        <v>-3.25382842728551</v>
      </c>
      <c r="T54">
        <v>43.496069782894097</v>
      </c>
      <c r="U54">
        <v>-8.1321237963564399E-2</v>
      </c>
      <c r="V54">
        <v>39.482805989220402</v>
      </c>
    </row>
    <row r="55" spans="1:22" x14ac:dyDescent="0.25">
      <c r="A55" t="str">
        <f t="shared" si="0"/>
        <v>Argentina2014</v>
      </c>
      <c r="B55" t="s">
        <v>25</v>
      </c>
      <c r="C55" t="s">
        <v>26</v>
      </c>
      <c r="D55">
        <v>2014</v>
      </c>
      <c r="E55">
        <v>12233.1444119186</v>
      </c>
      <c r="F55">
        <v>-2.5126153208139401</v>
      </c>
      <c r="G55">
        <v>53.548304349233902</v>
      </c>
      <c r="H55">
        <v>13</v>
      </c>
      <c r="I55">
        <v>10.894142131574</v>
      </c>
      <c r="J55">
        <v>7.2679999999999998</v>
      </c>
      <c r="K55">
        <v>24.5697808575806</v>
      </c>
      <c r="L55">
        <v>22.332294370501401</v>
      </c>
      <c r="M55">
        <v>40.282971631550602</v>
      </c>
      <c r="N55">
        <v>56.025642792384403</v>
      </c>
      <c r="O55">
        <v>17.262881006465101</v>
      </c>
      <c r="P55">
        <v>3.9629991933667799</v>
      </c>
      <c r="Q55">
        <v>15.909027608976</v>
      </c>
      <c r="R55">
        <v>14.405478589375599</v>
      </c>
      <c r="S55">
        <v>-4.2524290852903004</v>
      </c>
      <c r="T55">
        <v>44.696850201948301</v>
      </c>
      <c r="U55">
        <v>-0.155849989594919</v>
      </c>
      <c r="V55">
        <v>38.054400585351601</v>
      </c>
    </row>
    <row r="56" spans="1:22" x14ac:dyDescent="0.25">
      <c r="A56" t="str">
        <f t="shared" si="0"/>
        <v>Argentina2015</v>
      </c>
      <c r="B56" t="s">
        <v>25</v>
      </c>
      <c r="C56" t="s">
        <v>26</v>
      </c>
      <c r="D56">
        <v>2015</v>
      </c>
      <c r="E56">
        <v>13679.6264980954</v>
      </c>
      <c r="F56">
        <v>2.73115982828944</v>
      </c>
      <c r="G56">
        <v>53.548304349233902</v>
      </c>
      <c r="H56">
        <v>14</v>
      </c>
      <c r="I56">
        <v>11.0315216694284</v>
      </c>
      <c r="J56">
        <v>7.577</v>
      </c>
      <c r="K56">
        <v>25.008393234704801</v>
      </c>
      <c r="L56">
        <v>22.149080304016401</v>
      </c>
      <c r="M56">
        <v>26.579991602470699</v>
      </c>
      <c r="N56">
        <v>56.052289149733298</v>
      </c>
      <c r="O56">
        <v>17.0707048841583</v>
      </c>
      <c r="P56">
        <v>3.3621442570770199</v>
      </c>
      <c r="Q56">
        <v>14.305827300186699</v>
      </c>
      <c r="R56">
        <v>10.7056520504538</v>
      </c>
      <c r="S56">
        <v>-6.0005580309005699</v>
      </c>
      <c r="T56">
        <v>52.562643306270502</v>
      </c>
      <c r="U56">
        <v>-0.171353419731023</v>
      </c>
      <c r="V56">
        <v>37.757264474787803</v>
      </c>
    </row>
    <row r="57" spans="1:22" x14ac:dyDescent="0.25">
      <c r="A57" t="str">
        <f t="shared" si="0"/>
        <v>Argentina2016</v>
      </c>
      <c r="B57" t="s">
        <v>25</v>
      </c>
      <c r="C57" t="s">
        <v>26</v>
      </c>
      <c r="D57">
        <v>2016</v>
      </c>
      <c r="E57">
        <v>12699.962313775601</v>
      </c>
      <c r="F57">
        <v>-2.0803278437781101</v>
      </c>
      <c r="G57">
        <v>53.548304349233902</v>
      </c>
      <c r="H57">
        <v>14</v>
      </c>
      <c r="I57">
        <v>11.1688143183761</v>
      </c>
      <c r="J57">
        <v>8.0879999999999992</v>
      </c>
      <c r="K57">
        <v>26.179916483246899</v>
      </c>
      <c r="L57">
        <v>21.256701307138801</v>
      </c>
      <c r="M57">
        <v>41.119379988227898</v>
      </c>
      <c r="N57">
        <v>56.0461721346243</v>
      </c>
      <c r="O57">
        <v>17.663227860620299</v>
      </c>
      <c r="P57">
        <v>5.0971962448753896</v>
      </c>
      <c r="Q57">
        <v>14.622254967431701</v>
      </c>
      <c r="R57">
        <v>12.5270951690009</v>
      </c>
      <c r="S57">
        <v>-6.6546689825752097</v>
      </c>
      <c r="T57">
        <v>53.060179552391197</v>
      </c>
      <c r="U57">
        <v>-0.247207717460842</v>
      </c>
      <c r="V57">
        <v>36.303453879383198</v>
      </c>
    </row>
    <row r="58" spans="1:22" x14ac:dyDescent="0.25">
      <c r="A58" t="str">
        <f t="shared" si="0"/>
        <v>Argentina2017</v>
      </c>
      <c r="B58" t="s">
        <v>25</v>
      </c>
      <c r="C58" t="s">
        <v>26</v>
      </c>
      <c r="D58">
        <v>2017</v>
      </c>
      <c r="E58">
        <v>14532.5009308511</v>
      </c>
      <c r="F58">
        <v>2.8185029777591799</v>
      </c>
      <c r="G58">
        <v>53.548304349233902</v>
      </c>
      <c r="H58">
        <v>14</v>
      </c>
      <c r="I58">
        <v>11.307124761345399</v>
      </c>
      <c r="J58">
        <v>8.3469999999999995</v>
      </c>
      <c r="K58">
        <v>24.2825320419979</v>
      </c>
      <c r="L58">
        <v>19.337123974458201</v>
      </c>
      <c r="M58">
        <v>26.0063792819079</v>
      </c>
      <c r="N58">
        <v>55.972801524535697</v>
      </c>
      <c r="O58">
        <v>18.212567174775401</v>
      </c>
      <c r="P58">
        <v>6.0503876658255997</v>
      </c>
      <c r="Q58">
        <v>13.0688485783361</v>
      </c>
      <c r="R58">
        <v>11.320283359673301</v>
      </c>
      <c r="S58">
        <v>-6.69334113157832</v>
      </c>
      <c r="T58">
        <v>57.027841921980503</v>
      </c>
      <c r="U58">
        <v>-0.25020531030669602</v>
      </c>
      <c r="V58">
        <v>36.2460025236863</v>
      </c>
    </row>
    <row r="59" spans="1:22" x14ac:dyDescent="0.25">
      <c r="A59" t="str">
        <f t="shared" si="0"/>
        <v>Argentina2018</v>
      </c>
      <c r="B59" t="s">
        <v>25</v>
      </c>
      <c r="C59" t="s">
        <v>26</v>
      </c>
      <c r="D59">
        <v>2018</v>
      </c>
      <c r="E59">
        <v>11752.7998922979</v>
      </c>
      <c r="F59">
        <v>-2.6173964628203801</v>
      </c>
      <c r="G59">
        <v>34.277223713100298</v>
      </c>
      <c r="H59">
        <v>14</v>
      </c>
      <c r="I59">
        <v>11.463651515904299</v>
      </c>
      <c r="J59">
        <v>9.2200000000000006</v>
      </c>
      <c r="K59">
        <v>22.670943051217101</v>
      </c>
      <c r="L59">
        <v>17.702448871729199</v>
      </c>
      <c r="M59">
        <v>42.033668957503103</v>
      </c>
      <c r="N59">
        <v>55.852925406055398</v>
      </c>
      <c r="O59">
        <v>16.613885015637099</v>
      </c>
      <c r="P59">
        <v>7.1111121115008604</v>
      </c>
      <c r="Q59">
        <v>11.393915414137201</v>
      </c>
      <c r="R59">
        <v>14.4366857499034</v>
      </c>
      <c r="S59">
        <v>-5.4411452301702798</v>
      </c>
      <c r="T59">
        <v>85.246310423482299</v>
      </c>
      <c r="U59">
        <v>-0.355433159606307</v>
      </c>
      <c r="V59">
        <v>34.2292234245202</v>
      </c>
    </row>
    <row r="60" spans="1:22" x14ac:dyDescent="0.25">
      <c r="A60" t="str">
        <f t="shared" si="0"/>
        <v>Argentina2019</v>
      </c>
      <c r="B60" t="s">
        <v>25</v>
      </c>
      <c r="C60" t="s">
        <v>26</v>
      </c>
      <c r="D60">
        <v>2019</v>
      </c>
      <c r="E60">
        <v>9955.9747868042796</v>
      </c>
      <c r="F60">
        <v>-2.00086100285785</v>
      </c>
      <c r="G60">
        <v>53.548304349233902</v>
      </c>
      <c r="H60">
        <v>14</v>
      </c>
      <c r="I60">
        <v>11.632539191359401</v>
      </c>
      <c r="J60">
        <v>9.843</v>
      </c>
      <c r="K60">
        <v>22.036484568694299</v>
      </c>
      <c r="L60">
        <v>17.788899050445501</v>
      </c>
      <c r="M60">
        <v>49.195579059661199</v>
      </c>
      <c r="N60">
        <v>55.5931801951266</v>
      </c>
      <c r="O60">
        <v>14.2100303992191</v>
      </c>
      <c r="P60">
        <v>5.9422012184631496</v>
      </c>
      <c r="Q60">
        <v>13.6907954449568</v>
      </c>
      <c r="R60">
        <v>17.924878377846198</v>
      </c>
      <c r="S60">
        <v>-4.4447576675187497</v>
      </c>
      <c r="T60">
        <v>89.8396878140518</v>
      </c>
      <c r="U60">
        <v>-0.30092685089746601</v>
      </c>
      <c r="V60">
        <v>35.273882085780997</v>
      </c>
    </row>
    <row r="61" spans="1:22" x14ac:dyDescent="0.25">
      <c r="A61" t="str">
        <f t="shared" si="0"/>
        <v>Argentina2020</v>
      </c>
      <c r="B61" t="s">
        <v>25</v>
      </c>
      <c r="C61" t="s">
        <v>26</v>
      </c>
      <c r="D61">
        <v>2020</v>
      </c>
      <c r="E61">
        <v>8535.5993800438901</v>
      </c>
      <c r="F61">
        <v>-9.9004848136464005</v>
      </c>
      <c r="G61">
        <v>42.015094737650898</v>
      </c>
      <c r="H61">
        <v>14</v>
      </c>
      <c r="I61">
        <v>11.793433985371401</v>
      </c>
      <c r="J61">
        <v>11.461</v>
      </c>
      <c r="K61">
        <v>25.8405452538391</v>
      </c>
      <c r="L61">
        <v>17.477732278309301</v>
      </c>
      <c r="M61">
        <v>40.083087801199298</v>
      </c>
      <c r="N61">
        <v>55.020796890251297</v>
      </c>
      <c r="O61">
        <v>14.415155741024501</v>
      </c>
      <c r="P61">
        <v>7.0940540100951504</v>
      </c>
      <c r="Q61">
        <v>15.012135318938601</v>
      </c>
      <c r="R61">
        <v>16.605414437248399</v>
      </c>
      <c r="S61">
        <v>-8.6740713930143407</v>
      </c>
      <c r="T61">
        <v>103.815814394076</v>
      </c>
      <c r="U61">
        <v>-0.60131943590178805</v>
      </c>
      <c r="V61">
        <v>29.516608787756599</v>
      </c>
    </row>
    <row r="62" spans="1:22" x14ac:dyDescent="0.25">
      <c r="A62" t="str">
        <f t="shared" si="0"/>
        <v>Argentina2021</v>
      </c>
      <c r="B62" t="s">
        <v>25</v>
      </c>
      <c r="C62" t="s">
        <v>26</v>
      </c>
      <c r="D62">
        <v>2021</v>
      </c>
      <c r="E62">
        <v>10738.0179223384</v>
      </c>
      <c r="F62">
        <v>10.441811988250601</v>
      </c>
      <c r="G62">
        <v>48.409378625519899</v>
      </c>
      <c r="H62">
        <v>14</v>
      </c>
      <c r="I62">
        <v>11.9186207827562</v>
      </c>
      <c r="J62">
        <v>8.7360000000000007</v>
      </c>
      <c r="K62">
        <v>22.896790387781099</v>
      </c>
      <c r="L62">
        <v>18.076498904458902</v>
      </c>
      <c r="M62">
        <v>53.802087766555402</v>
      </c>
      <c r="N62">
        <v>54.219524441015601</v>
      </c>
      <c r="O62">
        <v>18.0762892471421</v>
      </c>
      <c r="P62">
        <v>5.6049034262494004</v>
      </c>
      <c r="Q62">
        <v>19.4128951075758</v>
      </c>
      <c r="R62">
        <v>18.0667091690365</v>
      </c>
      <c r="S62">
        <v>-4.3329519288282698</v>
      </c>
      <c r="T62">
        <v>81.042754346082802</v>
      </c>
      <c r="U62">
        <v>-8.0590097549694401E-2</v>
      </c>
      <c r="V62">
        <v>39.496818902294898</v>
      </c>
    </row>
    <row r="63" spans="1:22" x14ac:dyDescent="0.25">
      <c r="A63" t="str">
        <f t="shared" si="0"/>
        <v>Argentina2022</v>
      </c>
      <c r="B63" t="s">
        <v>25</v>
      </c>
      <c r="C63" t="s">
        <v>26</v>
      </c>
      <c r="D63">
        <v>2022</v>
      </c>
      <c r="E63">
        <v>13962.189408722301</v>
      </c>
      <c r="F63">
        <v>6.0207453753485503</v>
      </c>
      <c r="G63">
        <v>72.430757531824</v>
      </c>
      <c r="H63">
        <v>14</v>
      </c>
      <c r="I63">
        <v>12.034080013911201</v>
      </c>
      <c r="J63">
        <v>6.8049999999999997</v>
      </c>
      <c r="K63">
        <v>21.865226929081999</v>
      </c>
      <c r="L63">
        <v>17.893195301026001</v>
      </c>
      <c r="M63">
        <v>68.993826769231404</v>
      </c>
      <c r="N63">
        <v>53.338546386782198</v>
      </c>
      <c r="O63">
        <v>17.385586135842701</v>
      </c>
      <c r="P63">
        <v>4.7593085641536303</v>
      </c>
      <c r="Q63">
        <v>16.838741532288399</v>
      </c>
      <c r="R63">
        <v>16.281667725325399</v>
      </c>
      <c r="S63">
        <v>-3.83638509310149</v>
      </c>
      <c r="T63">
        <v>84.302629178207994</v>
      </c>
      <c r="U63">
        <v>-8.3833872979066595E-2</v>
      </c>
      <c r="V63">
        <v>39.434649252987299</v>
      </c>
    </row>
    <row r="64" spans="1:22" x14ac:dyDescent="0.25">
      <c r="A64" t="str">
        <f t="shared" si="0"/>
        <v>Argentina2023</v>
      </c>
      <c r="B64" t="s">
        <v>25</v>
      </c>
      <c r="C64" t="s">
        <v>26</v>
      </c>
      <c r="D64">
        <v>2023</v>
      </c>
      <c r="E64">
        <v>14261.8465667948</v>
      </c>
      <c r="F64">
        <v>-1.85578803046339</v>
      </c>
      <c r="G64">
        <v>133.48893559417499</v>
      </c>
      <c r="H64">
        <v>14</v>
      </c>
      <c r="I64">
        <v>12.2030217969226</v>
      </c>
      <c r="J64">
        <v>6.1390000000000002</v>
      </c>
      <c r="K64">
        <v>21.00878925888</v>
      </c>
      <c r="L64">
        <v>17.775327405152201</v>
      </c>
      <c r="M64">
        <v>136.74235843759899</v>
      </c>
      <c r="N64">
        <v>52.4243366823125</v>
      </c>
      <c r="O64">
        <v>19.3822632919135</v>
      </c>
      <c r="P64">
        <v>2.4575525157541001</v>
      </c>
      <c r="Q64">
        <v>16.2338768059338</v>
      </c>
      <c r="R64">
        <v>12.822312096104699</v>
      </c>
      <c r="S64">
        <v>-5.3295890898662996</v>
      </c>
      <c r="T64">
        <v>154.60069319278699</v>
      </c>
      <c r="U64">
        <v>-0.466063696950062</v>
      </c>
      <c r="V64">
        <v>32.1088973233079</v>
      </c>
    </row>
    <row r="65" spans="1:22" x14ac:dyDescent="0.25">
      <c r="A65" t="str">
        <f t="shared" si="0"/>
        <v>Argentina2024</v>
      </c>
      <c r="B65" t="s">
        <v>25</v>
      </c>
      <c r="C65" t="s">
        <v>26</v>
      </c>
      <c r="D65">
        <v>2024</v>
      </c>
      <c r="E65">
        <v>13969.7836603737</v>
      </c>
      <c r="F65">
        <v>-1.34293072157739</v>
      </c>
      <c r="G65">
        <v>219.883929014578</v>
      </c>
      <c r="H65">
        <v>14</v>
      </c>
      <c r="I65">
        <v>12.4160041547474</v>
      </c>
      <c r="J65">
        <v>7.15</v>
      </c>
      <c r="K65">
        <v>23.5896612148895</v>
      </c>
      <c r="L65">
        <v>16.860695833551599</v>
      </c>
      <c r="M65">
        <v>207.605241734472</v>
      </c>
      <c r="N65">
        <v>51.560957003815901</v>
      </c>
      <c r="O65">
        <v>15.8378002382311</v>
      </c>
      <c r="P65">
        <v>3.5532607420723799</v>
      </c>
      <c r="Q65">
        <v>16.697116558857999</v>
      </c>
      <c r="R65">
        <v>15.249748592882399</v>
      </c>
      <c r="S65">
        <v>0.457864697014851</v>
      </c>
      <c r="T65">
        <v>84.652812029535895</v>
      </c>
      <c r="U65">
        <v>1.70719462636165E-3</v>
      </c>
      <c r="V65">
        <v>41.074114835675203</v>
      </c>
    </row>
    <row r="66" spans="1:22" x14ac:dyDescent="0.25">
      <c r="A66" t="str">
        <f t="shared" si="0"/>
        <v>Argentina2025</v>
      </c>
      <c r="B66" t="s">
        <v>25</v>
      </c>
      <c r="C66" t="s">
        <v>26</v>
      </c>
      <c r="D66">
        <v>2025</v>
      </c>
      <c r="E66">
        <v>12704.2831819684</v>
      </c>
      <c r="F66">
        <v>-1.0264204544321001</v>
      </c>
      <c r="G66">
        <v>53.548304349233902</v>
      </c>
      <c r="H66">
        <v>14</v>
      </c>
      <c r="I66">
        <v>11.307124761345399</v>
      </c>
      <c r="J66">
        <v>7.1449999999999996</v>
      </c>
      <c r="K66">
        <v>23.5896612148895</v>
      </c>
      <c r="L66">
        <v>19.337123974458201</v>
      </c>
      <c r="M66">
        <v>40.282971631550602</v>
      </c>
      <c r="N66">
        <v>55.972801524535697</v>
      </c>
      <c r="O66">
        <v>17.3057789012596</v>
      </c>
      <c r="P66">
        <v>5.2019515779882104</v>
      </c>
      <c r="Q66">
        <v>15.909027608976</v>
      </c>
      <c r="R66">
        <v>15.249748592882399</v>
      </c>
      <c r="S66">
        <v>-0.381012859688312</v>
      </c>
      <c r="T66">
        <v>80.311404272305893</v>
      </c>
      <c r="U66">
        <v>-2.22457463791048E-2</v>
      </c>
      <c r="V66">
        <v>40.615036833939797</v>
      </c>
    </row>
    <row r="67" spans="1:22" x14ac:dyDescent="0.25">
      <c r="A67" t="str">
        <f t="shared" si="0"/>
        <v>Armenia2010</v>
      </c>
      <c r="B67" t="s">
        <v>27</v>
      </c>
      <c r="C67" t="s">
        <v>28</v>
      </c>
      <c r="D67">
        <v>2010</v>
      </c>
      <c r="E67">
        <v>3041.3445072333898</v>
      </c>
      <c r="F67">
        <v>2.2000000002151001</v>
      </c>
      <c r="G67">
        <v>8.1763613847395096</v>
      </c>
      <c r="H67">
        <v>10</v>
      </c>
      <c r="I67">
        <v>10.7247572394866</v>
      </c>
      <c r="J67">
        <v>19.523</v>
      </c>
      <c r="K67">
        <v>22.9973623470093</v>
      </c>
      <c r="L67">
        <v>22.647951352588102</v>
      </c>
      <c r="M67">
        <v>7.7687154806765202</v>
      </c>
      <c r="N67">
        <v>42.917223665830498</v>
      </c>
      <c r="O67">
        <v>38.814754985307701</v>
      </c>
      <c r="P67">
        <v>4.3662284660874997</v>
      </c>
      <c r="Q67">
        <v>13.200763048601999</v>
      </c>
      <c r="R67">
        <v>19.748415316825199</v>
      </c>
      <c r="S67">
        <v>-4.9794336260459504</v>
      </c>
      <c r="T67">
        <v>39.969045744054199</v>
      </c>
      <c r="U67">
        <v>-0.71836153138673597</v>
      </c>
      <c r="V67">
        <v>27.273399851455402</v>
      </c>
    </row>
    <row r="68" spans="1:22" x14ac:dyDescent="0.25">
      <c r="A68" t="str">
        <f t="shared" ref="A68:A131" si="1">C68&amp;D68</f>
        <v>Armenia2011</v>
      </c>
      <c r="B68" t="s">
        <v>27</v>
      </c>
      <c r="C68" t="s">
        <v>28</v>
      </c>
      <c r="D68">
        <v>2011</v>
      </c>
      <c r="E68">
        <v>3349.5530977190601</v>
      </c>
      <c r="F68">
        <v>4.6999999986741203</v>
      </c>
      <c r="G68">
        <v>7.6500080785929399</v>
      </c>
      <c r="H68">
        <v>11</v>
      </c>
      <c r="I68">
        <v>10.6448924244267</v>
      </c>
      <c r="J68">
        <v>18.884</v>
      </c>
      <c r="K68">
        <v>22.568016317122201</v>
      </c>
      <c r="L68">
        <v>22.726426443165298</v>
      </c>
      <c r="M68">
        <v>4.2815499982611804</v>
      </c>
      <c r="N68">
        <v>42.8588952887091</v>
      </c>
      <c r="O68">
        <v>31.921798979847701</v>
      </c>
      <c r="P68">
        <v>4.1238497306516404</v>
      </c>
      <c r="Q68">
        <v>11.095722762862</v>
      </c>
      <c r="R68">
        <v>22.5231882640131</v>
      </c>
      <c r="S68">
        <v>-2.8679979456427298</v>
      </c>
      <c r="T68">
        <v>42.217389260448797</v>
      </c>
      <c r="U68">
        <v>-0.47646898683095701</v>
      </c>
      <c r="V68">
        <v>31.909471303559101</v>
      </c>
    </row>
    <row r="69" spans="1:22" x14ac:dyDescent="0.25">
      <c r="A69" t="str">
        <f t="shared" si="1"/>
        <v>Armenia2012</v>
      </c>
      <c r="B69" t="s">
        <v>27</v>
      </c>
      <c r="C69" t="s">
        <v>28</v>
      </c>
      <c r="D69">
        <v>2012</v>
      </c>
      <c r="E69">
        <v>3511.5639968742598</v>
      </c>
      <c r="F69">
        <v>7.2000000009648604</v>
      </c>
      <c r="G69">
        <v>2.5580200775790698</v>
      </c>
      <c r="H69">
        <v>12</v>
      </c>
      <c r="I69">
        <v>10.660156320171501</v>
      </c>
      <c r="J69">
        <v>17.510999999999999</v>
      </c>
      <c r="K69">
        <v>21.3736421560682</v>
      </c>
      <c r="L69">
        <v>22.597804052937999</v>
      </c>
      <c r="M69">
        <v>5.3458044181472504</v>
      </c>
      <c r="N69">
        <v>43.106665360577601</v>
      </c>
      <c r="O69">
        <v>24.680952747599601</v>
      </c>
      <c r="P69">
        <v>3.7077807246191901</v>
      </c>
      <c r="Q69">
        <v>14.0967327906916</v>
      </c>
      <c r="R69">
        <v>27.5618114828439</v>
      </c>
      <c r="S69">
        <v>-1.49339063635535</v>
      </c>
      <c r="T69">
        <v>41.356060837783403</v>
      </c>
      <c r="U69">
        <v>-0.19769911318619299</v>
      </c>
      <c r="V69">
        <v>37.252327385727497</v>
      </c>
    </row>
    <row r="70" spans="1:22" x14ac:dyDescent="0.25">
      <c r="A70" t="str">
        <f t="shared" si="1"/>
        <v>Armenia2013</v>
      </c>
      <c r="B70" t="s">
        <v>27</v>
      </c>
      <c r="C70" t="s">
        <v>28</v>
      </c>
      <c r="D70">
        <v>2013</v>
      </c>
      <c r="E70">
        <v>3680.1669215888601</v>
      </c>
      <c r="F70">
        <v>3.3</v>
      </c>
      <c r="G70">
        <v>5.7896677854465004</v>
      </c>
      <c r="H70">
        <v>12</v>
      </c>
      <c r="I70">
        <v>10.7083857139631</v>
      </c>
      <c r="J70">
        <v>16.576000000000001</v>
      </c>
      <c r="K70">
        <v>22.6371817977093</v>
      </c>
      <c r="L70">
        <v>24.1168167453311</v>
      </c>
      <c r="M70">
        <v>3.3668246422446502</v>
      </c>
      <c r="N70">
        <v>43.5955735295585</v>
      </c>
      <c r="O70">
        <v>22.152490072631299</v>
      </c>
      <c r="P70">
        <v>4.4633210145706599</v>
      </c>
      <c r="Q70">
        <v>14.836719782724</v>
      </c>
      <c r="R70">
        <v>28.353485138481801</v>
      </c>
      <c r="S70">
        <v>-1.5929090414295799</v>
      </c>
      <c r="T70">
        <v>40.8564051464842</v>
      </c>
      <c r="U70">
        <v>-0.152801579113684</v>
      </c>
      <c r="V70">
        <v>38.112825903222799</v>
      </c>
    </row>
    <row r="71" spans="1:22" x14ac:dyDescent="0.25">
      <c r="A71" t="str">
        <f t="shared" si="1"/>
        <v>Armenia2014</v>
      </c>
      <c r="B71" t="s">
        <v>27</v>
      </c>
      <c r="C71" t="s">
        <v>28</v>
      </c>
      <c r="D71">
        <v>2014</v>
      </c>
      <c r="E71">
        <v>3852.1180061038399</v>
      </c>
      <c r="F71">
        <v>3.60000000058993</v>
      </c>
      <c r="G71">
        <v>2.98130868933672</v>
      </c>
      <c r="H71">
        <v>12</v>
      </c>
      <c r="I71">
        <v>10.7767290281828</v>
      </c>
      <c r="J71">
        <v>17.498000000000001</v>
      </c>
      <c r="K71">
        <v>23.987558053075901</v>
      </c>
      <c r="L71">
        <v>24.514556708519802</v>
      </c>
      <c r="M71">
        <v>2.3091824299097401</v>
      </c>
      <c r="N71">
        <v>44.220347328994997</v>
      </c>
      <c r="O71">
        <v>21.2830406859193</v>
      </c>
      <c r="P71">
        <v>2.8930800461972099</v>
      </c>
      <c r="Q71">
        <v>13.281257221045299</v>
      </c>
      <c r="R71">
        <v>28.5603816555446</v>
      </c>
      <c r="S71">
        <v>-1.94269716882729</v>
      </c>
      <c r="T71">
        <v>43.689237247454798</v>
      </c>
      <c r="U71">
        <v>-0.196091371467153</v>
      </c>
      <c r="V71">
        <v>37.283141090629798</v>
      </c>
    </row>
    <row r="72" spans="1:22" x14ac:dyDescent="0.25">
      <c r="A72" t="str">
        <f t="shared" si="1"/>
        <v>Armenia2015</v>
      </c>
      <c r="B72" t="s">
        <v>27</v>
      </c>
      <c r="C72" t="s">
        <v>28</v>
      </c>
      <c r="D72">
        <v>2015</v>
      </c>
      <c r="E72">
        <v>3512.39350276709</v>
      </c>
      <c r="F72">
        <v>3.1999999989662502</v>
      </c>
      <c r="G72">
        <v>3.7316911926169301</v>
      </c>
      <c r="H72">
        <v>12</v>
      </c>
      <c r="I72">
        <v>10.923814112631</v>
      </c>
      <c r="J72">
        <v>18.260999999999999</v>
      </c>
      <c r="K72">
        <v>25.077981348841899</v>
      </c>
      <c r="L72">
        <v>23.0924926716717</v>
      </c>
      <c r="M72">
        <v>1.2139099047108499</v>
      </c>
      <c r="N72">
        <v>45.007482996152099</v>
      </c>
      <c r="O72">
        <v>20.730530126576198</v>
      </c>
      <c r="P72">
        <v>4.3684142519359801</v>
      </c>
      <c r="Q72">
        <v>18.4537774287326</v>
      </c>
      <c r="R72">
        <v>29.725391212033401</v>
      </c>
      <c r="S72">
        <v>-4.8294214922350003</v>
      </c>
      <c r="T72">
        <v>48.7015986808874</v>
      </c>
      <c r="U72">
        <v>-0.306218326424054</v>
      </c>
      <c r="V72">
        <v>35.172466563969998</v>
      </c>
    </row>
    <row r="73" spans="1:22" x14ac:dyDescent="0.25">
      <c r="A73" t="str">
        <f t="shared" si="1"/>
        <v>Armenia2016</v>
      </c>
      <c r="B73" t="s">
        <v>27</v>
      </c>
      <c r="C73" t="s">
        <v>28</v>
      </c>
      <c r="D73">
        <v>2016</v>
      </c>
      <c r="E73">
        <v>3524.4247687470702</v>
      </c>
      <c r="F73">
        <v>0.19999999982599101</v>
      </c>
      <c r="G73">
        <v>-1.40360755900899</v>
      </c>
      <c r="H73">
        <v>12</v>
      </c>
      <c r="I73">
        <v>11.1448655565615</v>
      </c>
      <c r="J73">
        <v>17.617000000000001</v>
      </c>
      <c r="K73">
        <v>25.711518158480501</v>
      </c>
      <c r="L73">
        <v>22.834728889317301</v>
      </c>
      <c r="M73">
        <v>0.26857507650139201</v>
      </c>
      <c r="N73">
        <v>45.9130890185114</v>
      </c>
      <c r="O73">
        <v>18.015508673417099</v>
      </c>
      <c r="P73">
        <v>5.2148763538221097</v>
      </c>
      <c r="Q73">
        <v>17.874965362826298</v>
      </c>
      <c r="R73">
        <v>33.744279860639601</v>
      </c>
      <c r="S73">
        <v>-5.5731262260277603</v>
      </c>
      <c r="T73">
        <v>56.748637117625002</v>
      </c>
      <c r="U73">
        <v>-0.32776026644786299</v>
      </c>
      <c r="V73">
        <v>34.759597397825502</v>
      </c>
    </row>
    <row r="74" spans="1:22" x14ac:dyDescent="0.25">
      <c r="A74" t="str">
        <f t="shared" si="1"/>
        <v>Armenia2017</v>
      </c>
      <c r="B74" t="s">
        <v>27</v>
      </c>
      <c r="C74" t="s">
        <v>28</v>
      </c>
      <c r="D74">
        <v>2017</v>
      </c>
      <c r="E74">
        <v>3869.05373867752</v>
      </c>
      <c r="F74">
        <v>7.5000000016414399</v>
      </c>
      <c r="G74">
        <v>0.96955326881613701</v>
      </c>
      <c r="H74">
        <v>12</v>
      </c>
      <c r="I74">
        <v>11.4171755495395</v>
      </c>
      <c r="J74">
        <v>17.704000000000001</v>
      </c>
      <c r="K74">
        <v>22.6297249923647</v>
      </c>
      <c r="L74">
        <v>22.525465105211499</v>
      </c>
      <c r="M74">
        <v>2.1506418984861302</v>
      </c>
      <c r="N74">
        <v>46.818883133765603</v>
      </c>
      <c r="O74">
        <v>18.421740214872798</v>
      </c>
      <c r="P74">
        <v>4.4318901021033197</v>
      </c>
      <c r="Q74">
        <v>17.1784579074194</v>
      </c>
      <c r="R74">
        <v>38.2160456550464</v>
      </c>
      <c r="S74">
        <v>-4.6990172501977803</v>
      </c>
      <c r="T74">
        <v>58.937621508143401</v>
      </c>
      <c r="U74">
        <v>-0.24354886606088499</v>
      </c>
      <c r="V74">
        <v>36.373578804291398</v>
      </c>
    </row>
    <row r="75" spans="1:22" x14ac:dyDescent="0.25">
      <c r="A75" t="str">
        <f t="shared" si="1"/>
        <v>Armenia2018</v>
      </c>
      <c r="B75" t="s">
        <v>27</v>
      </c>
      <c r="C75" t="s">
        <v>28</v>
      </c>
      <c r="D75">
        <v>2018</v>
      </c>
      <c r="E75">
        <v>4196.0056230176897</v>
      </c>
      <c r="F75">
        <v>5.1999999996532402</v>
      </c>
      <c r="G75">
        <v>2.5202338200163701</v>
      </c>
      <c r="H75">
        <v>12</v>
      </c>
      <c r="I75">
        <v>11.711689266312399</v>
      </c>
      <c r="J75">
        <v>18.966000000000001</v>
      </c>
      <c r="K75">
        <v>22.0768137564949</v>
      </c>
      <c r="L75">
        <v>22.453634372173902</v>
      </c>
      <c r="M75">
        <v>2.7877095142576098</v>
      </c>
      <c r="N75">
        <v>47.412730323081597</v>
      </c>
      <c r="O75">
        <v>22.399739326770099</v>
      </c>
      <c r="P75">
        <v>3.6689814849964799</v>
      </c>
      <c r="Q75">
        <v>15.553575766877</v>
      </c>
      <c r="R75">
        <v>39.392894028607301</v>
      </c>
      <c r="S75">
        <v>-1.7567210605947501</v>
      </c>
      <c r="T75">
        <v>55.654818173574903</v>
      </c>
      <c r="U75">
        <v>-0.21290836909177799</v>
      </c>
      <c r="V75">
        <v>36.960829368535201</v>
      </c>
    </row>
    <row r="76" spans="1:22" x14ac:dyDescent="0.25">
      <c r="A76" t="str">
        <f t="shared" si="1"/>
        <v>Armenia2019</v>
      </c>
      <c r="B76" t="s">
        <v>27</v>
      </c>
      <c r="C76" t="s">
        <v>28</v>
      </c>
      <c r="D76">
        <v>2019</v>
      </c>
      <c r="E76">
        <v>4597.2288739954802</v>
      </c>
      <c r="F76">
        <v>7.5999999985391797</v>
      </c>
      <c r="G76">
        <v>1.4434466077069801</v>
      </c>
      <c r="H76">
        <v>12</v>
      </c>
      <c r="I76">
        <v>12.0453317121053</v>
      </c>
      <c r="J76">
        <v>18.303999999999998</v>
      </c>
      <c r="K76">
        <v>21.758480572008501</v>
      </c>
      <c r="L76">
        <v>23.941240997760499</v>
      </c>
      <c r="M76">
        <v>1.0656226392341901</v>
      </c>
      <c r="N76">
        <v>47.8107543362811</v>
      </c>
      <c r="O76">
        <v>17.408529410856701</v>
      </c>
      <c r="P76">
        <v>4.1096972090417303</v>
      </c>
      <c r="Q76">
        <v>10.3722524565845</v>
      </c>
      <c r="R76">
        <v>42.262607350291098</v>
      </c>
      <c r="S76">
        <v>-0.97610393251635597</v>
      </c>
      <c r="T76">
        <v>53.673196999114403</v>
      </c>
      <c r="U76">
        <v>-8.3554870791076694E-2</v>
      </c>
      <c r="V76">
        <v>39.439996561566801</v>
      </c>
    </row>
    <row r="77" spans="1:22" x14ac:dyDescent="0.25">
      <c r="A77" t="str">
        <f t="shared" si="1"/>
        <v>Armenia2020</v>
      </c>
      <c r="B77" t="s">
        <v>27</v>
      </c>
      <c r="C77" t="s">
        <v>28</v>
      </c>
      <c r="D77">
        <v>2020</v>
      </c>
      <c r="E77">
        <v>4268.68093304583</v>
      </c>
      <c r="F77">
        <v>-7.1999999992063097</v>
      </c>
      <c r="G77">
        <v>1.2114357783846399</v>
      </c>
      <c r="H77">
        <v>12</v>
      </c>
      <c r="I77">
        <v>12.343281529839</v>
      </c>
      <c r="J77">
        <v>18.175000000000001</v>
      </c>
      <c r="K77">
        <v>26.581287777843698</v>
      </c>
      <c r="L77">
        <v>24.1447323127042</v>
      </c>
      <c r="M77">
        <v>1.8065927015993299</v>
      </c>
      <c r="N77">
        <v>48.175487067975602</v>
      </c>
      <c r="O77">
        <v>19.663832943599001</v>
      </c>
      <c r="P77">
        <v>5.5006189826881098</v>
      </c>
      <c r="Q77">
        <v>15.6465054606072</v>
      </c>
      <c r="R77">
        <v>30.076648247418198</v>
      </c>
      <c r="S77">
        <v>-5.4043646562904399</v>
      </c>
      <c r="T77">
        <v>67.361947760225107</v>
      </c>
      <c r="U77">
        <v>-0.44611428782706097</v>
      </c>
      <c r="V77">
        <v>32.491244312510602</v>
      </c>
    </row>
    <row r="78" spans="1:22" x14ac:dyDescent="0.25">
      <c r="A78" t="str">
        <f t="shared" si="1"/>
        <v>Armenia2021</v>
      </c>
      <c r="B78" t="s">
        <v>27</v>
      </c>
      <c r="C78" t="s">
        <v>28</v>
      </c>
      <c r="D78">
        <v>2021</v>
      </c>
      <c r="E78">
        <v>4685.1799712850898</v>
      </c>
      <c r="F78">
        <v>5.8000000006564498</v>
      </c>
      <c r="G78">
        <v>7.1848362944337003</v>
      </c>
      <c r="H78">
        <v>12</v>
      </c>
      <c r="I78">
        <v>12.600194715032</v>
      </c>
      <c r="J78">
        <v>15.468999999999999</v>
      </c>
      <c r="K78">
        <v>24.968529504044</v>
      </c>
      <c r="L78">
        <v>23.387828871077701</v>
      </c>
      <c r="M78">
        <v>6.9005136578715698</v>
      </c>
      <c r="N78">
        <v>48.475995144195501</v>
      </c>
      <c r="O78">
        <v>22.963876226158099</v>
      </c>
      <c r="P78">
        <v>5.5652028228703498</v>
      </c>
      <c r="Q78">
        <v>19.692015289206299</v>
      </c>
      <c r="R78">
        <v>35.668892395293199</v>
      </c>
      <c r="S78">
        <v>-4.6024972442373597</v>
      </c>
      <c r="T78">
        <v>63.354416097147698</v>
      </c>
      <c r="U78">
        <v>-0.20234696372383401</v>
      </c>
      <c r="V78">
        <v>37.163247471211001</v>
      </c>
    </row>
    <row r="79" spans="1:22" x14ac:dyDescent="0.25">
      <c r="A79" t="str">
        <f t="shared" si="1"/>
        <v>Armenia2022</v>
      </c>
      <c r="B79" t="s">
        <v>27</v>
      </c>
      <c r="C79" t="s">
        <v>28</v>
      </c>
      <c r="D79">
        <v>2022</v>
      </c>
      <c r="E79">
        <v>6571.9744554509898</v>
      </c>
      <c r="F79">
        <v>12.5999999997766</v>
      </c>
      <c r="G79">
        <v>8.6409110897385393</v>
      </c>
      <c r="H79">
        <v>12</v>
      </c>
      <c r="I79">
        <v>12.9151582271286</v>
      </c>
      <c r="J79">
        <v>13.451000000000001</v>
      </c>
      <c r="K79">
        <v>21.162754832788899</v>
      </c>
      <c r="L79">
        <v>23.4564175842604</v>
      </c>
      <c r="M79">
        <v>7.9858785282817504</v>
      </c>
      <c r="N79">
        <v>48.760198079724901</v>
      </c>
      <c r="O79">
        <v>22.255132166051599</v>
      </c>
      <c r="P79">
        <v>4.1323106116027901</v>
      </c>
      <c r="Q79">
        <v>22.768076692828298</v>
      </c>
      <c r="R79">
        <v>51.570920365649698</v>
      </c>
      <c r="S79">
        <v>-2.1158299769378099</v>
      </c>
      <c r="T79">
        <v>49.2465437717008</v>
      </c>
      <c r="U79">
        <v>0.13708377696215501</v>
      </c>
      <c r="V79">
        <v>43.668719435014602</v>
      </c>
    </row>
    <row r="80" spans="1:22" x14ac:dyDescent="0.25">
      <c r="A80" t="str">
        <f t="shared" si="1"/>
        <v>Armenia2023</v>
      </c>
      <c r="B80" t="s">
        <v>27</v>
      </c>
      <c r="C80" t="s">
        <v>28</v>
      </c>
      <c r="D80">
        <v>2023</v>
      </c>
      <c r="E80">
        <v>8159.0872096799603</v>
      </c>
      <c r="F80">
        <v>8.2999999995953893</v>
      </c>
      <c r="G80">
        <v>1.9804187761555301</v>
      </c>
      <c r="H80">
        <v>12</v>
      </c>
      <c r="I80">
        <v>13.2110458915952</v>
      </c>
      <c r="J80">
        <v>12.404999999999999</v>
      </c>
      <c r="K80">
        <v>20.9471499751251</v>
      </c>
      <c r="L80">
        <v>23.8758078241652</v>
      </c>
      <c r="M80">
        <v>3.1002762999531099</v>
      </c>
      <c r="N80">
        <v>48.7129653645231</v>
      </c>
      <c r="O80">
        <v>22.941305445281198</v>
      </c>
      <c r="P80">
        <v>2.6169354573662802</v>
      </c>
      <c r="Q80">
        <v>20.189058618789101</v>
      </c>
      <c r="R80">
        <v>61.008329479155996</v>
      </c>
      <c r="S80">
        <v>-2.0187321028381202</v>
      </c>
      <c r="T80">
        <v>50.512433781637803</v>
      </c>
      <c r="U80">
        <v>0.139333545047366</v>
      </c>
      <c r="V80">
        <v>43.711838108278698</v>
      </c>
    </row>
    <row r="81" spans="1:22" x14ac:dyDescent="0.25">
      <c r="A81" t="str">
        <f t="shared" si="1"/>
        <v>Armenia2024</v>
      </c>
      <c r="B81" t="s">
        <v>27</v>
      </c>
      <c r="C81" t="s">
        <v>28</v>
      </c>
      <c r="D81">
        <v>2024</v>
      </c>
      <c r="E81">
        <v>8556.2140695671897</v>
      </c>
      <c r="F81">
        <v>5.9000000004622803</v>
      </c>
      <c r="G81">
        <v>0.26951197825912498</v>
      </c>
      <c r="H81">
        <v>12</v>
      </c>
      <c r="I81">
        <v>13.7027691969357</v>
      </c>
      <c r="J81">
        <v>12.404999999999999</v>
      </c>
      <c r="K81">
        <v>22.633453395037002</v>
      </c>
      <c r="L81">
        <v>24.1409039589361</v>
      </c>
      <c r="M81">
        <v>1.4010608154497499</v>
      </c>
      <c r="N81">
        <v>49.119880841776201</v>
      </c>
      <c r="O81">
        <v>23.832745242902099</v>
      </c>
      <c r="P81">
        <v>2.06051540228788</v>
      </c>
      <c r="Q81">
        <v>19.235685937072901</v>
      </c>
      <c r="R81">
        <v>73.625354006718396</v>
      </c>
      <c r="S81">
        <v>-3.6733561719799601</v>
      </c>
      <c r="T81">
        <v>49.960880137984702</v>
      </c>
      <c r="U81">
        <v>0.102136363796461</v>
      </c>
      <c r="V81">
        <v>42.998923245967603</v>
      </c>
    </row>
    <row r="82" spans="1:22" x14ac:dyDescent="0.25">
      <c r="A82" t="str">
        <f t="shared" si="1"/>
        <v>Armenia2025</v>
      </c>
      <c r="B82" t="s">
        <v>27</v>
      </c>
      <c r="C82" t="s">
        <v>28</v>
      </c>
      <c r="D82">
        <v>2025</v>
      </c>
      <c r="E82">
        <v>3869.05373867752</v>
      </c>
      <c r="F82">
        <v>5.1999999996532402</v>
      </c>
      <c r="G82">
        <v>2.5580200775790698</v>
      </c>
      <c r="H82">
        <v>12</v>
      </c>
      <c r="I82">
        <v>11.4171755495395</v>
      </c>
      <c r="J82">
        <v>12.871</v>
      </c>
      <c r="K82">
        <v>22.633453395037002</v>
      </c>
      <c r="L82">
        <v>23.387828871077701</v>
      </c>
      <c r="M82">
        <v>2.7877095142576098</v>
      </c>
      <c r="N82">
        <v>46.818883133765603</v>
      </c>
      <c r="O82">
        <v>22.255132166051599</v>
      </c>
      <c r="P82">
        <v>4.1323106116027901</v>
      </c>
      <c r="Q82">
        <v>15.6465054606072</v>
      </c>
      <c r="R82">
        <v>33.744279860639601</v>
      </c>
      <c r="S82">
        <v>-3.7373758232030299</v>
      </c>
      <c r="T82">
        <v>48.9653699139634</v>
      </c>
      <c r="U82">
        <v>-0.164189274179179</v>
      </c>
      <c r="V82">
        <v>37.894571272451302</v>
      </c>
    </row>
    <row r="83" spans="1:22" x14ac:dyDescent="0.25">
      <c r="A83" t="str">
        <f t="shared" si="1"/>
        <v>Australia2010</v>
      </c>
      <c r="B83" t="s">
        <v>29</v>
      </c>
      <c r="C83" t="s">
        <v>30</v>
      </c>
      <c r="D83">
        <v>2010</v>
      </c>
      <c r="E83">
        <v>52313.893904121302</v>
      </c>
      <c r="F83">
        <v>2.2100479530073498</v>
      </c>
      <c r="G83">
        <v>2.9183370211222002</v>
      </c>
      <c r="H83">
        <v>11</v>
      </c>
      <c r="I83">
        <v>13.529289383836</v>
      </c>
      <c r="J83">
        <v>5.2140000000000004</v>
      </c>
      <c r="K83">
        <v>26.618598377599699</v>
      </c>
      <c r="L83">
        <v>23.2230972332076</v>
      </c>
      <c r="M83">
        <v>1.1651877881097501</v>
      </c>
      <c r="N83">
        <v>48.363861110940903</v>
      </c>
      <c r="O83">
        <v>26.697693257066</v>
      </c>
      <c r="P83">
        <v>1.4494932951904</v>
      </c>
      <c r="Q83">
        <v>21.709135142117098</v>
      </c>
      <c r="R83">
        <v>19.7322237124156</v>
      </c>
      <c r="S83">
        <v>-5.1001187323043196</v>
      </c>
      <c r="T83">
        <v>20.287697506621601</v>
      </c>
      <c r="U83">
        <v>0.29803535692537397</v>
      </c>
      <c r="V83">
        <v>46.753490097991403</v>
      </c>
    </row>
    <row r="84" spans="1:22" x14ac:dyDescent="0.25">
      <c r="A84" t="str">
        <f t="shared" si="1"/>
        <v>Australia2011</v>
      </c>
      <c r="B84" t="s">
        <v>29</v>
      </c>
      <c r="C84" t="s">
        <v>30</v>
      </c>
      <c r="D84">
        <v>2011</v>
      </c>
      <c r="E84">
        <v>62799.389501703197</v>
      </c>
      <c r="F84">
        <v>2.3947349433061502</v>
      </c>
      <c r="G84">
        <v>3.3038478468108101</v>
      </c>
      <c r="H84">
        <v>11</v>
      </c>
      <c r="I84">
        <v>13.798814712335901</v>
      </c>
      <c r="J84">
        <v>5.0830000000000002</v>
      </c>
      <c r="K84">
        <v>25.9163709195685</v>
      </c>
      <c r="L84">
        <v>22.637548754348401</v>
      </c>
      <c r="M84">
        <v>6.1989034846379196</v>
      </c>
      <c r="N84">
        <v>48.768238322988303</v>
      </c>
      <c r="O84">
        <v>26.382444920763199</v>
      </c>
      <c r="P84">
        <v>1.3329222997953001</v>
      </c>
      <c r="Q84">
        <v>23.162167704174198</v>
      </c>
      <c r="R84">
        <v>21.3710952598475</v>
      </c>
      <c r="S84">
        <v>-4.51126007473224</v>
      </c>
      <c r="T84">
        <v>23.962451934565799</v>
      </c>
      <c r="U84">
        <v>0.41784816065494701</v>
      </c>
      <c r="V84">
        <v>49.049801958231797</v>
      </c>
    </row>
    <row r="85" spans="1:22" x14ac:dyDescent="0.25">
      <c r="A85" t="str">
        <f t="shared" si="1"/>
        <v>Australia2012</v>
      </c>
      <c r="B85" t="s">
        <v>29</v>
      </c>
      <c r="C85" t="s">
        <v>30</v>
      </c>
      <c r="D85">
        <v>2012</v>
      </c>
      <c r="E85">
        <v>68301.440251258697</v>
      </c>
      <c r="F85">
        <v>3.9524713811918399</v>
      </c>
      <c r="G85">
        <v>1.76278299052228</v>
      </c>
      <c r="H85">
        <v>11</v>
      </c>
      <c r="I85">
        <v>14.088046004654901</v>
      </c>
      <c r="J85">
        <v>5.2249999999999996</v>
      </c>
      <c r="K85">
        <v>26.031610258358299</v>
      </c>
      <c r="L85">
        <v>23.356380128000399</v>
      </c>
      <c r="M85">
        <v>1.7972862228583899</v>
      </c>
      <c r="N85">
        <v>49.328972689837798</v>
      </c>
      <c r="O85">
        <v>27.623346617726298</v>
      </c>
      <c r="P85">
        <v>1.3694713528581499</v>
      </c>
      <c r="Q85">
        <v>24.200411352821</v>
      </c>
      <c r="R85">
        <v>21.421233024544801</v>
      </c>
      <c r="S85">
        <v>-3.4958809355738101</v>
      </c>
      <c r="T85">
        <v>27.4203364921371</v>
      </c>
      <c r="U85">
        <v>0.52157926086918205</v>
      </c>
      <c r="V85">
        <v>51.037894618473501</v>
      </c>
    </row>
    <row r="86" spans="1:22" x14ac:dyDescent="0.25">
      <c r="A86" t="str">
        <f t="shared" si="1"/>
        <v>Australia2013</v>
      </c>
      <c r="B86" t="s">
        <v>29</v>
      </c>
      <c r="C86" t="s">
        <v>30</v>
      </c>
      <c r="D86">
        <v>2013</v>
      </c>
      <c r="E86">
        <v>68476.678849611795</v>
      </c>
      <c r="F86">
        <v>2.65445302592404</v>
      </c>
      <c r="G86">
        <v>2.4498824810925899</v>
      </c>
      <c r="H86">
        <v>11</v>
      </c>
      <c r="I86">
        <v>14.366324406492</v>
      </c>
      <c r="J86">
        <v>5.6630000000000003</v>
      </c>
      <c r="K86">
        <v>25.771999808255099</v>
      </c>
      <c r="L86">
        <v>24.350950108763399</v>
      </c>
      <c r="M86">
        <v>-0.13127264372919001</v>
      </c>
      <c r="N86">
        <v>49.924367312391901</v>
      </c>
      <c r="O86">
        <v>27.7570773936691</v>
      </c>
      <c r="P86">
        <v>1.55435208477367</v>
      </c>
      <c r="Q86">
        <v>23.782798513774299</v>
      </c>
      <c r="R86">
        <v>19.893141104787301</v>
      </c>
      <c r="S86">
        <v>-2.7976439690937398</v>
      </c>
      <c r="T86">
        <v>30.3325974701531</v>
      </c>
      <c r="U86">
        <v>0.52700220758470195</v>
      </c>
      <c r="V86">
        <v>51.141829894776798</v>
      </c>
    </row>
    <row r="87" spans="1:22" x14ac:dyDescent="0.25">
      <c r="A87" t="str">
        <f t="shared" si="1"/>
        <v>Australia2014</v>
      </c>
      <c r="B87" t="s">
        <v>29</v>
      </c>
      <c r="C87" t="s">
        <v>30</v>
      </c>
      <c r="D87">
        <v>2014</v>
      </c>
      <c r="E87">
        <v>62817.206175173698</v>
      </c>
      <c r="F87">
        <v>2.6011897818733201</v>
      </c>
      <c r="G87">
        <v>2.4879293208049198</v>
      </c>
      <c r="H87">
        <v>11</v>
      </c>
      <c r="I87">
        <v>14.634393390411899</v>
      </c>
      <c r="J87">
        <v>6.0780000000000003</v>
      </c>
      <c r="K87">
        <v>26.143469813243598</v>
      </c>
      <c r="L87">
        <v>24.2574161887099</v>
      </c>
      <c r="M87">
        <v>1.4170305718226399</v>
      </c>
      <c r="N87">
        <v>50.491060899885198</v>
      </c>
      <c r="O87">
        <v>26.611123458196602</v>
      </c>
      <c r="P87">
        <v>1.6610306822608201</v>
      </c>
      <c r="Q87">
        <v>23.456327482400798</v>
      </c>
      <c r="R87">
        <v>20.995917991280699</v>
      </c>
      <c r="S87">
        <v>-2.9059361316581902</v>
      </c>
      <c r="T87">
        <v>33.8931381543592</v>
      </c>
      <c r="U87">
        <v>0.47516311533813799</v>
      </c>
      <c r="V87">
        <v>50.148290651520597</v>
      </c>
    </row>
    <row r="88" spans="1:22" x14ac:dyDescent="0.25">
      <c r="A88" t="str">
        <f t="shared" si="1"/>
        <v>Australia2015</v>
      </c>
      <c r="B88" t="s">
        <v>29</v>
      </c>
      <c r="C88" t="s">
        <v>30</v>
      </c>
      <c r="D88">
        <v>2015</v>
      </c>
      <c r="E88">
        <v>56970.361302809397</v>
      </c>
      <c r="F88">
        <v>2.1643478064785202</v>
      </c>
      <c r="G88">
        <v>1.5083680313846299</v>
      </c>
      <c r="H88">
        <v>11</v>
      </c>
      <c r="I88">
        <v>14.8994580007134</v>
      </c>
      <c r="J88">
        <v>6.0549999999999997</v>
      </c>
      <c r="K88">
        <v>26.655535026953199</v>
      </c>
      <c r="L88">
        <v>24.409196296021499</v>
      </c>
      <c r="M88">
        <v>-0.62740793460605504</v>
      </c>
      <c r="N88">
        <v>51.063301029401202</v>
      </c>
      <c r="O88">
        <v>26.1669365772477</v>
      </c>
      <c r="P88">
        <v>1.60125212905097</v>
      </c>
      <c r="Q88">
        <v>22.521231196961999</v>
      </c>
      <c r="R88">
        <v>19.984645450325502</v>
      </c>
      <c r="S88">
        <v>-2.77534607914667</v>
      </c>
      <c r="T88">
        <v>37.575322751039799</v>
      </c>
      <c r="U88">
        <v>0.41799079860650801</v>
      </c>
      <c r="V88">
        <v>49.052535733001299</v>
      </c>
    </row>
    <row r="89" spans="1:22" x14ac:dyDescent="0.25">
      <c r="A89" t="str">
        <f t="shared" si="1"/>
        <v>Australia2016</v>
      </c>
      <c r="B89" t="s">
        <v>29</v>
      </c>
      <c r="C89" t="s">
        <v>30</v>
      </c>
      <c r="D89">
        <v>2016</v>
      </c>
      <c r="E89">
        <v>50084.444060638503</v>
      </c>
      <c r="F89">
        <v>2.7556406552986799</v>
      </c>
      <c r="G89">
        <v>1.27699365720306</v>
      </c>
      <c r="H89">
        <v>11</v>
      </c>
      <c r="I89">
        <v>15.150816300049399</v>
      </c>
      <c r="J89">
        <v>5.7110000000000003</v>
      </c>
      <c r="K89">
        <v>26.8782732460928</v>
      </c>
      <c r="L89">
        <v>24.7656119982625</v>
      </c>
      <c r="M89">
        <v>-0.67341749592974098</v>
      </c>
      <c r="N89">
        <v>51.603445574586203</v>
      </c>
      <c r="O89">
        <v>25.3483902403269</v>
      </c>
      <c r="P89">
        <v>1.8883254835290399</v>
      </c>
      <c r="Q89">
        <v>20.529640955704998</v>
      </c>
      <c r="R89">
        <v>19.203143878335101</v>
      </c>
      <c r="S89">
        <v>-2.4147378847930101</v>
      </c>
      <c r="T89">
        <v>40.460261088270698</v>
      </c>
      <c r="U89">
        <v>0.38194630519399703</v>
      </c>
      <c r="V89">
        <v>48.361713090153103</v>
      </c>
    </row>
    <row r="90" spans="1:22" x14ac:dyDescent="0.25">
      <c r="A90" t="str">
        <f t="shared" si="1"/>
        <v>Australia2017</v>
      </c>
      <c r="B90" t="s">
        <v>29</v>
      </c>
      <c r="C90" t="s">
        <v>30</v>
      </c>
      <c r="D90">
        <v>2017</v>
      </c>
      <c r="E90">
        <v>54117.547718608999</v>
      </c>
      <c r="F90">
        <v>2.2933103019291798</v>
      </c>
      <c r="G90">
        <v>1.94864309065653</v>
      </c>
      <c r="H90">
        <v>11</v>
      </c>
      <c r="I90">
        <v>15.387613019162099</v>
      </c>
      <c r="J90">
        <v>5.5919999999999996</v>
      </c>
      <c r="K90">
        <v>26.5276169849373</v>
      </c>
      <c r="L90">
        <v>24.7425472872619</v>
      </c>
      <c r="M90">
        <v>3.6462335800608701</v>
      </c>
      <c r="N90">
        <v>52.042421492171201</v>
      </c>
      <c r="O90">
        <v>24.079882449808601</v>
      </c>
      <c r="P90">
        <v>2.08176490163879</v>
      </c>
      <c r="Q90">
        <v>21.578207448266902</v>
      </c>
      <c r="R90">
        <v>21.171841221107599</v>
      </c>
      <c r="S90">
        <v>-1.71150956304931</v>
      </c>
      <c r="T90">
        <v>41.039228385450997</v>
      </c>
      <c r="U90">
        <v>0.47403252228939202</v>
      </c>
      <c r="V90">
        <v>50.126621897045901</v>
      </c>
    </row>
    <row r="91" spans="1:22" x14ac:dyDescent="0.25">
      <c r="A91" t="str">
        <f t="shared" si="1"/>
        <v>Australia2018</v>
      </c>
      <c r="B91" t="s">
        <v>29</v>
      </c>
      <c r="C91" t="s">
        <v>30</v>
      </c>
      <c r="D91">
        <v>2018</v>
      </c>
      <c r="E91">
        <v>57410.173734600903</v>
      </c>
      <c r="F91">
        <v>2.8741703949950099</v>
      </c>
      <c r="G91">
        <v>1.9114000281857899</v>
      </c>
      <c r="H91">
        <v>11</v>
      </c>
      <c r="I91">
        <v>15.6409676060892</v>
      </c>
      <c r="J91">
        <v>5.3449999999999998</v>
      </c>
      <c r="K91">
        <v>26.131722743274601</v>
      </c>
      <c r="L91">
        <v>25.747175797448101</v>
      </c>
      <c r="M91">
        <v>1.8461755530331101</v>
      </c>
      <c r="N91">
        <v>52.445515169280398</v>
      </c>
      <c r="O91">
        <v>24.5546475824653</v>
      </c>
      <c r="P91">
        <v>1.5700341229963599</v>
      </c>
      <c r="Q91">
        <v>21.401266435339199</v>
      </c>
      <c r="R91">
        <v>21.812573657506601</v>
      </c>
      <c r="S91">
        <v>-1.2540027378227101</v>
      </c>
      <c r="T91">
        <v>41.5984709002472</v>
      </c>
      <c r="U91">
        <v>0.53569348078080703</v>
      </c>
      <c r="V91">
        <v>51.308405361668001</v>
      </c>
    </row>
    <row r="92" spans="1:22" x14ac:dyDescent="0.25">
      <c r="A92" t="str">
        <f t="shared" si="1"/>
        <v>Australia2019</v>
      </c>
      <c r="B92" t="s">
        <v>29</v>
      </c>
      <c r="C92" t="s">
        <v>30</v>
      </c>
      <c r="D92">
        <v>2019</v>
      </c>
      <c r="E92">
        <v>55194.758509742802</v>
      </c>
      <c r="F92">
        <v>2.1940170362271698</v>
      </c>
      <c r="G92">
        <v>1.610770929127</v>
      </c>
      <c r="H92">
        <v>11</v>
      </c>
      <c r="I92">
        <v>15.945063779313299</v>
      </c>
      <c r="J92">
        <v>5.1429999999999998</v>
      </c>
      <c r="K92">
        <v>26.071190194278302</v>
      </c>
      <c r="L92">
        <v>25.971506532629899</v>
      </c>
      <c r="M92">
        <v>3.47660031414854</v>
      </c>
      <c r="N92">
        <v>52.919758431589599</v>
      </c>
      <c r="O92">
        <v>23.297181596626402</v>
      </c>
      <c r="P92">
        <v>1.7822873637146801</v>
      </c>
      <c r="Q92">
        <v>21.980889484560802</v>
      </c>
      <c r="R92">
        <v>24.062480021072201</v>
      </c>
      <c r="S92">
        <v>-4.3920279291260398</v>
      </c>
      <c r="T92">
        <v>46.528593082265601</v>
      </c>
      <c r="U92">
        <v>0.39928894293047401</v>
      </c>
      <c r="V92">
        <v>48.694099141413702</v>
      </c>
    </row>
    <row r="93" spans="1:22" x14ac:dyDescent="0.25">
      <c r="A93" t="str">
        <f t="shared" si="1"/>
        <v>Australia2020</v>
      </c>
      <c r="B93" t="s">
        <v>29</v>
      </c>
      <c r="C93" t="s">
        <v>30</v>
      </c>
      <c r="D93">
        <v>2020</v>
      </c>
      <c r="E93">
        <v>51983.452366638201</v>
      </c>
      <c r="F93">
        <v>-0.13353190430477499</v>
      </c>
      <c r="G93">
        <v>0.846900734607273</v>
      </c>
      <c r="H93">
        <v>11</v>
      </c>
      <c r="I93">
        <v>16.3387202762794</v>
      </c>
      <c r="J93">
        <v>6.3940000000000001</v>
      </c>
      <c r="K93">
        <v>30.143498812974901</v>
      </c>
      <c r="L93">
        <v>25.189114562751399</v>
      </c>
      <c r="M93">
        <v>1.8658341221618899</v>
      </c>
      <c r="N93">
        <v>53.606124638161603</v>
      </c>
      <c r="O93">
        <v>22.344930080653398</v>
      </c>
      <c r="P93">
        <v>1.5961397996989</v>
      </c>
      <c r="Q93">
        <v>23.232599045577299</v>
      </c>
      <c r="R93">
        <v>23.9380373915413</v>
      </c>
      <c r="S93">
        <v>-8.7043842082822191</v>
      </c>
      <c r="T93">
        <v>56.910038454776704</v>
      </c>
      <c r="U93">
        <v>0.14509472217706701</v>
      </c>
      <c r="V93">
        <v>43.822255851291601</v>
      </c>
    </row>
    <row r="94" spans="1:22" x14ac:dyDescent="0.25">
      <c r="A94" t="str">
        <f t="shared" si="1"/>
        <v>Australia2021</v>
      </c>
      <c r="B94" t="s">
        <v>29</v>
      </c>
      <c r="C94" t="s">
        <v>30</v>
      </c>
      <c r="D94">
        <v>2021</v>
      </c>
      <c r="E94">
        <v>60758.904439714403</v>
      </c>
      <c r="F94">
        <v>2.00694844335034</v>
      </c>
      <c r="G94">
        <v>2.8639128470931801</v>
      </c>
      <c r="H94">
        <v>11</v>
      </c>
      <c r="I94">
        <v>16.749187363780099</v>
      </c>
      <c r="J94">
        <v>5.0220000000000002</v>
      </c>
      <c r="K94">
        <v>32.551817937918401</v>
      </c>
      <c r="L94">
        <v>25.6293211504608</v>
      </c>
      <c r="M94">
        <v>3.0606698476163099</v>
      </c>
      <c r="N94">
        <v>54.255815759352501</v>
      </c>
      <c r="O94">
        <v>22.8801883097412</v>
      </c>
      <c r="P94">
        <v>1.7348118149643601</v>
      </c>
      <c r="Q94">
        <v>25.195852007537098</v>
      </c>
      <c r="R94">
        <v>22.001814422892501</v>
      </c>
      <c r="S94">
        <v>-6.3513836012895197</v>
      </c>
      <c r="T94">
        <v>55.372444989469003</v>
      </c>
      <c r="U94">
        <v>0.40509294203797103</v>
      </c>
      <c r="V94">
        <v>48.805337603184903</v>
      </c>
    </row>
    <row r="95" spans="1:22" x14ac:dyDescent="0.25">
      <c r="A95" t="str">
        <f t="shared" si="1"/>
        <v>Australia2022</v>
      </c>
      <c r="B95" t="s">
        <v>29</v>
      </c>
      <c r="C95" t="s">
        <v>30</v>
      </c>
      <c r="D95">
        <v>2022</v>
      </c>
      <c r="E95">
        <v>65169.519111865702</v>
      </c>
      <c r="F95">
        <v>4.2530455923873198</v>
      </c>
      <c r="G95">
        <v>6.5940965871784103</v>
      </c>
      <c r="H95">
        <v>11</v>
      </c>
      <c r="I95">
        <v>17.075032046982798</v>
      </c>
      <c r="J95">
        <v>3.7280000000000002</v>
      </c>
      <c r="K95">
        <v>27.583313292555701</v>
      </c>
      <c r="L95">
        <v>26.131348255083001</v>
      </c>
      <c r="M95">
        <v>7.1995443407200996</v>
      </c>
      <c r="N95">
        <v>54.584771843465298</v>
      </c>
      <c r="O95">
        <v>23.699795712443201</v>
      </c>
      <c r="P95">
        <v>1.30088944606724</v>
      </c>
      <c r="Q95">
        <v>24.9259369836481</v>
      </c>
      <c r="R95">
        <v>25.461529837365902</v>
      </c>
      <c r="S95">
        <v>-2.2058950449652999</v>
      </c>
      <c r="T95">
        <v>50.045039566174999</v>
      </c>
      <c r="U95">
        <v>0.66406138296292805</v>
      </c>
      <c r="V95">
        <v>53.768682786777902</v>
      </c>
    </row>
    <row r="96" spans="1:22" x14ac:dyDescent="0.25">
      <c r="A96" t="str">
        <f t="shared" si="1"/>
        <v>Australia2023</v>
      </c>
      <c r="B96" t="s">
        <v>29</v>
      </c>
      <c r="C96" t="s">
        <v>30</v>
      </c>
      <c r="D96">
        <v>2023</v>
      </c>
      <c r="E96">
        <v>65058.377314667399</v>
      </c>
      <c r="F96">
        <v>3.5838210079898101</v>
      </c>
      <c r="G96">
        <v>5.59701792296707</v>
      </c>
      <c r="H96">
        <v>11</v>
      </c>
      <c r="I96">
        <v>17.384024966198002</v>
      </c>
      <c r="J96">
        <v>3.6680000000000001</v>
      </c>
      <c r="K96">
        <v>26.5276169849373</v>
      </c>
      <c r="L96">
        <v>24.7425472872619</v>
      </c>
      <c r="M96">
        <v>6.4594411064107096</v>
      </c>
      <c r="N96">
        <v>54.833050159145699</v>
      </c>
      <c r="O96">
        <v>23.873104248989002</v>
      </c>
      <c r="P96">
        <v>1.4268996036247601</v>
      </c>
      <c r="Q96">
        <v>23.775385639383199</v>
      </c>
      <c r="R96">
        <v>26.701068252275</v>
      </c>
      <c r="S96">
        <v>-1.2633303898280901</v>
      </c>
      <c r="T96">
        <v>49.415520258845902</v>
      </c>
      <c r="U96">
        <v>0.67490801399407996</v>
      </c>
      <c r="V96">
        <v>53.976567476103</v>
      </c>
    </row>
    <row r="97" spans="1:22" x14ac:dyDescent="0.25">
      <c r="A97" t="str">
        <f t="shared" si="1"/>
        <v>Australia2024</v>
      </c>
      <c r="B97" t="s">
        <v>29</v>
      </c>
      <c r="C97" t="s">
        <v>30</v>
      </c>
      <c r="D97">
        <v>2024</v>
      </c>
      <c r="E97">
        <v>64603.9856308464</v>
      </c>
      <c r="F97">
        <v>1.3734077336597501</v>
      </c>
      <c r="G97">
        <v>3.16656665428797</v>
      </c>
      <c r="H97">
        <v>11</v>
      </c>
      <c r="I97">
        <v>17.730015922836699</v>
      </c>
      <c r="J97">
        <v>3.9420000000000002</v>
      </c>
      <c r="K97">
        <v>26.5276169849373</v>
      </c>
      <c r="L97">
        <v>24.7425472872619</v>
      </c>
      <c r="M97">
        <v>2.5883843038432599</v>
      </c>
      <c r="N97">
        <v>55.211692188952</v>
      </c>
      <c r="O97">
        <v>24.323541758006002</v>
      </c>
      <c r="P97">
        <v>1.35482594944319</v>
      </c>
      <c r="Q97">
        <v>22.921610363570402</v>
      </c>
      <c r="R97">
        <v>24.621524052947301</v>
      </c>
      <c r="S97">
        <v>-2.2513536658123301</v>
      </c>
      <c r="T97">
        <v>50.611384547820499</v>
      </c>
      <c r="U97">
        <v>0.57969401016025801</v>
      </c>
      <c r="V97">
        <v>52.151712039466403</v>
      </c>
    </row>
    <row r="98" spans="1:22" x14ac:dyDescent="0.25">
      <c r="A98" t="str">
        <f t="shared" si="1"/>
        <v>Australia2025</v>
      </c>
      <c r="B98" t="s">
        <v>29</v>
      </c>
      <c r="C98" t="s">
        <v>30</v>
      </c>
      <c r="D98">
        <v>2025</v>
      </c>
      <c r="E98">
        <v>60758.904439714403</v>
      </c>
      <c r="F98">
        <v>2.3947349433061502</v>
      </c>
      <c r="G98">
        <v>2.4498824810925899</v>
      </c>
      <c r="H98">
        <v>11</v>
      </c>
      <c r="I98">
        <v>15.387613019162099</v>
      </c>
      <c r="J98">
        <v>4.09</v>
      </c>
      <c r="K98">
        <v>26.5276169849373</v>
      </c>
      <c r="L98">
        <v>24.7425472872619</v>
      </c>
      <c r="M98">
        <v>1.8658341221618899</v>
      </c>
      <c r="N98">
        <v>52.042421492171201</v>
      </c>
      <c r="O98">
        <v>24.5546475824653</v>
      </c>
      <c r="P98">
        <v>1.5700341229963599</v>
      </c>
      <c r="Q98">
        <v>23.162167704174198</v>
      </c>
      <c r="R98">
        <v>21.421233024544801</v>
      </c>
      <c r="S98">
        <v>-2.7823842501726199</v>
      </c>
      <c r="T98">
        <v>51.035321775736598</v>
      </c>
      <c r="U98">
        <v>0.49224518371875198</v>
      </c>
      <c r="V98">
        <v>50.475682674733498</v>
      </c>
    </row>
    <row r="99" spans="1:22" x14ac:dyDescent="0.25">
      <c r="A99" t="str">
        <f t="shared" si="1"/>
        <v>Austria2010</v>
      </c>
      <c r="B99" t="s">
        <v>31</v>
      </c>
      <c r="C99" t="s">
        <v>32</v>
      </c>
      <c r="D99">
        <v>2010</v>
      </c>
      <c r="E99">
        <v>46611.139342023198</v>
      </c>
      <c r="F99">
        <v>1.80898243043663</v>
      </c>
      <c r="G99">
        <v>1.81353438995061</v>
      </c>
      <c r="H99">
        <v>9</v>
      </c>
      <c r="I99">
        <v>17.6592449706019</v>
      </c>
      <c r="J99">
        <v>4.883</v>
      </c>
      <c r="K99">
        <v>46.736128814507502</v>
      </c>
      <c r="L99">
        <v>43.7691939325573</v>
      </c>
      <c r="M99">
        <v>0.89133869490964901</v>
      </c>
      <c r="N99">
        <v>48.104642572033498</v>
      </c>
      <c r="O99">
        <v>22.859281235421101</v>
      </c>
      <c r="P99">
        <v>1.20129993780002</v>
      </c>
      <c r="Q99">
        <v>25.901937706354399</v>
      </c>
      <c r="R99">
        <v>51.583982112249103</v>
      </c>
      <c r="S99">
        <v>-4.4648778135463703</v>
      </c>
      <c r="T99">
        <v>83.653969758946204</v>
      </c>
      <c r="U99">
        <v>0.74186026858037601</v>
      </c>
      <c r="V99">
        <v>55.2597630235785</v>
      </c>
    </row>
    <row r="100" spans="1:22" x14ac:dyDescent="0.25">
      <c r="A100" t="str">
        <f t="shared" si="1"/>
        <v>Austria2011</v>
      </c>
      <c r="B100" t="s">
        <v>31</v>
      </c>
      <c r="C100" t="s">
        <v>32</v>
      </c>
      <c r="D100">
        <v>2011</v>
      </c>
      <c r="E100">
        <v>51116.895352204199</v>
      </c>
      <c r="F100">
        <v>2.9274680016914498</v>
      </c>
      <c r="G100">
        <v>3.2865791487538001</v>
      </c>
      <c r="H100">
        <v>10</v>
      </c>
      <c r="I100">
        <v>17.736067110911499</v>
      </c>
      <c r="J100">
        <v>4.6369999999999996</v>
      </c>
      <c r="K100">
        <v>45.785700414526801</v>
      </c>
      <c r="L100">
        <v>43.848309607537701</v>
      </c>
      <c r="M100">
        <v>1.81993743804168</v>
      </c>
      <c r="N100">
        <v>47.889515205934202</v>
      </c>
      <c r="O100">
        <v>24.352160043589301</v>
      </c>
      <c r="P100">
        <v>1.10999349158399</v>
      </c>
      <c r="Q100">
        <v>26.292814743132102</v>
      </c>
      <c r="R100">
        <v>54.2920768831722</v>
      </c>
      <c r="S100">
        <v>-2.4817704420750899</v>
      </c>
      <c r="T100">
        <v>83.356075324069295</v>
      </c>
      <c r="U100">
        <v>0.93346097709915898</v>
      </c>
      <c r="V100">
        <v>58.931949682320102</v>
      </c>
    </row>
    <row r="101" spans="1:22" x14ac:dyDescent="0.25">
      <c r="A101" t="str">
        <f t="shared" si="1"/>
        <v>Austria2012</v>
      </c>
      <c r="B101" t="s">
        <v>31</v>
      </c>
      <c r="C101" t="s">
        <v>32</v>
      </c>
      <c r="D101">
        <v>2012</v>
      </c>
      <c r="E101">
        <v>48250.405914263698</v>
      </c>
      <c r="F101">
        <v>0.62824623947963698</v>
      </c>
      <c r="G101">
        <v>2.4856756217701399</v>
      </c>
      <c r="H101">
        <v>10</v>
      </c>
      <c r="I101">
        <v>17.949704925553299</v>
      </c>
      <c r="J101">
        <v>4.9089999999999998</v>
      </c>
      <c r="K101">
        <v>46.583336441986503</v>
      </c>
      <c r="L101">
        <v>44.474197668203701</v>
      </c>
      <c r="M101">
        <v>2.0916647649042401</v>
      </c>
      <c r="N101">
        <v>48.016229476994802</v>
      </c>
      <c r="O101">
        <v>24.2558827220405</v>
      </c>
      <c r="P101">
        <v>1.3013813709872299</v>
      </c>
      <c r="Q101">
        <v>25.9001846964115</v>
      </c>
      <c r="R101">
        <v>54.325492441455999</v>
      </c>
      <c r="S101">
        <v>-2.1766363624303202</v>
      </c>
      <c r="T101">
        <v>82.9354994197531</v>
      </c>
      <c r="U101">
        <v>0.91278405325737699</v>
      </c>
      <c r="V101">
        <v>58.535659269499597</v>
      </c>
    </row>
    <row r="102" spans="1:22" x14ac:dyDescent="0.25">
      <c r="A102" t="str">
        <f t="shared" si="1"/>
        <v>Austria2013</v>
      </c>
      <c r="B102" t="s">
        <v>31</v>
      </c>
      <c r="C102" t="s">
        <v>32</v>
      </c>
      <c r="D102">
        <v>2013</v>
      </c>
      <c r="E102">
        <v>50305.354577497303</v>
      </c>
      <c r="F102">
        <v>-0.25072642331845402</v>
      </c>
      <c r="G102">
        <v>2.0001561690059702</v>
      </c>
      <c r="H102">
        <v>10</v>
      </c>
      <c r="I102">
        <v>18.199446047067799</v>
      </c>
      <c r="J102">
        <v>5.367</v>
      </c>
      <c r="K102">
        <v>47.258433436088502</v>
      </c>
      <c r="L102">
        <v>45.316770614399601</v>
      </c>
      <c r="M102">
        <v>1.70872288191161</v>
      </c>
      <c r="N102">
        <v>48.309248026684998</v>
      </c>
      <c r="O102">
        <v>23.941304786295099</v>
      </c>
      <c r="P102">
        <v>1.1439311261993601</v>
      </c>
      <c r="Q102">
        <v>25.5917612890381</v>
      </c>
      <c r="R102">
        <v>53.889820985385398</v>
      </c>
      <c r="S102">
        <v>-1.99257950937088</v>
      </c>
      <c r="T102">
        <v>82.430834918835004</v>
      </c>
      <c r="U102">
        <v>0.937449443352528</v>
      </c>
      <c r="V102">
        <v>59.0083919495627</v>
      </c>
    </row>
    <row r="103" spans="1:22" x14ac:dyDescent="0.25">
      <c r="A103" t="str">
        <f t="shared" si="1"/>
        <v>Austria2014</v>
      </c>
      <c r="B103" t="s">
        <v>31</v>
      </c>
      <c r="C103" t="s">
        <v>32</v>
      </c>
      <c r="D103">
        <v>2014</v>
      </c>
      <c r="E103">
        <v>51314.972261632203</v>
      </c>
      <c r="F103">
        <v>0.75579885031666505</v>
      </c>
      <c r="G103">
        <v>1.6058118295447299</v>
      </c>
      <c r="H103">
        <v>10</v>
      </c>
      <c r="I103">
        <v>18.388056366435102</v>
      </c>
      <c r="J103">
        <v>5.6740000000000004</v>
      </c>
      <c r="K103">
        <v>47.3819786391457</v>
      </c>
      <c r="L103">
        <v>45.297519701732398</v>
      </c>
      <c r="M103">
        <v>2.00674413208939</v>
      </c>
      <c r="N103">
        <v>48.564507008368203</v>
      </c>
      <c r="O103">
        <v>23.848669034823999</v>
      </c>
      <c r="P103">
        <v>1.19166753701729</v>
      </c>
      <c r="Q103">
        <v>26.209472317600401</v>
      </c>
      <c r="R103">
        <v>53.856157096134098</v>
      </c>
      <c r="S103">
        <v>-1.9232784855143701</v>
      </c>
      <c r="T103">
        <v>85.209809719932593</v>
      </c>
      <c r="U103">
        <v>0.95532816620740202</v>
      </c>
      <c r="V103">
        <v>59.351052517211699</v>
      </c>
    </row>
    <row r="104" spans="1:22" x14ac:dyDescent="0.25">
      <c r="A104" t="str">
        <f t="shared" si="1"/>
        <v>Austria2015</v>
      </c>
      <c r="B104" t="s">
        <v>31</v>
      </c>
      <c r="C104" t="s">
        <v>32</v>
      </c>
      <c r="D104">
        <v>2015</v>
      </c>
      <c r="E104">
        <v>43915.228020857001</v>
      </c>
      <c r="F104">
        <v>1.3035233182619801</v>
      </c>
      <c r="G104">
        <v>0.89656333526031895</v>
      </c>
      <c r="H104">
        <v>10</v>
      </c>
      <c r="I104">
        <v>18.461370804861598</v>
      </c>
      <c r="J104">
        <v>5.8019999999999996</v>
      </c>
      <c r="K104">
        <v>46.332346186548499</v>
      </c>
      <c r="L104">
        <v>45.578235070883601</v>
      </c>
      <c r="M104">
        <v>2.2926347015487099</v>
      </c>
      <c r="N104">
        <v>48.732690701293102</v>
      </c>
      <c r="O104">
        <v>24.012126686948999</v>
      </c>
      <c r="P104">
        <v>1.2707499301248</v>
      </c>
      <c r="Q104">
        <v>25.675541794853501</v>
      </c>
      <c r="R104">
        <v>53.396012272323901</v>
      </c>
      <c r="S104">
        <v>-0.476491850673885</v>
      </c>
      <c r="T104">
        <v>85.614769493413107</v>
      </c>
      <c r="U104">
        <v>0.94974187781671704</v>
      </c>
      <c r="V104">
        <v>59.243986662086499</v>
      </c>
    </row>
    <row r="105" spans="1:22" x14ac:dyDescent="0.25">
      <c r="A105" t="str">
        <f t="shared" si="1"/>
        <v>Austria2016</v>
      </c>
      <c r="B105" t="s">
        <v>31</v>
      </c>
      <c r="C105" t="s">
        <v>32</v>
      </c>
      <c r="D105">
        <v>2016</v>
      </c>
      <c r="E105">
        <v>45061.499392019199</v>
      </c>
      <c r="F105">
        <v>2.1172196449431202</v>
      </c>
      <c r="G105">
        <v>0.89159175265536195</v>
      </c>
      <c r="H105">
        <v>10</v>
      </c>
      <c r="I105">
        <v>18.499915683551801</v>
      </c>
      <c r="J105">
        <v>6.0640000000000001</v>
      </c>
      <c r="K105">
        <v>45.553025088734998</v>
      </c>
      <c r="L105">
        <v>44.085964456500697</v>
      </c>
      <c r="M105">
        <v>1.81475082333313</v>
      </c>
      <c r="N105">
        <v>48.9558627535325</v>
      </c>
      <c r="O105">
        <v>24.457170724410801</v>
      </c>
      <c r="P105">
        <v>1.24674622591386</v>
      </c>
      <c r="Q105">
        <v>27.143343978375398</v>
      </c>
      <c r="R105">
        <v>52.663402083305201</v>
      </c>
      <c r="S105">
        <v>-1.4513628949881801</v>
      </c>
      <c r="T105">
        <v>83.419064587898106</v>
      </c>
      <c r="U105">
        <v>0.90210224586887899</v>
      </c>
      <c r="V105">
        <v>58.330933562133801</v>
      </c>
    </row>
    <row r="106" spans="1:22" x14ac:dyDescent="0.25">
      <c r="A106" t="str">
        <f t="shared" si="1"/>
        <v>Austria2017</v>
      </c>
      <c r="B106" t="s">
        <v>31</v>
      </c>
      <c r="C106" t="s">
        <v>32</v>
      </c>
      <c r="D106">
        <v>2017</v>
      </c>
      <c r="E106">
        <v>47163.742577514196</v>
      </c>
      <c r="F106">
        <v>2.2722499203820701</v>
      </c>
      <c r="G106">
        <v>2.0812691138558601</v>
      </c>
      <c r="H106">
        <v>13</v>
      </c>
      <c r="I106">
        <v>18.610329673639299</v>
      </c>
      <c r="J106">
        <v>5.5609999999999999</v>
      </c>
      <c r="K106">
        <v>44.865419763257599</v>
      </c>
      <c r="L106">
        <v>43.988914270340402</v>
      </c>
      <c r="M106">
        <v>0.97531790673237095</v>
      </c>
      <c r="N106">
        <v>49.310934569969902</v>
      </c>
      <c r="O106">
        <v>24.978061838228101</v>
      </c>
      <c r="P106">
        <v>1.0589445360781</v>
      </c>
      <c r="Q106">
        <v>26.396036051396401</v>
      </c>
      <c r="R106">
        <v>54.326029675396803</v>
      </c>
      <c r="S106">
        <v>-0.77567099352590996</v>
      </c>
      <c r="T106">
        <v>79.057182661670495</v>
      </c>
      <c r="U106">
        <v>1.1182917133868899</v>
      </c>
      <c r="V106">
        <v>62.474384202360802</v>
      </c>
    </row>
    <row r="107" spans="1:22" x14ac:dyDescent="0.25">
      <c r="A107" t="str">
        <f t="shared" si="1"/>
        <v>Austria2018</v>
      </c>
      <c r="B107" t="s">
        <v>31</v>
      </c>
      <c r="C107" t="s">
        <v>32</v>
      </c>
      <c r="D107">
        <v>2018</v>
      </c>
      <c r="E107">
        <v>51194.074984129897</v>
      </c>
      <c r="F107">
        <v>2.4842211408002401</v>
      </c>
      <c r="G107">
        <v>1.9983798142954801</v>
      </c>
      <c r="H107">
        <v>13</v>
      </c>
      <c r="I107">
        <v>18.762582845815899</v>
      </c>
      <c r="J107">
        <v>4.9329999999999998</v>
      </c>
      <c r="K107">
        <v>44.136384059781399</v>
      </c>
      <c r="L107">
        <v>44.036160780455397</v>
      </c>
      <c r="M107">
        <v>1.8104799613359399</v>
      </c>
      <c r="N107">
        <v>49.683896062512702</v>
      </c>
      <c r="O107">
        <v>25.898276223525201</v>
      </c>
      <c r="P107">
        <v>1.01838757837563</v>
      </c>
      <c r="Q107">
        <v>26.881362225811401</v>
      </c>
      <c r="R107">
        <v>55.702239473507298</v>
      </c>
      <c r="S107">
        <v>0.19518091026322801</v>
      </c>
      <c r="T107">
        <v>74.586245173316996</v>
      </c>
      <c r="U107">
        <v>1.2170171815378199</v>
      </c>
      <c r="V107">
        <v>64.366539768091997</v>
      </c>
    </row>
    <row r="108" spans="1:22" x14ac:dyDescent="0.25">
      <c r="A108" t="str">
        <f t="shared" si="1"/>
        <v>Austria2019</v>
      </c>
      <c r="B108" t="s">
        <v>31</v>
      </c>
      <c r="C108" t="s">
        <v>32</v>
      </c>
      <c r="D108">
        <v>2019</v>
      </c>
      <c r="E108">
        <v>49885.994735520399</v>
      </c>
      <c r="F108">
        <v>1.7549761964928801</v>
      </c>
      <c r="G108">
        <v>1.5308956415264301</v>
      </c>
      <c r="H108">
        <v>13</v>
      </c>
      <c r="I108">
        <v>18.940299357856102</v>
      </c>
      <c r="J108">
        <v>4.5599999999999996</v>
      </c>
      <c r="K108">
        <v>43.906906116364901</v>
      </c>
      <c r="L108">
        <v>44.2834046028578</v>
      </c>
      <c r="M108">
        <v>1.47368502823586</v>
      </c>
      <c r="N108">
        <v>50.067099871072898</v>
      </c>
      <c r="O108">
        <v>25.509008097081601</v>
      </c>
      <c r="P108">
        <v>1.0661994090140501</v>
      </c>
      <c r="Q108">
        <v>28.122310697511502</v>
      </c>
      <c r="R108">
        <v>55.895807392933897</v>
      </c>
      <c r="S108">
        <v>0.53625563169498203</v>
      </c>
      <c r="T108">
        <v>71.005855850847098</v>
      </c>
      <c r="U108">
        <v>1.24858785756885</v>
      </c>
      <c r="V108">
        <v>64.971617986355696</v>
      </c>
    </row>
    <row r="109" spans="1:22" x14ac:dyDescent="0.25">
      <c r="A109" t="str">
        <f t="shared" si="1"/>
        <v>Austria2020</v>
      </c>
      <c r="B109" t="s">
        <v>31</v>
      </c>
      <c r="C109" t="s">
        <v>32</v>
      </c>
      <c r="D109">
        <v>2020</v>
      </c>
      <c r="E109">
        <v>48716.409890034898</v>
      </c>
      <c r="F109">
        <v>-6.3182550920993599</v>
      </c>
      <c r="G109">
        <v>1.3819106335185301</v>
      </c>
      <c r="H109">
        <v>13</v>
      </c>
      <c r="I109">
        <v>19.169788839313998</v>
      </c>
      <c r="J109">
        <v>5.2009999999999996</v>
      </c>
      <c r="K109">
        <v>51.159172561540302</v>
      </c>
      <c r="L109">
        <v>43.762233960081602</v>
      </c>
      <c r="M109">
        <v>2.5931325359937598</v>
      </c>
      <c r="N109">
        <v>50.518407684405197</v>
      </c>
      <c r="O109">
        <v>25.653073754126599</v>
      </c>
      <c r="P109">
        <v>1.5469082088803501</v>
      </c>
      <c r="Q109">
        <v>29.212119927301899</v>
      </c>
      <c r="R109">
        <v>51.663089970061598</v>
      </c>
      <c r="S109">
        <v>-8.2044521175574392</v>
      </c>
      <c r="T109">
        <v>83.183042396900007</v>
      </c>
      <c r="U109">
        <v>0.76442771383129304</v>
      </c>
      <c r="V109">
        <v>55.692286848844901</v>
      </c>
    </row>
    <row r="110" spans="1:22" x14ac:dyDescent="0.25">
      <c r="A110" t="str">
        <f t="shared" si="1"/>
        <v>Austria2021</v>
      </c>
      <c r="B110" t="s">
        <v>31</v>
      </c>
      <c r="C110" t="s">
        <v>32</v>
      </c>
      <c r="D110">
        <v>2021</v>
      </c>
      <c r="E110">
        <v>53648.6437976214</v>
      </c>
      <c r="F110">
        <v>4.9230917171790303</v>
      </c>
      <c r="G110">
        <v>2.7666666666666999</v>
      </c>
      <c r="H110">
        <v>13</v>
      </c>
      <c r="I110">
        <v>19.462852720956999</v>
      </c>
      <c r="J110">
        <v>6.4589999999999996</v>
      </c>
      <c r="K110">
        <v>50.021655878802903</v>
      </c>
      <c r="L110">
        <v>44.909346688910297</v>
      </c>
      <c r="M110">
        <v>1.80187299270295</v>
      </c>
      <c r="N110">
        <v>51.1110949880295</v>
      </c>
      <c r="O110">
        <v>27.656943063109701</v>
      </c>
      <c r="P110">
        <v>1.34277745733303</v>
      </c>
      <c r="Q110">
        <v>29.471826371692</v>
      </c>
      <c r="R110">
        <v>55.953945067587497</v>
      </c>
      <c r="S110">
        <v>-5.6933054182159601</v>
      </c>
      <c r="T110">
        <v>82.3990754040491</v>
      </c>
      <c r="U110">
        <v>1.01593283582606</v>
      </c>
      <c r="V110">
        <v>60.512591328584399</v>
      </c>
    </row>
    <row r="111" spans="1:22" x14ac:dyDescent="0.25">
      <c r="A111" t="str">
        <f t="shared" si="1"/>
        <v>Austria2022</v>
      </c>
      <c r="B111" t="s">
        <v>31</v>
      </c>
      <c r="C111" t="s">
        <v>32</v>
      </c>
      <c r="D111">
        <v>2022</v>
      </c>
      <c r="E111">
        <v>52336.772522375803</v>
      </c>
      <c r="F111">
        <v>5.3309637940037096</v>
      </c>
      <c r="G111">
        <v>8.5468699318845704</v>
      </c>
      <c r="H111">
        <v>13</v>
      </c>
      <c r="I111">
        <v>19.7897509199721</v>
      </c>
      <c r="J111">
        <v>4.992</v>
      </c>
      <c r="K111">
        <v>47.3641894652228</v>
      </c>
      <c r="L111">
        <v>44.258901709112301</v>
      </c>
      <c r="M111">
        <v>5.0234315633327098</v>
      </c>
      <c r="N111">
        <v>51.8277987141945</v>
      </c>
      <c r="O111">
        <v>29.2367940014427</v>
      </c>
      <c r="P111">
        <v>1.1867153507692501</v>
      </c>
      <c r="Q111">
        <v>28.0222537943887</v>
      </c>
      <c r="R111">
        <v>61.427312118687297</v>
      </c>
      <c r="S111">
        <v>-3.4104599603633599</v>
      </c>
      <c r="T111">
        <v>78.140611710922201</v>
      </c>
      <c r="U111">
        <v>1.1172256358849799</v>
      </c>
      <c r="V111">
        <v>62.453951941906503</v>
      </c>
    </row>
    <row r="112" spans="1:22" x14ac:dyDescent="0.25">
      <c r="A112" t="str">
        <f t="shared" si="1"/>
        <v>Austria2023</v>
      </c>
      <c r="B112" t="s">
        <v>31</v>
      </c>
      <c r="C112" t="s">
        <v>32</v>
      </c>
      <c r="D112">
        <v>2023</v>
      </c>
      <c r="E112">
        <v>56579.504175467999</v>
      </c>
      <c r="F112">
        <v>-0.78624428859467299</v>
      </c>
      <c r="G112">
        <v>7.8141341700283098</v>
      </c>
      <c r="H112">
        <v>13</v>
      </c>
      <c r="I112">
        <v>20.164019675307699</v>
      </c>
      <c r="J112">
        <v>5.2640000000000002</v>
      </c>
      <c r="K112">
        <v>46.030403660847497</v>
      </c>
      <c r="L112">
        <v>44.193044057006098</v>
      </c>
      <c r="M112">
        <v>7.1747129124039004</v>
      </c>
      <c r="N112">
        <v>52.594083766518899</v>
      </c>
      <c r="O112">
        <v>26.004136395154699</v>
      </c>
      <c r="P112">
        <v>1.1106980674937399</v>
      </c>
      <c r="Q112">
        <v>27.713902757586201</v>
      </c>
      <c r="R112">
        <v>58.486759571394401</v>
      </c>
      <c r="S112">
        <v>-2.5904209256119302</v>
      </c>
      <c r="T112">
        <v>77.754483010329395</v>
      </c>
      <c r="U112">
        <v>1.13016653468786</v>
      </c>
      <c r="V112">
        <v>62.701975011880499</v>
      </c>
    </row>
    <row r="113" spans="1:22" x14ac:dyDescent="0.25">
      <c r="A113" t="str">
        <f t="shared" si="1"/>
        <v>Austria2024</v>
      </c>
      <c r="B113" t="s">
        <v>31</v>
      </c>
      <c r="C113" t="s">
        <v>32</v>
      </c>
      <c r="D113">
        <v>2024</v>
      </c>
      <c r="E113">
        <v>58268.878765160101</v>
      </c>
      <c r="F113">
        <v>-0.65908957317137196</v>
      </c>
      <c r="G113">
        <v>2.9379157427937499</v>
      </c>
      <c r="H113">
        <v>13</v>
      </c>
      <c r="I113">
        <v>20.606403179190298</v>
      </c>
      <c r="J113">
        <v>5.2</v>
      </c>
      <c r="K113">
        <v>46.457841314267498</v>
      </c>
      <c r="L113">
        <v>45.070426748412203</v>
      </c>
      <c r="M113">
        <v>4.0868123979291697</v>
      </c>
      <c r="N113">
        <v>53.455214920462502</v>
      </c>
      <c r="O113">
        <v>23.5771489456415</v>
      </c>
      <c r="P113">
        <v>1.2556252999461599</v>
      </c>
      <c r="Q113">
        <v>25.4397148337891</v>
      </c>
      <c r="R113">
        <v>55.678285085164099</v>
      </c>
      <c r="S113">
        <v>-4.6764996078629801</v>
      </c>
      <c r="T113">
        <v>79.176259265818302</v>
      </c>
      <c r="U113">
        <v>1.0660181992598401</v>
      </c>
      <c r="V113">
        <v>61.472518903078402</v>
      </c>
    </row>
    <row r="114" spans="1:22" x14ac:dyDescent="0.25">
      <c r="A114" t="str">
        <f t="shared" si="1"/>
        <v>Austria2025</v>
      </c>
      <c r="B114" t="s">
        <v>31</v>
      </c>
      <c r="C114" t="s">
        <v>32</v>
      </c>
      <c r="D114">
        <v>2025</v>
      </c>
      <c r="E114">
        <v>50305.354577497303</v>
      </c>
      <c r="F114">
        <v>1.7549761964928801</v>
      </c>
      <c r="G114">
        <v>2.0001561690059702</v>
      </c>
      <c r="H114">
        <v>13</v>
      </c>
      <c r="I114">
        <v>18.610329673639299</v>
      </c>
      <c r="J114">
        <v>5.5819999999999999</v>
      </c>
      <c r="K114">
        <v>46.457841314267498</v>
      </c>
      <c r="L114">
        <v>44.258901709112301</v>
      </c>
      <c r="M114">
        <v>1.81993743804168</v>
      </c>
      <c r="N114">
        <v>49.310934569969902</v>
      </c>
      <c r="O114">
        <v>24.457170724410801</v>
      </c>
      <c r="P114">
        <v>1.19166753701729</v>
      </c>
      <c r="Q114">
        <v>26.396036051396401</v>
      </c>
      <c r="R114">
        <v>54.325492441455999</v>
      </c>
      <c r="S114">
        <v>-4.5191141772667702</v>
      </c>
      <c r="T114">
        <v>80.492703849392896</v>
      </c>
      <c r="U114">
        <v>0.99141074201802903</v>
      </c>
      <c r="V114">
        <v>60.042605040838303</v>
      </c>
    </row>
    <row r="115" spans="1:22" x14ac:dyDescent="0.25">
      <c r="A115" t="str">
        <f t="shared" si="1"/>
        <v>Azerbaijan2010</v>
      </c>
      <c r="B115" t="s">
        <v>33</v>
      </c>
      <c r="C115" t="s">
        <v>34</v>
      </c>
      <c r="D115">
        <v>2010</v>
      </c>
      <c r="E115">
        <v>5843.5337683582002</v>
      </c>
      <c r="F115">
        <v>4.7888324876155703</v>
      </c>
      <c r="G115">
        <v>5.7268722466960504</v>
      </c>
      <c r="H115">
        <v>9</v>
      </c>
      <c r="I115">
        <v>5.8878845784130798</v>
      </c>
      <c r="J115">
        <v>5.63</v>
      </c>
      <c r="K115">
        <v>20.8724832214765</v>
      </c>
      <c r="L115">
        <v>46.828917932414903</v>
      </c>
      <c r="M115">
        <v>13.827665836528199</v>
      </c>
      <c r="N115">
        <v>39.274311233566003</v>
      </c>
      <c r="O115">
        <v>18.0595784763923</v>
      </c>
      <c r="P115">
        <v>5.34868066777363</v>
      </c>
      <c r="Q115">
        <v>44.730315649593798</v>
      </c>
      <c r="R115">
        <v>54.3047215353821</v>
      </c>
      <c r="S115">
        <v>13.8312445253309</v>
      </c>
      <c r="T115">
        <v>4.9808659366537098</v>
      </c>
      <c r="U115">
        <v>1.3521604688728599</v>
      </c>
      <c r="V115">
        <v>66.956673075044407</v>
      </c>
    </row>
    <row r="116" spans="1:22" x14ac:dyDescent="0.25">
      <c r="A116" t="str">
        <f t="shared" si="1"/>
        <v>Azerbaijan2011</v>
      </c>
      <c r="B116" t="s">
        <v>33</v>
      </c>
      <c r="C116" t="s">
        <v>34</v>
      </c>
      <c r="D116">
        <v>2011</v>
      </c>
      <c r="E116">
        <v>7189.8186921197603</v>
      </c>
      <c r="F116">
        <v>-1.5729973511111</v>
      </c>
      <c r="G116">
        <v>7.8583333333334</v>
      </c>
      <c r="H116">
        <v>9</v>
      </c>
      <c r="I116">
        <v>5.7428142370207897</v>
      </c>
      <c r="J116">
        <v>5.42</v>
      </c>
      <c r="K116">
        <v>18.478361046042799</v>
      </c>
      <c r="L116">
        <v>45.481356322721901</v>
      </c>
      <c r="M116">
        <v>24.606949688451898</v>
      </c>
      <c r="N116">
        <v>38.707897509192499</v>
      </c>
      <c r="O116">
        <v>20.267846856879501</v>
      </c>
      <c r="P116">
        <v>5.7114471368402304</v>
      </c>
      <c r="Q116">
        <v>46.7937666377981</v>
      </c>
      <c r="R116">
        <v>56.426980530701599</v>
      </c>
      <c r="S116">
        <v>10.859640914256101</v>
      </c>
      <c r="T116">
        <v>4.96686369571061</v>
      </c>
      <c r="U116">
        <v>1.1449659233134899</v>
      </c>
      <c r="V116">
        <v>62.985617582352901</v>
      </c>
    </row>
    <row r="117" spans="1:22" x14ac:dyDescent="0.25">
      <c r="A117" t="str">
        <f t="shared" si="1"/>
        <v>Azerbaijan2012</v>
      </c>
      <c r="B117" t="s">
        <v>33</v>
      </c>
      <c r="C117" t="s">
        <v>34</v>
      </c>
      <c r="D117">
        <v>2012</v>
      </c>
      <c r="E117">
        <v>7495.8652765809902</v>
      </c>
      <c r="F117">
        <v>2.2029389170839799</v>
      </c>
      <c r="G117">
        <v>1.0662133972030201</v>
      </c>
      <c r="H117">
        <v>9</v>
      </c>
      <c r="I117">
        <v>5.6783623139507604</v>
      </c>
      <c r="J117">
        <v>5.19</v>
      </c>
      <c r="K117">
        <v>22.185383888922399</v>
      </c>
      <c r="L117">
        <v>41.273973078180703</v>
      </c>
      <c r="M117">
        <v>2.8449826834262102</v>
      </c>
      <c r="N117">
        <v>38.810419624570002</v>
      </c>
      <c r="O117">
        <v>22.3167232028526</v>
      </c>
      <c r="P117">
        <v>5.9324554857321097</v>
      </c>
      <c r="Q117">
        <v>44.270339195606098</v>
      </c>
      <c r="R117">
        <v>52.9746801915106</v>
      </c>
      <c r="S117">
        <v>3.7054800275211499</v>
      </c>
      <c r="T117">
        <v>5.8306015121374699</v>
      </c>
      <c r="U117">
        <v>0.78449687902294296</v>
      </c>
      <c r="V117">
        <v>56.076929062532997</v>
      </c>
    </row>
    <row r="118" spans="1:22" x14ac:dyDescent="0.25">
      <c r="A118" t="str">
        <f t="shared" si="1"/>
        <v>Azerbaijan2013</v>
      </c>
      <c r="B118" t="s">
        <v>33</v>
      </c>
      <c r="C118" t="s">
        <v>34</v>
      </c>
      <c r="D118">
        <v>2013</v>
      </c>
      <c r="E118">
        <v>7875.3453666154901</v>
      </c>
      <c r="F118">
        <v>5.8434159048392802</v>
      </c>
      <c r="G118">
        <v>2.41571745279419</v>
      </c>
      <c r="H118">
        <v>9</v>
      </c>
      <c r="I118">
        <v>5.6844828542206098</v>
      </c>
      <c r="J118">
        <v>4.97</v>
      </c>
      <c r="K118">
        <v>20.925543982675102</v>
      </c>
      <c r="L118">
        <v>40.405795606888702</v>
      </c>
      <c r="M118">
        <v>0.41316392212095798</v>
      </c>
      <c r="N118">
        <v>39.549310026112899</v>
      </c>
      <c r="O118">
        <v>25.6579354439517</v>
      </c>
      <c r="P118">
        <v>7.38761542827939</v>
      </c>
      <c r="Q118">
        <v>42.759544424562598</v>
      </c>
      <c r="R118">
        <v>48.415833075521597</v>
      </c>
      <c r="S118">
        <v>1.64347509924392</v>
      </c>
      <c r="T118">
        <v>6.1788358083255899</v>
      </c>
      <c r="U118">
        <v>0.65845686810513604</v>
      </c>
      <c r="V118">
        <v>53.661267606277796</v>
      </c>
    </row>
    <row r="119" spans="1:22" x14ac:dyDescent="0.25">
      <c r="A119" t="str">
        <f t="shared" si="1"/>
        <v>Azerbaijan2014</v>
      </c>
      <c r="B119" t="s">
        <v>33</v>
      </c>
      <c r="C119" t="s">
        <v>34</v>
      </c>
      <c r="D119">
        <v>2014</v>
      </c>
      <c r="E119">
        <v>7890.8402806208696</v>
      </c>
      <c r="F119">
        <v>2.7975852144855899</v>
      </c>
      <c r="G119">
        <v>1.37344181533176</v>
      </c>
      <c r="H119">
        <v>9</v>
      </c>
      <c r="I119">
        <v>5.7157368111639597</v>
      </c>
      <c r="J119">
        <v>4.91</v>
      </c>
      <c r="K119">
        <v>22.100989424561199</v>
      </c>
      <c r="L119">
        <v>39.896397640563897</v>
      </c>
      <c r="M119">
        <v>-1.3302042123904101</v>
      </c>
      <c r="N119">
        <v>40.445823049155898</v>
      </c>
      <c r="O119">
        <v>27.5100357372221</v>
      </c>
      <c r="P119">
        <v>7.80997958251064</v>
      </c>
      <c r="Q119">
        <v>40.746653042627102</v>
      </c>
      <c r="R119">
        <v>43.273556658493497</v>
      </c>
      <c r="S119">
        <v>2.7423393787989601</v>
      </c>
      <c r="T119">
        <v>8.5326238983564906</v>
      </c>
      <c r="U119">
        <v>0.61142488366629499</v>
      </c>
      <c r="V119">
        <v>52.7598605753454</v>
      </c>
    </row>
    <row r="120" spans="1:22" x14ac:dyDescent="0.25">
      <c r="A120" t="str">
        <f t="shared" si="1"/>
        <v>Azerbaijan2015</v>
      </c>
      <c r="B120" t="s">
        <v>33</v>
      </c>
      <c r="C120" t="s">
        <v>34</v>
      </c>
      <c r="D120">
        <v>2015</v>
      </c>
      <c r="E120">
        <v>5500.5036462848602</v>
      </c>
      <c r="F120">
        <v>1.04954641215085</v>
      </c>
      <c r="G120">
        <v>4.0276857374272499</v>
      </c>
      <c r="H120">
        <v>9</v>
      </c>
      <c r="I120">
        <v>5.7949624981415697</v>
      </c>
      <c r="J120">
        <v>4.96</v>
      </c>
      <c r="K120">
        <v>24.788709084222099</v>
      </c>
      <c r="L120">
        <v>34.183707245310799</v>
      </c>
      <c r="M120">
        <v>-8.8096155660995201</v>
      </c>
      <c r="N120">
        <v>41.338563070299699</v>
      </c>
      <c r="O120">
        <v>27.913571165869801</v>
      </c>
      <c r="P120">
        <v>3.9041335390315601</v>
      </c>
      <c r="Q120">
        <v>28.121905009525602</v>
      </c>
      <c r="R120">
        <v>37.794777491724901</v>
      </c>
      <c r="S120">
        <v>-4.8330425928648397</v>
      </c>
      <c r="T120">
        <v>17.980392239794</v>
      </c>
      <c r="U120">
        <v>-2.3013763299682698E-2</v>
      </c>
      <c r="V120">
        <v>40.600317151996897</v>
      </c>
    </row>
    <row r="121" spans="1:22" x14ac:dyDescent="0.25">
      <c r="A121" t="str">
        <f t="shared" si="1"/>
        <v>Azerbaijan2016</v>
      </c>
      <c r="B121" t="s">
        <v>33</v>
      </c>
      <c r="C121" t="s">
        <v>34</v>
      </c>
      <c r="D121">
        <v>2016</v>
      </c>
      <c r="E121">
        <v>3880.6852276837999</v>
      </c>
      <c r="F121">
        <v>-3.0635984225170598</v>
      </c>
      <c r="G121">
        <v>12.443374858437201</v>
      </c>
      <c r="H121">
        <v>9</v>
      </c>
      <c r="I121">
        <v>5.9464030137322803</v>
      </c>
      <c r="J121">
        <v>5</v>
      </c>
      <c r="K121">
        <v>27.195938118533299</v>
      </c>
      <c r="L121">
        <v>34.919867869696702</v>
      </c>
      <c r="M121">
        <v>14.6283389647903</v>
      </c>
      <c r="N121">
        <v>42.2694499411257</v>
      </c>
      <c r="O121">
        <v>25.681338249604501</v>
      </c>
      <c r="P121">
        <v>4.0352762334619996</v>
      </c>
      <c r="Q121">
        <v>22.600148416985</v>
      </c>
      <c r="R121">
        <v>46.427649391313601</v>
      </c>
      <c r="S121">
        <v>-1.16992206054444</v>
      </c>
      <c r="T121">
        <v>20.608325615802599</v>
      </c>
      <c r="U121">
        <v>0.113790919201518</v>
      </c>
      <c r="V121">
        <v>43.222292476712497</v>
      </c>
    </row>
    <row r="122" spans="1:22" x14ac:dyDescent="0.25">
      <c r="A122" t="str">
        <f t="shared" si="1"/>
        <v>Azerbaijan2017</v>
      </c>
      <c r="B122" t="s">
        <v>33</v>
      </c>
      <c r="C122" t="s">
        <v>34</v>
      </c>
      <c r="D122">
        <v>2017</v>
      </c>
      <c r="E122">
        <v>4147.1981423221996</v>
      </c>
      <c r="F122">
        <v>0.153614661745507</v>
      </c>
      <c r="G122">
        <v>12.935918418733401</v>
      </c>
      <c r="H122">
        <v>9</v>
      </c>
      <c r="I122">
        <v>6.1401355939922597</v>
      </c>
      <c r="J122">
        <v>5</v>
      </c>
      <c r="K122">
        <v>27.9587305829867</v>
      </c>
      <c r="L122">
        <v>35.075876697878002</v>
      </c>
      <c r="M122">
        <v>16.226204549171001</v>
      </c>
      <c r="N122">
        <v>42.969774340943303</v>
      </c>
      <c r="O122">
        <v>24.378925698557499</v>
      </c>
      <c r="P122">
        <v>4.1844668739109103</v>
      </c>
      <c r="Q122">
        <v>29.025708343294799</v>
      </c>
      <c r="R122">
        <v>48.547864732760999</v>
      </c>
      <c r="S122">
        <v>-1.3422256889953901</v>
      </c>
      <c r="T122">
        <v>22.508608458041</v>
      </c>
      <c r="U122">
        <v>0.21996250242477899</v>
      </c>
      <c r="V122">
        <v>45.257159020077601</v>
      </c>
    </row>
    <row r="123" spans="1:22" x14ac:dyDescent="0.25">
      <c r="A123" t="str">
        <f t="shared" si="1"/>
        <v>Azerbaijan2018</v>
      </c>
      <c r="B123" t="s">
        <v>33</v>
      </c>
      <c r="C123" t="s">
        <v>34</v>
      </c>
      <c r="D123">
        <v>2018</v>
      </c>
      <c r="E123">
        <v>4739.7943123408004</v>
      </c>
      <c r="F123">
        <v>1.5004016716731301</v>
      </c>
      <c r="G123">
        <v>2.2685469037399901</v>
      </c>
      <c r="H123">
        <v>9</v>
      </c>
      <c r="I123">
        <v>6.3688767423244999</v>
      </c>
      <c r="J123">
        <v>4.9000000000000004</v>
      </c>
      <c r="K123">
        <v>21.402262398242001</v>
      </c>
      <c r="L123">
        <v>39.416628377366003</v>
      </c>
      <c r="M123">
        <v>12.1844330031831</v>
      </c>
      <c r="N123">
        <v>43.124550025630498</v>
      </c>
      <c r="O123">
        <v>20.129476102482101</v>
      </c>
      <c r="P123">
        <v>3.6728765360461302</v>
      </c>
      <c r="Q123">
        <v>32.149575529710802</v>
      </c>
      <c r="R123">
        <v>54.092293862058597</v>
      </c>
      <c r="S123">
        <v>5.4290180682184204</v>
      </c>
      <c r="T123">
        <v>18.685386805174002</v>
      </c>
      <c r="U123">
        <v>0.65920016867542797</v>
      </c>
      <c r="V123">
        <v>53.675513578846299</v>
      </c>
    </row>
    <row r="124" spans="1:22" x14ac:dyDescent="0.25">
      <c r="A124" t="str">
        <f t="shared" si="1"/>
        <v>Azerbaijan2019</v>
      </c>
      <c r="B124" t="s">
        <v>33</v>
      </c>
      <c r="C124" t="s">
        <v>34</v>
      </c>
      <c r="D124">
        <v>2019</v>
      </c>
      <c r="E124">
        <v>4805.7537176591704</v>
      </c>
      <c r="F124">
        <v>2.4798087918556502</v>
      </c>
      <c r="G124">
        <v>2.6105718279921502</v>
      </c>
      <c r="H124">
        <v>9</v>
      </c>
      <c r="I124">
        <v>6.6276411345658799</v>
      </c>
      <c r="J124">
        <v>5</v>
      </c>
      <c r="K124">
        <v>24.284399031945298</v>
      </c>
      <c r="L124">
        <v>42.814074401498502</v>
      </c>
      <c r="M124">
        <v>-0.221652784964604</v>
      </c>
      <c r="N124">
        <v>43.214000286305598</v>
      </c>
      <c r="O124">
        <v>20.307779848149199</v>
      </c>
      <c r="P124">
        <v>3.9381420487206</v>
      </c>
      <c r="Q124">
        <v>28.573547970409098</v>
      </c>
      <c r="R124">
        <v>49.050627501642303</v>
      </c>
      <c r="S124">
        <v>8.9548559272541297</v>
      </c>
      <c r="T124">
        <v>17.656008459488898</v>
      </c>
      <c r="U124">
        <v>0.84473045595126495</v>
      </c>
      <c r="V124">
        <v>57.2313555743889</v>
      </c>
    </row>
    <row r="125" spans="1:22" x14ac:dyDescent="0.25">
      <c r="A125" t="str">
        <f t="shared" si="1"/>
        <v>Azerbaijan2020</v>
      </c>
      <c r="B125" t="s">
        <v>33</v>
      </c>
      <c r="C125" t="s">
        <v>34</v>
      </c>
      <c r="D125">
        <v>2020</v>
      </c>
      <c r="E125">
        <v>4229.9106490450304</v>
      </c>
      <c r="F125">
        <v>-4.1989606533334296</v>
      </c>
      <c r="G125">
        <v>2.7598094700812701</v>
      </c>
      <c r="H125">
        <v>9</v>
      </c>
      <c r="I125">
        <v>6.8833685434597101</v>
      </c>
      <c r="J125">
        <v>7.24</v>
      </c>
      <c r="K125">
        <v>33.9314765748897</v>
      </c>
      <c r="L125">
        <v>35.040046515408903</v>
      </c>
      <c r="M125">
        <v>-7.4936334586725497</v>
      </c>
      <c r="N125">
        <v>43.417149347994801</v>
      </c>
      <c r="O125">
        <v>23.665954330576302</v>
      </c>
      <c r="P125">
        <v>5.1996300427659197</v>
      </c>
      <c r="Q125">
        <v>23.568981827851701</v>
      </c>
      <c r="R125">
        <v>35.623555866025697</v>
      </c>
      <c r="S125">
        <v>-6.4403526098474604</v>
      </c>
      <c r="T125">
        <v>21.327232319391101</v>
      </c>
      <c r="U125">
        <v>-0.121612948213776</v>
      </c>
      <c r="V125">
        <v>38.710581909348598</v>
      </c>
    </row>
    <row r="126" spans="1:22" x14ac:dyDescent="0.25">
      <c r="A126" t="str">
        <f t="shared" si="1"/>
        <v>Azerbaijan2021</v>
      </c>
      <c r="B126" t="s">
        <v>33</v>
      </c>
      <c r="C126" t="s">
        <v>34</v>
      </c>
      <c r="D126">
        <v>2021</v>
      </c>
      <c r="E126">
        <v>5408.0453517502301</v>
      </c>
      <c r="F126">
        <v>5.6164402715055397</v>
      </c>
      <c r="G126">
        <v>6.6502991270877798</v>
      </c>
      <c r="H126">
        <v>9</v>
      </c>
      <c r="I126">
        <v>7.1466828370147404</v>
      </c>
      <c r="J126">
        <v>6.04</v>
      </c>
      <c r="K126">
        <v>27.144413496532302</v>
      </c>
      <c r="L126">
        <v>36.518973597473</v>
      </c>
      <c r="M126">
        <v>21.588836578735101</v>
      </c>
      <c r="N126">
        <v>43.455552799327201</v>
      </c>
      <c r="O126">
        <v>17.0785981597198</v>
      </c>
      <c r="P126">
        <v>5.0843402765256096</v>
      </c>
      <c r="Q126">
        <v>32.531520055105403</v>
      </c>
      <c r="R126">
        <v>46.488747167479197</v>
      </c>
      <c r="S126">
        <v>4.2052927857339597</v>
      </c>
      <c r="T126">
        <v>26.348773432671798</v>
      </c>
      <c r="U126">
        <v>0.64058680346178798</v>
      </c>
      <c r="V126">
        <v>53.318772980441302</v>
      </c>
    </row>
    <row r="127" spans="1:22" x14ac:dyDescent="0.25">
      <c r="A127" t="str">
        <f t="shared" si="1"/>
        <v>Azerbaijan2022</v>
      </c>
      <c r="B127" t="s">
        <v>33</v>
      </c>
      <c r="C127" t="s">
        <v>34</v>
      </c>
      <c r="D127">
        <v>2022</v>
      </c>
      <c r="E127">
        <v>7770.5942233510004</v>
      </c>
      <c r="F127">
        <v>4.7146803324764903</v>
      </c>
      <c r="G127">
        <v>13.8522590144267</v>
      </c>
      <c r="H127">
        <v>9</v>
      </c>
      <c r="I127">
        <v>7.5265140300859503</v>
      </c>
      <c r="J127">
        <v>5.65</v>
      </c>
      <c r="K127">
        <v>23.008821149383401</v>
      </c>
      <c r="L127">
        <v>38.448421208201403</v>
      </c>
      <c r="M127">
        <v>37.270721129374699</v>
      </c>
      <c r="N127">
        <v>43.521684013179097</v>
      </c>
      <c r="O127">
        <v>12.0037141895326</v>
      </c>
      <c r="P127">
        <v>4.8072164247980904</v>
      </c>
      <c r="Q127">
        <v>42.0519877557144</v>
      </c>
      <c r="R127">
        <v>59.986848066807603</v>
      </c>
      <c r="S127">
        <v>5.9631051332782699</v>
      </c>
      <c r="T127">
        <v>17.3241264824848</v>
      </c>
      <c r="U127">
        <v>0.95088518952851797</v>
      </c>
      <c r="V127">
        <v>59.265899180298597</v>
      </c>
    </row>
    <row r="128" spans="1:22" x14ac:dyDescent="0.25">
      <c r="A128" t="str">
        <f t="shared" si="1"/>
        <v>Azerbaijan2023</v>
      </c>
      <c r="B128" t="s">
        <v>33</v>
      </c>
      <c r="C128" t="s">
        <v>34</v>
      </c>
      <c r="D128">
        <v>2023</v>
      </c>
      <c r="E128">
        <v>7133.0283804832798</v>
      </c>
      <c r="F128">
        <v>1.35447749115767</v>
      </c>
      <c r="G128">
        <v>8.7854304984908005</v>
      </c>
      <c r="H128">
        <v>9</v>
      </c>
      <c r="I128">
        <v>8.0105487319647697</v>
      </c>
      <c r="J128">
        <v>5.64</v>
      </c>
      <c r="K128">
        <v>23.008821149383401</v>
      </c>
      <c r="L128">
        <v>39.780557819317103</v>
      </c>
      <c r="M128">
        <v>-9.3226150478562904</v>
      </c>
      <c r="N128">
        <v>43.585306272514799</v>
      </c>
      <c r="O128">
        <v>17.743185162805698</v>
      </c>
      <c r="P128">
        <v>5.4658551589789299</v>
      </c>
      <c r="Q128">
        <v>29.459465890891099</v>
      </c>
      <c r="R128">
        <v>48.996413500053599</v>
      </c>
      <c r="S128">
        <v>7.92111991394885</v>
      </c>
      <c r="T128">
        <v>21.806829293647901</v>
      </c>
      <c r="U128">
        <v>0.80588255501782602</v>
      </c>
      <c r="V128">
        <v>56.486803298821997</v>
      </c>
    </row>
    <row r="129" spans="1:22" x14ac:dyDescent="0.25">
      <c r="A129" t="str">
        <f t="shared" si="1"/>
        <v>Azerbaijan2024</v>
      </c>
      <c r="B129" t="s">
        <v>33</v>
      </c>
      <c r="C129" t="s">
        <v>34</v>
      </c>
      <c r="D129">
        <v>2024</v>
      </c>
      <c r="E129">
        <v>7283.8499076178996</v>
      </c>
      <c r="F129">
        <v>4.07140205008956</v>
      </c>
      <c r="G129">
        <v>2.2121718891990101</v>
      </c>
      <c r="H129">
        <v>9</v>
      </c>
      <c r="I129">
        <v>8.5557671289167008</v>
      </c>
      <c r="J129">
        <v>5.6479999999999997</v>
      </c>
      <c r="K129">
        <v>23.008821149383401</v>
      </c>
      <c r="L129">
        <v>39.598593098341503</v>
      </c>
      <c r="M129">
        <v>-1.4081721182620699</v>
      </c>
      <c r="N129">
        <v>43.610890906265602</v>
      </c>
      <c r="O129">
        <v>21.0824224099037</v>
      </c>
      <c r="P129">
        <v>4.6648967080828898</v>
      </c>
      <c r="Q129">
        <v>27.5914932284287</v>
      </c>
      <c r="R129">
        <v>45.902546364089702</v>
      </c>
      <c r="S129">
        <v>4.0540976634462798</v>
      </c>
      <c r="T129">
        <v>21.6402316710953</v>
      </c>
      <c r="U129">
        <v>0.60742302904596901</v>
      </c>
      <c r="V129">
        <v>52.6831617089342</v>
      </c>
    </row>
    <row r="130" spans="1:22" x14ac:dyDescent="0.25">
      <c r="A130" t="str">
        <f t="shared" si="1"/>
        <v>Azerbaijan2025</v>
      </c>
      <c r="B130" t="s">
        <v>33</v>
      </c>
      <c r="C130" t="s">
        <v>34</v>
      </c>
      <c r="D130">
        <v>2025</v>
      </c>
      <c r="E130">
        <v>5843.5337683582002</v>
      </c>
      <c r="F130">
        <v>2.2029389170839799</v>
      </c>
      <c r="G130">
        <v>4.0276857374272499</v>
      </c>
      <c r="H130">
        <v>9</v>
      </c>
      <c r="I130">
        <v>6.1401355939922597</v>
      </c>
      <c r="J130">
        <v>5.4569999999999999</v>
      </c>
      <c r="K130">
        <v>23.008821149383401</v>
      </c>
      <c r="L130">
        <v>39.598593098341503</v>
      </c>
      <c r="M130">
        <v>2.8449826834262102</v>
      </c>
      <c r="N130">
        <v>42.969774340943303</v>
      </c>
      <c r="O130">
        <v>21.0824224099037</v>
      </c>
      <c r="P130">
        <v>5.0843402765256096</v>
      </c>
      <c r="Q130">
        <v>32.149575529710802</v>
      </c>
      <c r="R130">
        <v>48.547864732760999</v>
      </c>
      <c r="S130">
        <v>2.5585040569042699</v>
      </c>
      <c r="T130">
        <v>20.130641238167499</v>
      </c>
      <c r="U130">
        <v>0.52167320206284595</v>
      </c>
      <c r="V130">
        <v>51.039695079446503</v>
      </c>
    </row>
    <row r="131" spans="1:22" x14ac:dyDescent="0.25">
      <c r="A131" t="str">
        <f t="shared" si="1"/>
        <v>Bahamas, The2010</v>
      </c>
      <c r="B131" t="s">
        <v>35</v>
      </c>
      <c r="C131" t="s">
        <v>36</v>
      </c>
      <c r="D131">
        <v>2010</v>
      </c>
      <c r="E131">
        <v>27473.100430502</v>
      </c>
      <c r="F131">
        <v>1.5386624869383501</v>
      </c>
      <c r="G131">
        <v>1.3440273839283501</v>
      </c>
      <c r="H131">
        <v>12</v>
      </c>
      <c r="I131">
        <v>9.1567510936043703</v>
      </c>
      <c r="J131">
        <v>14.435</v>
      </c>
      <c r="K131">
        <v>15.393415496505501</v>
      </c>
      <c r="L131">
        <v>12.8102398366245</v>
      </c>
      <c r="M131">
        <v>-0.392565565624793</v>
      </c>
      <c r="N131">
        <v>48.081076724693702</v>
      </c>
      <c r="O131">
        <v>27.986006006481901</v>
      </c>
      <c r="P131">
        <v>3.0966632007269901</v>
      </c>
      <c r="Q131">
        <v>23.448358518823699</v>
      </c>
      <c r="R131">
        <v>34.953287320617797</v>
      </c>
      <c r="S131">
        <v>-2.5699724509072799</v>
      </c>
      <c r="T131">
        <v>33.883240340874501</v>
      </c>
      <c r="U131">
        <v>-0.20519229480276499</v>
      </c>
      <c r="V131">
        <v>37.1087143386954</v>
      </c>
    </row>
    <row r="132" spans="1:22" x14ac:dyDescent="0.25">
      <c r="A132" t="str">
        <f t="shared" ref="A132:A195" si="2">C132&amp;D132</f>
        <v>Bahamas, The2011</v>
      </c>
      <c r="B132" t="s">
        <v>35</v>
      </c>
      <c r="C132" t="s">
        <v>36</v>
      </c>
      <c r="D132">
        <v>2011</v>
      </c>
      <c r="E132">
        <v>27090.837680137902</v>
      </c>
      <c r="F132">
        <v>0.61317073589064797</v>
      </c>
      <c r="G132">
        <v>3.1987814166031998</v>
      </c>
      <c r="H132">
        <v>12</v>
      </c>
      <c r="I132">
        <v>9.4055077758259404</v>
      </c>
      <c r="J132">
        <v>14.52</v>
      </c>
      <c r="K132">
        <v>16.559296658639902</v>
      </c>
      <c r="L132">
        <v>14.418658650407901</v>
      </c>
      <c r="M132">
        <v>-0.85860532278449897</v>
      </c>
      <c r="N132">
        <v>47.5546487673016</v>
      </c>
      <c r="O132">
        <v>30.183358241190799</v>
      </c>
      <c r="P132">
        <v>2.82285358802929</v>
      </c>
      <c r="Q132">
        <v>20.568653833741301</v>
      </c>
      <c r="R132">
        <v>37.435268533183702</v>
      </c>
      <c r="S132">
        <v>-2.8683522674642399</v>
      </c>
      <c r="T132">
        <v>35.262113627082101</v>
      </c>
      <c r="U132">
        <v>-0.23526537705365599</v>
      </c>
      <c r="V132">
        <v>36.532338748632597</v>
      </c>
    </row>
    <row r="133" spans="1:22" x14ac:dyDescent="0.25">
      <c r="A133" t="str">
        <f t="shared" si="2"/>
        <v>Bahamas, The2012</v>
      </c>
      <c r="B133" t="s">
        <v>35</v>
      </c>
      <c r="C133" t="s">
        <v>36</v>
      </c>
      <c r="D133">
        <v>2012</v>
      </c>
      <c r="E133">
        <v>28552.024268315101</v>
      </c>
      <c r="F133">
        <v>4.5200388673906096</v>
      </c>
      <c r="G133">
        <v>1.97336755976254</v>
      </c>
      <c r="H133">
        <v>12</v>
      </c>
      <c r="I133">
        <v>9.6370011412378407</v>
      </c>
      <c r="J133">
        <v>14.02</v>
      </c>
      <c r="K133">
        <v>16.354970722827499</v>
      </c>
      <c r="L133">
        <v>14.173576994701699</v>
      </c>
      <c r="M133">
        <v>1.8503556855814101</v>
      </c>
      <c r="N133">
        <v>47.0910394377564</v>
      </c>
      <c r="O133">
        <v>31.342114100220101</v>
      </c>
      <c r="P133">
        <v>1.93940748049237</v>
      </c>
      <c r="Q133">
        <v>20.838028431774902</v>
      </c>
      <c r="R133">
        <v>38.127308682511803</v>
      </c>
      <c r="S133">
        <v>-3.2527815855050899</v>
      </c>
      <c r="T133">
        <v>37.589133882306299</v>
      </c>
      <c r="U133">
        <v>-0.20538983155964899</v>
      </c>
      <c r="V133">
        <v>37.1049283827412</v>
      </c>
    </row>
    <row r="134" spans="1:22" x14ac:dyDescent="0.25">
      <c r="A134" t="str">
        <f t="shared" si="2"/>
        <v>Bahamas, The2013</v>
      </c>
      <c r="B134" t="s">
        <v>35</v>
      </c>
      <c r="C134" t="s">
        <v>36</v>
      </c>
      <c r="D134">
        <v>2013</v>
      </c>
      <c r="E134">
        <v>27642.741975917899</v>
      </c>
      <c r="F134">
        <v>-2.8632008154943902</v>
      </c>
      <c r="G134">
        <v>0.72241478453055097</v>
      </c>
      <c r="H134">
        <v>12</v>
      </c>
      <c r="I134">
        <v>9.8496383456523606</v>
      </c>
      <c r="J134">
        <v>16.18</v>
      </c>
      <c r="K134">
        <v>16.249873354844301</v>
      </c>
      <c r="L134">
        <v>13.202597699540799</v>
      </c>
      <c r="M134">
        <v>0.593910374696762</v>
      </c>
      <c r="N134">
        <v>46.678226942668303</v>
      </c>
      <c r="O134">
        <v>29.197254493904701</v>
      </c>
      <c r="P134">
        <v>1.8735884100653</v>
      </c>
      <c r="Q134">
        <v>20.984764159499001</v>
      </c>
      <c r="R134">
        <v>39.856615085009501</v>
      </c>
      <c r="S134">
        <v>-5.09821710276365</v>
      </c>
      <c r="T134">
        <v>44.248455636472897</v>
      </c>
      <c r="U134">
        <v>-0.40715442907246702</v>
      </c>
      <c r="V134">
        <v>33.237942352674999</v>
      </c>
    </row>
    <row r="135" spans="1:22" x14ac:dyDescent="0.25">
      <c r="A135" t="str">
        <f t="shared" si="2"/>
        <v>Bahamas, The2014</v>
      </c>
      <c r="B135" t="s">
        <v>35</v>
      </c>
      <c r="C135" t="s">
        <v>36</v>
      </c>
      <c r="D135">
        <v>2014</v>
      </c>
      <c r="E135">
        <v>29137.217563262198</v>
      </c>
      <c r="F135">
        <v>1.8469701294558001</v>
      </c>
      <c r="G135">
        <v>1.51375643050831</v>
      </c>
      <c r="H135">
        <v>12</v>
      </c>
      <c r="I135">
        <v>10.040073450554299</v>
      </c>
      <c r="J135">
        <v>13.8</v>
      </c>
      <c r="K135">
        <v>15.796521502365501</v>
      </c>
      <c r="L135">
        <v>13.1968460856802</v>
      </c>
      <c r="M135">
        <v>4.4084190438608202</v>
      </c>
      <c r="N135">
        <v>46.316063425481197</v>
      </c>
      <c r="O135">
        <v>31.399305150326299</v>
      </c>
      <c r="P135">
        <v>1.8852572058477099</v>
      </c>
      <c r="Q135">
        <v>21.0499740646103</v>
      </c>
      <c r="R135">
        <v>37.362982646712901</v>
      </c>
      <c r="S135">
        <v>-4.51149966442114</v>
      </c>
      <c r="T135">
        <v>47.7475554481681</v>
      </c>
      <c r="U135">
        <v>-0.30861576556826498</v>
      </c>
      <c r="V135">
        <v>35.126517652253703</v>
      </c>
    </row>
    <row r="136" spans="1:22" x14ac:dyDescent="0.25">
      <c r="A136" t="str">
        <f t="shared" si="2"/>
        <v>Bahamas, The2015</v>
      </c>
      <c r="B136" t="s">
        <v>35</v>
      </c>
      <c r="C136" t="s">
        <v>36</v>
      </c>
      <c r="D136">
        <v>2015</v>
      </c>
      <c r="E136">
        <v>30719.405417468999</v>
      </c>
      <c r="F136">
        <v>0.99741167548674503</v>
      </c>
      <c r="G136">
        <v>1.8614830286337101</v>
      </c>
      <c r="H136">
        <v>12</v>
      </c>
      <c r="I136">
        <v>10.209901997293301</v>
      </c>
      <c r="J136">
        <v>12</v>
      </c>
      <c r="K136">
        <v>16.068979373690599</v>
      </c>
      <c r="L136">
        <v>14.6273782452524</v>
      </c>
      <c r="M136">
        <v>5.2212154088047402</v>
      </c>
      <c r="N136">
        <v>45.9533368684191</v>
      </c>
      <c r="O136">
        <v>24.611407717780601</v>
      </c>
      <c r="P136">
        <v>2.2966385208759799</v>
      </c>
      <c r="Q136">
        <v>20.903069786297898</v>
      </c>
      <c r="R136">
        <v>35.831587483949399</v>
      </c>
      <c r="S136">
        <v>-3.33666578566107</v>
      </c>
      <c r="T136">
        <v>49.940960588494796</v>
      </c>
      <c r="U136">
        <v>-0.12693667529439501</v>
      </c>
      <c r="V136">
        <v>38.608548259727101</v>
      </c>
    </row>
    <row r="137" spans="1:22" x14ac:dyDescent="0.25">
      <c r="A137" t="str">
        <f t="shared" si="2"/>
        <v>Bahamas, The2016</v>
      </c>
      <c r="B137" t="s">
        <v>35</v>
      </c>
      <c r="C137" t="s">
        <v>36</v>
      </c>
      <c r="D137">
        <v>2016</v>
      </c>
      <c r="E137">
        <v>30616.536315728401</v>
      </c>
      <c r="F137">
        <v>-1.1565081126962899</v>
      </c>
      <c r="G137">
        <v>-0.34637692998939601</v>
      </c>
      <c r="H137">
        <v>12</v>
      </c>
      <c r="I137">
        <v>10.364883373641099</v>
      </c>
      <c r="J137">
        <v>12.7</v>
      </c>
      <c r="K137">
        <v>17.887091855751699</v>
      </c>
      <c r="L137">
        <v>16.743593523049601</v>
      </c>
      <c r="M137">
        <v>1.5401031351833301</v>
      </c>
      <c r="N137">
        <v>45.542820280092698</v>
      </c>
      <c r="O137">
        <v>25.780875186223302</v>
      </c>
      <c r="P137">
        <v>2.4275310559385899</v>
      </c>
      <c r="Q137">
        <v>22.834840301626102</v>
      </c>
      <c r="R137">
        <v>32.851888324958502</v>
      </c>
      <c r="S137">
        <v>-2.6102478741346302</v>
      </c>
      <c r="T137">
        <v>51.056787543184903</v>
      </c>
      <c r="U137">
        <v>-9.4391080535385197E-2</v>
      </c>
      <c r="V137">
        <v>39.232311604856598</v>
      </c>
    </row>
    <row r="138" spans="1:22" x14ac:dyDescent="0.25">
      <c r="A138" t="str">
        <f t="shared" si="2"/>
        <v>Bahamas, The2017</v>
      </c>
      <c r="B138" t="s">
        <v>35</v>
      </c>
      <c r="C138" t="s">
        <v>36</v>
      </c>
      <c r="D138">
        <v>2017</v>
      </c>
      <c r="E138">
        <v>31875.488174961902</v>
      </c>
      <c r="F138">
        <v>3.3713988456488999</v>
      </c>
      <c r="G138">
        <v>1.51820700736147</v>
      </c>
      <c r="H138">
        <v>12</v>
      </c>
      <c r="I138">
        <v>10.5142323008566</v>
      </c>
      <c r="J138">
        <v>9.8000000000000007</v>
      </c>
      <c r="K138">
        <v>19.738560014300699</v>
      </c>
      <c r="L138">
        <v>16.632687823554502</v>
      </c>
      <c r="M138">
        <v>1.3471327939787301</v>
      </c>
      <c r="N138">
        <v>45.106316563979497</v>
      </c>
      <c r="O138">
        <v>27.556258988181799</v>
      </c>
      <c r="P138">
        <v>3.1833780140871801</v>
      </c>
      <c r="Q138">
        <v>16.937704117539099</v>
      </c>
      <c r="R138">
        <v>31.7259719287533</v>
      </c>
      <c r="S138">
        <v>-6.0502519120646898</v>
      </c>
      <c r="T138">
        <v>54.648908139579099</v>
      </c>
      <c r="U138">
        <v>-0.18492958601357801</v>
      </c>
      <c r="V138">
        <v>37.497065976123302</v>
      </c>
    </row>
    <row r="139" spans="1:22" x14ac:dyDescent="0.25">
      <c r="A139" t="str">
        <f t="shared" si="2"/>
        <v>Bahamas, The2018</v>
      </c>
      <c r="B139" t="s">
        <v>35</v>
      </c>
      <c r="C139" t="s">
        <v>36</v>
      </c>
      <c r="D139">
        <v>2018</v>
      </c>
      <c r="E139">
        <v>32642.335320345199</v>
      </c>
      <c r="F139">
        <v>2.3979551082354802</v>
      </c>
      <c r="G139">
        <v>2.2658634667873501</v>
      </c>
      <c r="H139">
        <v>12</v>
      </c>
      <c r="I139">
        <v>10.667591844009999</v>
      </c>
      <c r="J139">
        <v>10</v>
      </c>
      <c r="K139">
        <v>17.3844779705442</v>
      </c>
      <c r="L139">
        <v>15.9117105591613</v>
      </c>
      <c r="M139">
        <v>0.57926069945126801</v>
      </c>
      <c r="N139">
        <v>44.677519773948902</v>
      </c>
      <c r="O139">
        <v>25.638885421867201</v>
      </c>
      <c r="P139">
        <v>2.76440306147579</v>
      </c>
      <c r="Q139">
        <v>15.607820707097201</v>
      </c>
      <c r="R139">
        <v>35.251809785322003</v>
      </c>
      <c r="S139">
        <v>-3.2834071869539798</v>
      </c>
      <c r="T139">
        <v>61.512500735720998</v>
      </c>
      <c r="U139">
        <v>-8.7533234463889095E-2</v>
      </c>
      <c r="V139">
        <v>39.363747918668402</v>
      </c>
    </row>
    <row r="140" spans="1:22" x14ac:dyDescent="0.25">
      <c r="A140" t="str">
        <f t="shared" si="2"/>
        <v>Bahamas, The2019</v>
      </c>
      <c r="B140" t="s">
        <v>35</v>
      </c>
      <c r="C140" t="s">
        <v>36</v>
      </c>
      <c r="D140">
        <v>2019</v>
      </c>
      <c r="E140">
        <v>33640.336986127797</v>
      </c>
      <c r="F140">
        <v>-0.83858587119320305</v>
      </c>
      <c r="G140">
        <v>2.4912352736804499</v>
      </c>
      <c r="H140">
        <v>12</v>
      </c>
      <c r="I140">
        <v>10.8243628610412</v>
      </c>
      <c r="J140">
        <v>9.3360000000000003</v>
      </c>
      <c r="K140">
        <v>18.473954959704798</v>
      </c>
      <c r="L140">
        <v>18.274256232582701</v>
      </c>
      <c r="M140">
        <v>4.4470841822887603</v>
      </c>
      <c r="N140">
        <v>44.246231890414201</v>
      </c>
      <c r="O140">
        <v>25.384499510431599</v>
      </c>
      <c r="P140">
        <v>3.8520049967523202</v>
      </c>
      <c r="Q140">
        <v>21.780292540860099</v>
      </c>
      <c r="R140">
        <v>34.980793854033301</v>
      </c>
      <c r="S140">
        <v>-1.67999457789234</v>
      </c>
      <c r="T140">
        <v>60.313553615902599</v>
      </c>
      <c r="U140">
        <v>8.4778372691390505E-2</v>
      </c>
      <c r="V140">
        <v>42.666242934650597</v>
      </c>
    </row>
    <row r="141" spans="1:22" x14ac:dyDescent="0.25">
      <c r="A141" t="str">
        <f t="shared" si="2"/>
        <v>Bahamas, The2020</v>
      </c>
      <c r="B141" t="s">
        <v>35</v>
      </c>
      <c r="C141" t="s">
        <v>36</v>
      </c>
      <c r="D141">
        <v>2020</v>
      </c>
      <c r="E141">
        <v>26178.7537607708</v>
      </c>
      <c r="F141">
        <v>-20.089366489139898</v>
      </c>
      <c r="G141">
        <v>3.8521098005455702E-2</v>
      </c>
      <c r="H141">
        <v>12</v>
      </c>
      <c r="I141">
        <v>10.976412264359499</v>
      </c>
      <c r="J141">
        <v>12.016</v>
      </c>
      <c r="K141">
        <v>25.8412924772271</v>
      </c>
      <c r="L141">
        <v>20.136910481318498</v>
      </c>
      <c r="M141">
        <v>-2.3236661012091</v>
      </c>
      <c r="N141">
        <v>43.808987539506703</v>
      </c>
      <c r="O141">
        <v>23.0710591323143</v>
      </c>
      <c r="P141">
        <v>7.35609883565823</v>
      </c>
      <c r="Q141">
        <v>8.7542138309595394</v>
      </c>
      <c r="R141">
        <v>23.273699243476901</v>
      </c>
      <c r="S141">
        <v>-7.1090800425670704</v>
      </c>
      <c r="T141">
        <v>71.925120788175406</v>
      </c>
      <c r="U141">
        <v>-0.51659217534214397</v>
      </c>
      <c r="V141">
        <v>31.140477082733899</v>
      </c>
    </row>
    <row r="142" spans="1:22" x14ac:dyDescent="0.25">
      <c r="A142" t="str">
        <f t="shared" si="2"/>
        <v>Bahamas, The2021</v>
      </c>
      <c r="B142" t="s">
        <v>35</v>
      </c>
      <c r="C142" t="s">
        <v>36</v>
      </c>
      <c r="D142">
        <v>2021</v>
      </c>
      <c r="E142">
        <v>30367.860575770799</v>
      </c>
      <c r="F142">
        <v>17.5861390037409</v>
      </c>
      <c r="G142">
        <v>2.9049126292847798</v>
      </c>
      <c r="H142">
        <v>12</v>
      </c>
      <c r="I142">
        <v>11.091951268123699</v>
      </c>
      <c r="J142">
        <v>11.077999999999999</v>
      </c>
      <c r="K142">
        <v>24.663383883027301</v>
      </c>
      <c r="L142">
        <v>15.8516580958711</v>
      </c>
      <c r="M142">
        <v>-1.2201754418755999</v>
      </c>
      <c r="N142">
        <v>43.328463774823902</v>
      </c>
      <c r="O142">
        <v>24.440475201462199</v>
      </c>
      <c r="P142">
        <v>5.1093779851066099</v>
      </c>
      <c r="Q142">
        <v>9.3765527684638901</v>
      </c>
      <c r="R142">
        <v>27.971255296170099</v>
      </c>
      <c r="S142">
        <v>-11.902465669674701</v>
      </c>
      <c r="T142">
        <v>90.661906505728098</v>
      </c>
      <c r="U142">
        <v>-0.40184881356266899</v>
      </c>
      <c r="V142">
        <v>33.339628879004202</v>
      </c>
    </row>
    <row r="143" spans="1:22" x14ac:dyDescent="0.25">
      <c r="A143" t="str">
        <f t="shared" si="2"/>
        <v>Bahamas, The2022</v>
      </c>
      <c r="B143" t="s">
        <v>35</v>
      </c>
      <c r="C143" t="s">
        <v>36</v>
      </c>
      <c r="D143">
        <v>2022</v>
      </c>
      <c r="E143">
        <v>34957.161327973699</v>
      </c>
      <c r="F143">
        <v>10.8779009410268</v>
      </c>
      <c r="G143">
        <v>5.6054063358304296</v>
      </c>
      <c r="H143">
        <v>12</v>
      </c>
      <c r="I143">
        <v>11.252117719415899</v>
      </c>
      <c r="J143">
        <v>9.25</v>
      </c>
      <c r="K143">
        <v>22.324770839329901</v>
      </c>
      <c r="L143">
        <v>18.748901754360698</v>
      </c>
      <c r="M143">
        <v>4.1241696628506297</v>
      </c>
      <c r="N143">
        <v>42.863765574294803</v>
      </c>
      <c r="O143">
        <v>23.815554660065601</v>
      </c>
      <c r="P143">
        <v>4.6243381906210601</v>
      </c>
      <c r="Q143">
        <v>19.767482675119499</v>
      </c>
      <c r="R143">
        <v>37.158914282424703</v>
      </c>
      <c r="S143">
        <v>-5.5257285265301999</v>
      </c>
      <c r="T143">
        <v>84.655566369231295</v>
      </c>
      <c r="U143">
        <v>5.7957725713591098E-2</v>
      </c>
      <c r="V143">
        <v>42.152202966990203</v>
      </c>
    </row>
    <row r="144" spans="1:22" x14ac:dyDescent="0.25">
      <c r="A144" t="str">
        <f t="shared" si="2"/>
        <v>Bahamas, The2023</v>
      </c>
      <c r="B144" t="s">
        <v>35</v>
      </c>
      <c r="C144" t="s">
        <v>36</v>
      </c>
      <c r="D144">
        <v>2023</v>
      </c>
      <c r="E144">
        <v>38231.774484278001</v>
      </c>
      <c r="F144">
        <v>3.0482418055377298</v>
      </c>
      <c r="G144">
        <v>3.0529157896974199</v>
      </c>
      <c r="H144">
        <v>12</v>
      </c>
      <c r="I144">
        <v>11.4979577684286</v>
      </c>
      <c r="J144">
        <v>8.6449999999999996</v>
      </c>
      <c r="K144">
        <v>20.347142731790999</v>
      </c>
      <c r="L144">
        <v>18.691039629894</v>
      </c>
      <c r="M144">
        <v>6.6401175741902696</v>
      </c>
      <c r="N144">
        <v>42.503085957288903</v>
      </c>
      <c r="O144">
        <v>22.863148520427199</v>
      </c>
      <c r="P144">
        <v>4.1733384641530398</v>
      </c>
      <c r="Q144">
        <v>18.941132040756202</v>
      </c>
      <c r="R144">
        <v>37.8114502367185</v>
      </c>
      <c r="S144">
        <v>-3.65455272054793</v>
      </c>
      <c r="T144">
        <v>78.290780801435801</v>
      </c>
      <c r="U144">
        <v>0.11158521689451301</v>
      </c>
      <c r="V144">
        <v>43.180018360674197</v>
      </c>
    </row>
    <row r="145" spans="1:22" x14ac:dyDescent="0.25">
      <c r="A145" t="str">
        <f t="shared" si="2"/>
        <v>Bahamas, The2024</v>
      </c>
      <c r="B145" t="s">
        <v>35</v>
      </c>
      <c r="C145" t="s">
        <v>36</v>
      </c>
      <c r="D145">
        <v>2024</v>
      </c>
      <c r="E145">
        <v>39455.446654854597</v>
      </c>
      <c r="F145">
        <v>3.37866553336166</v>
      </c>
      <c r="G145">
        <v>0.40916248908328601</v>
      </c>
      <c r="H145">
        <v>12</v>
      </c>
      <c r="I145">
        <v>11.7758539484603</v>
      </c>
      <c r="J145">
        <v>9.0489999999999995</v>
      </c>
      <c r="K145">
        <v>17.635784913147901</v>
      </c>
      <c r="L145">
        <v>19.384409965388301</v>
      </c>
      <c r="M145">
        <v>0.28842137690131198</v>
      </c>
      <c r="N145">
        <v>42.224293633128703</v>
      </c>
      <c r="O145">
        <v>26.8063766358446</v>
      </c>
      <c r="P145">
        <v>3.9532062747485401</v>
      </c>
      <c r="Q145">
        <v>19.213439804961901</v>
      </c>
      <c r="R145">
        <v>37.783588499823203</v>
      </c>
      <c r="S145">
        <v>-1.2003139620779999</v>
      </c>
      <c r="T145">
        <v>73.812980027314794</v>
      </c>
      <c r="U145">
        <v>0.19521477075037399</v>
      </c>
      <c r="V145">
        <v>44.782848195282597</v>
      </c>
    </row>
    <row r="146" spans="1:22" x14ac:dyDescent="0.25">
      <c r="A146" t="str">
        <f t="shared" si="2"/>
        <v>Bahamas, The2025</v>
      </c>
      <c r="B146" t="s">
        <v>35</v>
      </c>
      <c r="C146" t="s">
        <v>36</v>
      </c>
      <c r="D146">
        <v>2025</v>
      </c>
      <c r="E146">
        <v>30616.536315728401</v>
      </c>
      <c r="F146">
        <v>1.8469701294558001</v>
      </c>
      <c r="G146">
        <v>1.8614830286337101</v>
      </c>
      <c r="H146">
        <v>12</v>
      </c>
      <c r="I146">
        <v>10.5142323008566</v>
      </c>
      <c r="J146">
        <v>9.2070000000000007</v>
      </c>
      <c r="K146">
        <v>17.635784913147901</v>
      </c>
      <c r="L146">
        <v>15.9117105591613</v>
      </c>
      <c r="M146">
        <v>1.3471327939787301</v>
      </c>
      <c r="N146">
        <v>45.106316563979497</v>
      </c>
      <c r="O146">
        <v>25.780875186223302</v>
      </c>
      <c r="P146">
        <v>3.0966632007269901</v>
      </c>
      <c r="Q146">
        <v>20.568653833741301</v>
      </c>
      <c r="R146">
        <v>35.831587483949399</v>
      </c>
      <c r="S146">
        <v>-0.48756751454563402</v>
      </c>
      <c r="T146">
        <v>73.8031091799145</v>
      </c>
      <c r="U146">
        <v>3.8660520159023402E-2</v>
      </c>
      <c r="V146">
        <v>41.782356000680501</v>
      </c>
    </row>
    <row r="147" spans="1:22" x14ac:dyDescent="0.25">
      <c r="A147" t="str">
        <f t="shared" si="2"/>
        <v>Bahrain2010</v>
      </c>
      <c r="B147" t="s">
        <v>37</v>
      </c>
      <c r="C147" t="s">
        <v>38</v>
      </c>
      <c r="D147">
        <v>2010</v>
      </c>
      <c r="E147">
        <v>21819.3291098099</v>
      </c>
      <c r="F147">
        <v>4.3342989754844998</v>
      </c>
      <c r="G147">
        <v>1.96188468334623</v>
      </c>
      <c r="H147">
        <v>9</v>
      </c>
      <c r="I147">
        <v>2.1504742656876901</v>
      </c>
      <c r="J147">
        <v>1.1299999999999999</v>
      </c>
      <c r="K147">
        <v>18.6739821709387</v>
      </c>
      <c r="L147">
        <v>21.3017099825876</v>
      </c>
      <c r="M147">
        <v>12.0069509099953</v>
      </c>
      <c r="N147">
        <v>29.0860280017862</v>
      </c>
      <c r="O147">
        <v>28.598355995852799</v>
      </c>
      <c r="P147">
        <v>3.7549233090256702</v>
      </c>
      <c r="Q147">
        <v>31.4656153109668</v>
      </c>
      <c r="R147">
        <v>66.702715037627598</v>
      </c>
      <c r="S147">
        <v>-9.2858429911549205</v>
      </c>
      <c r="T147">
        <v>28.787217049225799</v>
      </c>
      <c r="U147">
        <v>-4.8806555367982903E-2</v>
      </c>
      <c r="V147">
        <v>40.105976877072401</v>
      </c>
    </row>
    <row r="148" spans="1:22" x14ac:dyDescent="0.25">
      <c r="A148" t="str">
        <f t="shared" si="2"/>
        <v>Bahrain2011</v>
      </c>
      <c r="B148" t="s">
        <v>37</v>
      </c>
      <c r="C148" t="s">
        <v>38</v>
      </c>
      <c r="D148">
        <v>2011</v>
      </c>
      <c r="E148">
        <v>25032.786774333301</v>
      </c>
      <c r="F148">
        <v>1.9281579117079599</v>
      </c>
      <c r="G148">
        <v>-0.40004069748808002</v>
      </c>
      <c r="H148">
        <v>9</v>
      </c>
      <c r="I148">
        <v>2.23517644407025</v>
      </c>
      <c r="J148">
        <v>1.21</v>
      </c>
      <c r="K148">
        <v>21.6471133862972</v>
      </c>
      <c r="L148">
        <v>24.174602228678701</v>
      </c>
      <c r="M148">
        <v>9.4859632506893892</v>
      </c>
      <c r="N148">
        <v>29.219570111527101</v>
      </c>
      <c r="O148">
        <v>22.497932951159001</v>
      </c>
      <c r="P148">
        <v>2.3412021723076699</v>
      </c>
      <c r="Q148">
        <v>26.804299817210602</v>
      </c>
      <c r="R148">
        <v>95.636348764927206</v>
      </c>
      <c r="S148">
        <v>-4.9012205445802</v>
      </c>
      <c r="T148">
        <v>31.553690323463901</v>
      </c>
      <c r="U148">
        <v>0.33530781315384001</v>
      </c>
      <c r="V148">
        <v>47.467847667745801</v>
      </c>
    </row>
    <row r="149" spans="1:22" x14ac:dyDescent="0.25">
      <c r="A149" t="str">
        <f t="shared" si="2"/>
        <v>Bahrain2012</v>
      </c>
      <c r="B149" t="s">
        <v>37</v>
      </c>
      <c r="C149" t="s">
        <v>38</v>
      </c>
      <c r="D149">
        <v>2012</v>
      </c>
      <c r="E149">
        <v>26438.6733230428</v>
      </c>
      <c r="F149">
        <v>3.80302899043062</v>
      </c>
      <c r="G149">
        <v>2.7573966996297901</v>
      </c>
      <c r="H149">
        <v>9</v>
      </c>
      <c r="I149">
        <v>2.3027567966205802</v>
      </c>
      <c r="J149">
        <v>1.2</v>
      </c>
      <c r="K149">
        <v>20.898512669908399</v>
      </c>
      <c r="L149">
        <v>24.7546313788874</v>
      </c>
      <c r="M149">
        <v>2.93394725551211</v>
      </c>
      <c r="N149">
        <v>28.494402515121699</v>
      </c>
      <c r="O149">
        <v>28.317881819634199</v>
      </c>
      <c r="P149">
        <v>2.2724835464105499</v>
      </c>
      <c r="Q149">
        <v>36.3829778736321</v>
      </c>
      <c r="R149">
        <v>98.265636232925999</v>
      </c>
      <c r="S149">
        <v>-5.7656487436169801</v>
      </c>
      <c r="T149">
        <v>34.832808158938498</v>
      </c>
      <c r="U149">
        <v>0.35808489475294403</v>
      </c>
      <c r="V149">
        <v>47.904389347679597</v>
      </c>
    </row>
    <row r="150" spans="1:22" x14ac:dyDescent="0.25">
      <c r="A150" t="str">
        <f t="shared" si="2"/>
        <v>Bahrain2013</v>
      </c>
      <c r="B150" t="s">
        <v>37</v>
      </c>
      <c r="C150" t="s">
        <v>38</v>
      </c>
      <c r="D150">
        <v>2013</v>
      </c>
      <c r="E150">
        <v>26989.7601148469</v>
      </c>
      <c r="F150">
        <v>5.2926222490620303</v>
      </c>
      <c r="G150">
        <v>3.30001156888442</v>
      </c>
      <c r="H150">
        <v>9</v>
      </c>
      <c r="I150">
        <v>2.4556893357715501</v>
      </c>
      <c r="J150">
        <v>1.1839999999999999</v>
      </c>
      <c r="K150">
        <v>22.468616252947701</v>
      </c>
      <c r="L150">
        <v>23.1294185917593</v>
      </c>
      <c r="M150">
        <v>0.499828956383851</v>
      </c>
      <c r="N150">
        <v>28.559733768845</v>
      </c>
      <c r="O150">
        <v>26.202347618295001</v>
      </c>
      <c r="P150">
        <v>2.0991811605519102</v>
      </c>
      <c r="Q150">
        <v>33.327411604575403</v>
      </c>
      <c r="R150">
        <v>100.826651632348</v>
      </c>
      <c r="S150">
        <v>-8.5451642727344908</v>
      </c>
      <c r="T150">
        <v>42.270040581651998</v>
      </c>
      <c r="U150">
        <v>0.234270725826555</v>
      </c>
      <c r="V150">
        <v>45.531388001235797</v>
      </c>
    </row>
    <row r="151" spans="1:22" x14ac:dyDescent="0.25">
      <c r="A151" t="str">
        <f t="shared" si="2"/>
        <v>Bahrain2014</v>
      </c>
      <c r="B151" t="s">
        <v>37</v>
      </c>
      <c r="C151" t="s">
        <v>38</v>
      </c>
      <c r="D151">
        <v>2014</v>
      </c>
      <c r="E151">
        <v>26451.796564745298</v>
      </c>
      <c r="F151">
        <v>4.3088569265707699</v>
      </c>
      <c r="G151">
        <v>2.6475532124618799</v>
      </c>
      <c r="H151">
        <v>9</v>
      </c>
      <c r="I151">
        <v>2.62539913226817</v>
      </c>
      <c r="J151">
        <v>1.1439999999999999</v>
      </c>
      <c r="K151">
        <v>23.5115457835002</v>
      </c>
      <c r="L151">
        <v>23.414486399831102</v>
      </c>
      <c r="M151">
        <v>-1.4404368347196901</v>
      </c>
      <c r="N151">
        <v>29.795752731064201</v>
      </c>
      <c r="O151">
        <v>26.946077355334499</v>
      </c>
      <c r="P151">
        <v>2.4656607982218901</v>
      </c>
      <c r="Q151">
        <v>31.326365045772398</v>
      </c>
      <c r="R151">
        <v>92.225535719612296</v>
      </c>
      <c r="S151">
        <v>-3.31862894633587</v>
      </c>
      <c r="T151">
        <v>42.630148679066899</v>
      </c>
      <c r="U151">
        <v>0.39650479240234199</v>
      </c>
      <c r="V151">
        <v>48.640738584950299</v>
      </c>
    </row>
    <row r="152" spans="1:22" x14ac:dyDescent="0.25">
      <c r="A152" t="str">
        <f t="shared" si="2"/>
        <v>Bahrain2015</v>
      </c>
      <c r="B152" t="s">
        <v>37</v>
      </c>
      <c r="C152" t="s">
        <v>38</v>
      </c>
      <c r="D152">
        <v>2015</v>
      </c>
      <c r="E152">
        <v>23734.0551143019</v>
      </c>
      <c r="F152">
        <v>2.50787205267615</v>
      </c>
      <c r="G152">
        <v>1.84862742374976</v>
      </c>
      <c r="H152">
        <v>9</v>
      </c>
      <c r="I152">
        <v>2.5887635527324502</v>
      </c>
      <c r="J152">
        <v>1.1639999999999999</v>
      </c>
      <c r="K152">
        <v>25.3293874440254</v>
      </c>
      <c r="L152">
        <v>16.469208652389899</v>
      </c>
      <c r="M152">
        <v>-8.7566734024694508</v>
      </c>
      <c r="N152">
        <v>30.034797511128701</v>
      </c>
      <c r="O152">
        <v>25.624930082853901</v>
      </c>
      <c r="P152">
        <v>1.6197111600560601</v>
      </c>
      <c r="Q152">
        <v>23.781070198450202</v>
      </c>
      <c r="R152">
        <v>79.344103572234602</v>
      </c>
      <c r="S152">
        <v>-17.4616396824864</v>
      </c>
      <c r="T152">
        <v>63.179821028607101</v>
      </c>
      <c r="U152">
        <v>-0.51910654017872104</v>
      </c>
      <c r="V152">
        <v>31.092287193043699</v>
      </c>
    </row>
    <row r="153" spans="1:22" x14ac:dyDescent="0.25">
      <c r="A153" t="str">
        <f t="shared" si="2"/>
        <v>Bahrain2016</v>
      </c>
      <c r="B153" t="s">
        <v>37</v>
      </c>
      <c r="C153" t="s">
        <v>38</v>
      </c>
      <c r="D153">
        <v>2016</v>
      </c>
      <c r="E153">
        <v>23800.001440631</v>
      </c>
      <c r="F153">
        <v>3.8149932742242498</v>
      </c>
      <c r="G153">
        <v>2.7867934760204398</v>
      </c>
      <c r="H153">
        <v>9</v>
      </c>
      <c r="I153">
        <v>2.5374859051877299</v>
      </c>
      <c r="J153">
        <v>1.19</v>
      </c>
      <c r="K153">
        <v>24.499656418437301</v>
      </c>
      <c r="L153">
        <v>14.672896297831199</v>
      </c>
      <c r="M153">
        <v>0.35724777804711</v>
      </c>
      <c r="N153">
        <v>29.242000477488599</v>
      </c>
      <c r="O153">
        <v>27.885698834595399</v>
      </c>
      <c r="P153">
        <v>1.2463958315058701</v>
      </c>
      <c r="Q153">
        <v>23.882507472152099</v>
      </c>
      <c r="R153">
        <v>70.588290698112502</v>
      </c>
      <c r="S153">
        <v>-16.579139925466801</v>
      </c>
      <c r="T153">
        <v>77.36628615203</v>
      </c>
      <c r="U153">
        <v>-0.59053038553860704</v>
      </c>
      <c r="V153">
        <v>29.723389895772598</v>
      </c>
    </row>
    <row r="154" spans="1:22" x14ac:dyDescent="0.25">
      <c r="A154" t="str">
        <f t="shared" si="2"/>
        <v>Bahrain2017</v>
      </c>
      <c r="B154" t="s">
        <v>37</v>
      </c>
      <c r="C154" t="s">
        <v>38</v>
      </c>
      <c r="D154">
        <v>2017</v>
      </c>
      <c r="E154">
        <v>24784.769351460702</v>
      </c>
      <c r="F154">
        <v>4.9538353412365703</v>
      </c>
      <c r="G154">
        <v>1.38671830576406</v>
      </c>
      <c r="H154">
        <v>9</v>
      </c>
      <c r="I154">
        <v>2.6120196087031302</v>
      </c>
      <c r="J154">
        <v>1.18</v>
      </c>
      <c r="K154">
        <v>22.521550300550199</v>
      </c>
      <c r="L154">
        <v>15.533386102447601</v>
      </c>
      <c r="M154">
        <v>4.6158342143092899</v>
      </c>
      <c r="N154">
        <v>28.851711809921898</v>
      </c>
      <c r="O154">
        <v>33.545233722758098</v>
      </c>
      <c r="P154">
        <v>1.2110141593767301</v>
      </c>
      <c r="Q154">
        <v>29.6481180583901</v>
      </c>
      <c r="R154">
        <v>72.253862138921903</v>
      </c>
      <c r="S154">
        <v>-13.376972835799499</v>
      </c>
      <c r="T154">
        <v>84.028772607048396</v>
      </c>
      <c r="U154">
        <v>-0.44561702657680002</v>
      </c>
      <c r="V154">
        <v>32.500774737232099</v>
      </c>
    </row>
    <row r="155" spans="1:22" x14ac:dyDescent="0.25">
      <c r="A155" t="str">
        <f t="shared" si="2"/>
        <v>Bahrain2018</v>
      </c>
      <c r="B155" t="s">
        <v>37</v>
      </c>
      <c r="C155" t="s">
        <v>38</v>
      </c>
      <c r="D155">
        <v>2018</v>
      </c>
      <c r="E155">
        <v>26324.406654955899</v>
      </c>
      <c r="F155">
        <v>2.0525886497986101</v>
      </c>
      <c r="G155">
        <v>2.0876693804697801</v>
      </c>
      <c r="H155">
        <v>9</v>
      </c>
      <c r="I155">
        <v>2.77238869129833</v>
      </c>
      <c r="J155">
        <v>1.1879999999999999</v>
      </c>
      <c r="K155">
        <v>22.470036004358199</v>
      </c>
      <c r="L155">
        <v>18.6547826478267</v>
      </c>
      <c r="M155">
        <v>4.2127135257160502</v>
      </c>
      <c r="N155">
        <v>29.225228602182298</v>
      </c>
      <c r="O155">
        <v>35.560327096647598</v>
      </c>
      <c r="P155">
        <v>0.88803426632633398</v>
      </c>
      <c r="Q155">
        <v>29.407598423397399</v>
      </c>
      <c r="R155">
        <v>75.715372682079604</v>
      </c>
      <c r="S155">
        <v>-11.2756649275822</v>
      </c>
      <c r="T155">
        <v>90.384436695264498</v>
      </c>
      <c r="U155">
        <v>-0.35477985923548999</v>
      </c>
      <c r="V155">
        <v>34.241744468541498</v>
      </c>
    </row>
    <row r="156" spans="1:22" x14ac:dyDescent="0.25">
      <c r="A156" t="str">
        <f t="shared" si="2"/>
        <v>Bahrain2019</v>
      </c>
      <c r="B156" t="s">
        <v>37</v>
      </c>
      <c r="C156" t="s">
        <v>38</v>
      </c>
      <c r="D156">
        <v>2019</v>
      </c>
      <c r="E156">
        <v>27259.7438599327</v>
      </c>
      <c r="F156">
        <v>2.0528777441865498</v>
      </c>
      <c r="G156">
        <v>1.0058200470213601</v>
      </c>
      <c r="H156">
        <v>9</v>
      </c>
      <c r="I156">
        <v>3.0044683528413598</v>
      </c>
      <c r="J156">
        <v>1.2170000000000001</v>
      </c>
      <c r="K156">
        <v>21.7538186236849</v>
      </c>
      <c r="L156">
        <v>19.084402558850599</v>
      </c>
      <c r="M156">
        <v>0.16480219945876201</v>
      </c>
      <c r="N156">
        <v>30.047373426181199</v>
      </c>
      <c r="O156">
        <v>35.623857180431401</v>
      </c>
      <c r="P156">
        <v>1.5458484900259</v>
      </c>
      <c r="Q156">
        <v>33.660451078379801</v>
      </c>
      <c r="R156">
        <v>73.094423987375094</v>
      </c>
      <c r="S156">
        <v>-8.5665219335362508</v>
      </c>
      <c r="T156">
        <v>97.129390537473995</v>
      </c>
      <c r="U156">
        <v>-0.21658205290350699</v>
      </c>
      <c r="V156">
        <v>36.890420168140501</v>
      </c>
    </row>
    <row r="157" spans="1:22" x14ac:dyDescent="0.25">
      <c r="A157" t="str">
        <f t="shared" si="2"/>
        <v>Bahrain2020</v>
      </c>
      <c r="B157" t="s">
        <v>37</v>
      </c>
      <c r="C157" t="s">
        <v>38</v>
      </c>
      <c r="D157">
        <v>2020</v>
      </c>
      <c r="E157">
        <v>24342.844455471801</v>
      </c>
      <c r="F157">
        <v>-5.9113629524151996</v>
      </c>
      <c r="G157">
        <v>-2.3177062933137802</v>
      </c>
      <c r="H157">
        <v>9</v>
      </c>
      <c r="I157">
        <v>3.2788924647877402</v>
      </c>
      <c r="J157">
        <v>1.7649999999999999</v>
      </c>
      <c r="K157">
        <v>26.1085121752585</v>
      </c>
      <c r="L157">
        <v>15.4536755504399</v>
      </c>
      <c r="M157">
        <v>-5.8288484641256</v>
      </c>
      <c r="N157">
        <v>30.1633978549003</v>
      </c>
      <c r="O157">
        <v>37.295667145332601</v>
      </c>
      <c r="P157">
        <v>1.0547970704672001</v>
      </c>
      <c r="Q157">
        <v>28.241803494632698</v>
      </c>
      <c r="R157">
        <v>70.454435823509598</v>
      </c>
      <c r="S157">
        <v>-17.304686919060899</v>
      </c>
      <c r="T157">
        <v>125.700384788069</v>
      </c>
      <c r="U157">
        <v>-0.88362304622000898</v>
      </c>
      <c r="V157">
        <v>24.106025708292101</v>
      </c>
    </row>
    <row r="158" spans="1:22" x14ac:dyDescent="0.25">
      <c r="A158" t="str">
        <f t="shared" si="2"/>
        <v>Bahrain2021</v>
      </c>
      <c r="B158" t="s">
        <v>37</v>
      </c>
      <c r="C158" t="s">
        <v>38</v>
      </c>
      <c r="D158">
        <v>2021</v>
      </c>
      <c r="E158">
        <v>27147.808388228601</v>
      </c>
      <c r="F158">
        <v>4.3500409166898599</v>
      </c>
      <c r="G158">
        <v>-0.60631938514085004</v>
      </c>
      <c r="H158">
        <v>9</v>
      </c>
      <c r="I158">
        <v>3.4641606351466101</v>
      </c>
      <c r="J158">
        <v>1.548</v>
      </c>
      <c r="K158">
        <v>22.470036004358199</v>
      </c>
      <c r="L158">
        <v>19.084402558850599</v>
      </c>
      <c r="M158">
        <v>9.2084026358060207</v>
      </c>
      <c r="N158">
        <v>29.4587458973084</v>
      </c>
      <c r="O158">
        <v>28.092152733278098</v>
      </c>
      <c r="P158">
        <v>1.81003303508866</v>
      </c>
      <c r="Q158">
        <v>34.4644892653778</v>
      </c>
      <c r="R158">
        <v>86.274218672668297</v>
      </c>
      <c r="S158">
        <v>-10.5701545788204</v>
      </c>
      <c r="T158">
        <v>122.300131805844</v>
      </c>
      <c r="U158">
        <v>-0.18568428763835901</v>
      </c>
      <c r="V158">
        <v>37.482601492879603</v>
      </c>
    </row>
    <row r="159" spans="1:22" x14ac:dyDescent="0.25">
      <c r="A159" t="str">
        <f t="shared" si="2"/>
        <v>Bahrain2022</v>
      </c>
      <c r="B159" t="s">
        <v>37</v>
      </c>
      <c r="C159" t="s">
        <v>38</v>
      </c>
      <c r="D159">
        <v>2022</v>
      </c>
      <c r="E159">
        <v>30470.521927602302</v>
      </c>
      <c r="F159">
        <v>6.1801612547518499</v>
      </c>
      <c r="G159">
        <v>3.6257410430448198</v>
      </c>
      <c r="H159">
        <v>9</v>
      </c>
      <c r="I159">
        <v>3.4989523684689301</v>
      </c>
      <c r="J159">
        <v>1.2649999999999999</v>
      </c>
      <c r="K159">
        <v>22.470036004358199</v>
      </c>
      <c r="L159">
        <v>19.084402558850599</v>
      </c>
      <c r="M159">
        <v>7.1348887990078103</v>
      </c>
      <c r="N159">
        <v>29.162123903701001</v>
      </c>
      <c r="O159">
        <v>24.590186898767399</v>
      </c>
      <c r="P159">
        <v>1.4626760101006999</v>
      </c>
      <c r="Q159">
        <v>39.309550224750197</v>
      </c>
      <c r="R159">
        <v>95.9613654006004</v>
      </c>
      <c r="S159">
        <v>-6.0348368937899899</v>
      </c>
      <c r="T159">
        <v>111.647635398353</v>
      </c>
      <c r="U159">
        <v>0.20922769823824899</v>
      </c>
      <c r="V159">
        <v>45.051417585076003</v>
      </c>
    </row>
    <row r="160" spans="1:22" x14ac:dyDescent="0.25">
      <c r="A160" t="str">
        <f t="shared" si="2"/>
        <v>Bahrain2023</v>
      </c>
      <c r="B160" t="s">
        <v>37</v>
      </c>
      <c r="C160" t="s">
        <v>38</v>
      </c>
      <c r="D160">
        <v>2023</v>
      </c>
      <c r="E160">
        <v>29290.128421509798</v>
      </c>
      <c r="F160">
        <v>3.8781161484556601</v>
      </c>
      <c r="G160">
        <v>7.4620678219225495E-2</v>
      </c>
      <c r="H160">
        <v>9</v>
      </c>
      <c r="I160">
        <v>3.6380044028488898</v>
      </c>
      <c r="J160">
        <v>1.0489999999999999</v>
      </c>
      <c r="K160">
        <v>22.470036004358199</v>
      </c>
      <c r="L160">
        <v>19.084402558850599</v>
      </c>
      <c r="M160">
        <v>-4.28437217979031</v>
      </c>
      <c r="N160">
        <v>29.248827214523899</v>
      </c>
      <c r="O160">
        <v>29.168098874443</v>
      </c>
      <c r="P160">
        <v>1.5380574300225101</v>
      </c>
      <c r="Q160">
        <v>35.108341120513302</v>
      </c>
      <c r="R160">
        <v>87.351143952570993</v>
      </c>
      <c r="S160">
        <v>-9.6640685919685207</v>
      </c>
      <c r="T160">
        <v>123.020301376993</v>
      </c>
      <c r="U160">
        <v>-0.12480583406821499</v>
      </c>
      <c r="V160">
        <v>38.649387600996597</v>
      </c>
    </row>
    <row r="161" spans="1:22" x14ac:dyDescent="0.25">
      <c r="A161" t="str">
        <f t="shared" si="2"/>
        <v>Bahrain2024</v>
      </c>
      <c r="B161" t="s">
        <v>37</v>
      </c>
      <c r="C161" t="s">
        <v>38</v>
      </c>
      <c r="D161">
        <v>2024</v>
      </c>
      <c r="E161">
        <v>29653.5682731534</v>
      </c>
      <c r="F161">
        <v>2.6037967064845402</v>
      </c>
      <c r="G161">
        <v>0.91963545981765105</v>
      </c>
      <c r="H161">
        <v>9</v>
      </c>
      <c r="I161">
        <v>3.8533995707036799</v>
      </c>
      <c r="J161">
        <v>1.0840000000000001</v>
      </c>
      <c r="K161">
        <v>22.470036004358199</v>
      </c>
      <c r="L161">
        <v>19.084402558850599</v>
      </c>
      <c r="M161">
        <v>-0.60191752608544402</v>
      </c>
      <c r="N161">
        <v>29.1492189691124</v>
      </c>
      <c r="O161">
        <v>28.419387349254801</v>
      </c>
      <c r="P161">
        <v>1.4165073398761401</v>
      </c>
      <c r="Q161">
        <v>33.265075241570003</v>
      </c>
      <c r="R161">
        <v>87.674995524962696</v>
      </c>
      <c r="S161">
        <v>-11.0067580032922</v>
      </c>
      <c r="T161">
        <v>133.67162981766401</v>
      </c>
      <c r="U161">
        <v>-0.223045014116666</v>
      </c>
      <c r="V161">
        <v>36.766552150499002</v>
      </c>
    </row>
    <row r="162" spans="1:22" x14ac:dyDescent="0.25">
      <c r="A162" t="str">
        <f t="shared" si="2"/>
        <v>Bahrain2025</v>
      </c>
      <c r="B162" t="s">
        <v>37</v>
      </c>
      <c r="C162" t="s">
        <v>38</v>
      </c>
      <c r="D162">
        <v>2025</v>
      </c>
      <c r="E162">
        <v>26438.6733230428</v>
      </c>
      <c r="F162">
        <v>3.8149932742242498</v>
      </c>
      <c r="G162">
        <v>1.84862742374976</v>
      </c>
      <c r="H162">
        <v>9</v>
      </c>
      <c r="I162">
        <v>2.62539913226817</v>
      </c>
      <c r="J162">
        <v>1.1020000000000001</v>
      </c>
      <c r="K162">
        <v>22.470036004358199</v>
      </c>
      <c r="L162">
        <v>19.084402558850599</v>
      </c>
      <c r="M162">
        <v>0.499828956383851</v>
      </c>
      <c r="N162">
        <v>29.225228602182298</v>
      </c>
      <c r="O162">
        <v>28.317881819634199</v>
      </c>
      <c r="P162">
        <v>1.5458484900259</v>
      </c>
      <c r="Q162">
        <v>31.4656153109668</v>
      </c>
      <c r="R162">
        <v>86.274218672668297</v>
      </c>
      <c r="S162">
        <v>-12.972299978815199</v>
      </c>
      <c r="T162">
        <v>147.61313944856099</v>
      </c>
      <c r="U162">
        <v>-0.40632907170541199</v>
      </c>
      <c r="V162">
        <v>33.253761011882602</v>
      </c>
    </row>
    <row r="163" spans="1:22" x14ac:dyDescent="0.25">
      <c r="A163" t="str">
        <f t="shared" si="2"/>
        <v>Bangladesh2010</v>
      </c>
      <c r="B163" t="s">
        <v>39</v>
      </c>
      <c r="C163" t="s">
        <v>40</v>
      </c>
      <c r="D163">
        <v>2010</v>
      </c>
      <c r="E163">
        <v>757.38528036150797</v>
      </c>
      <c r="F163">
        <v>5.5717881853312203</v>
      </c>
      <c r="G163">
        <v>8.1266763916991707</v>
      </c>
      <c r="H163">
        <v>5</v>
      </c>
      <c r="I163">
        <v>4.20925466072201</v>
      </c>
      <c r="J163">
        <v>3.379</v>
      </c>
      <c r="K163">
        <v>9.2662510671895895</v>
      </c>
      <c r="L163">
        <v>9.7438293464630608</v>
      </c>
      <c r="M163">
        <v>7.1446630281084103</v>
      </c>
      <c r="N163">
        <v>61.968682858230302</v>
      </c>
      <c r="O163">
        <v>26.246656176057702</v>
      </c>
      <c r="P163">
        <v>4.3208792222162602</v>
      </c>
      <c r="Q163">
        <v>38.781773931985398</v>
      </c>
      <c r="R163">
        <v>16.024112685691598</v>
      </c>
      <c r="S163">
        <v>-2.2333458623439499</v>
      </c>
      <c r="T163">
        <v>29.622659777500601</v>
      </c>
      <c r="U163">
        <v>-0.743740836781973</v>
      </c>
      <c r="V163">
        <v>26.786984391924999</v>
      </c>
    </row>
    <row r="164" spans="1:22" x14ac:dyDescent="0.25">
      <c r="A164" t="str">
        <f t="shared" si="2"/>
        <v>Bangladesh2011</v>
      </c>
      <c r="B164" t="s">
        <v>39</v>
      </c>
      <c r="C164" t="s">
        <v>40</v>
      </c>
      <c r="D164">
        <v>2011</v>
      </c>
      <c r="E164">
        <v>837.33694469564705</v>
      </c>
      <c r="F164">
        <v>6.4643791249772802</v>
      </c>
      <c r="G164">
        <v>11.3951651552399</v>
      </c>
      <c r="H164">
        <v>5</v>
      </c>
      <c r="I164">
        <v>4.3437735417120598</v>
      </c>
      <c r="J164">
        <v>3.7370000000000001</v>
      </c>
      <c r="K164">
        <v>9.8438845775542294</v>
      </c>
      <c r="L164">
        <v>10.4626574311705</v>
      </c>
      <c r="M164">
        <v>7.8594508527249198</v>
      </c>
      <c r="N164">
        <v>61.097954946129903</v>
      </c>
      <c r="O164">
        <v>27.420973368603399</v>
      </c>
      <c r="P164">
        <v>2.7835522977950502</v>
      </c>
      <c r="Q164">
        <v>38.059489785546901</v>
      </c>
      <c r="R164">
        <v>19.922074955493901</v>
      </c>
      <c r="S164">
        <v>-2.9645830949087801</v>
      </c>
      <c r="T164">
        <v>29.393017646986799</v>
      </c>
      <c r="U164">
        <v>-0.76614070983143401</v>
      </c>
      <c r="V164">
        <v>26.357672227029301</v>
      </c>
    </row>
    <row r="165" spans="1:22" x14ac:dyDescent="0.25">
      <c r="A165" t="str">
        <f t="shared" si="2"/>
        <v>Bangladesh2012</v>
      </c>
      <c r="B165" t="s">
        <v>39</v>
      </c>
      <c r="C165" t="s">
        <v>40</v>
      </c>
      <c r="D165">
        <v>2012</v>
      </c>
      <c r="E165">
        <v>859.68053637549701</v>
      </c>
      <c r="F165">
        <v>6.5214587790644298</v>
      </c>
      <c r="G165">
        <v>6.2175042206928302</v>
      </c>
      <c r="H165">
        <v>5</v>
      </c>
      <c r="I165">
        <v>4.48905587386876</v>
      </c>
      <c r="J165">
        <v>4.07</v>
      </c>
      <c r="K165">
        <v>9.6385387328524601</v>
      </c>
      <c r="L165">
        <v>11.145230274383501</v>
      </c>
      <c r="M165">
        <v>8.1645736762463503</v>
      </c>
      <c r="N165">
        <v>60.039836239526402</v>
      </c>
      <c r="O165">
        <v>28.262335009718701</v>
      </c>
      <c r="P165">
        <v>3.8512548080223801</v>
      </c>
      <c r="Q165">
        <v>40.599579449418897</v>
      </c>
      <c r="R165">
        <v>20.161588864062502</v>
      </c>
      <c r="S165">
        <v>-2.5560513270834599</v>
      </c>
      <c r="T165">
        <v>29.0780286671516</v>
      </c>
      <c r="U165">
        <v>-0.70745224475190804</v>
      </c>
      <c r="V165">
        <v>27.482485387445799</v>
      </c>
    </row>
    <row r="166" spans="1:22" x14ac:dyDescent="0.25">
      <c r="A166" t="str">
        <f t="shared" si="2"/>
        <v>Bangladesh2013</v>
      </c>
      <c r="B166" t="s">
        <v>39</v>
      </c>
      <c r="C166" t="s">
        <v>40</v>
      </c>
      <c r="D166">
        <v>2013</v>
      </c>
      <c r="E166">
        <v>958.262989798283</v>
      </c>
      <c r="F166">
        <v>6.0136056583434403</v>
      </c>
      <c r="G166">
        <v>7.5304064091317198</v>
      </c>
      <c r="H166">
        <v>5</v>
      </c>
      <c r="I166">
        <v>4.6268430731642596</v>
      </c>
      <c r="J166">
        <v>4.4260000000000002</v>
      </c>
      <c r="K166">
        <v>9.5071196112895802</v>
      </c>
      <c r="L166">
        <v>11.1604123713742</v>
      </c>
      <c r="M166">
        <v>7.1749534323241404</v>
      </c>
      <c r="N166">
        <v>58.857606072282103</v>
      </c>
      <c r="O166">
        <v>28.3896207536466</v>
      </c>
      <c r="P166">
        <v>4.9097478151454297</v>
      </c>
      <c r="Q166">
        <v>39.745387710533002</v>
      </c>
      <c r="R166">
        <v>19.537874109879802</v>
      </c>
      <c r="S166">
        <v>-2.8567948773873</v>
      </c>
      <c r="T166">
        <v>28.34399469465</v>
      </c>
      <c r="U166">
        <v>-0.71963201902487195</v>
      </c>
      <c r="V166">
        <v>27.249049901025</v>
      </c>
    </row>
    <row r="167" spans="1:22" x14ac:dyDescent="0.25">
      <c r="A167" t="str">
        <f t="shared" si="2"/>
        <v>Bangladesh2014</v>
      </c>
      <c r="B167" t="s">
        <v>39</v>
      </c>
      <c r="C167" t="s">
        <v>40</v>
      </c>
      <c r="D167">
        <v>2014</v>
      </c>
      <c r="E167">
        <v>1094.46199702838</v>
      </c>
      <c r="F167">
        <v>6.0610593588494996</v>
      </c>
      <c r="G167">
        <v>6.9916388922084796</v>
      </c>
      <c r="H167">
        <v>5</v>
      </c>
      <c r="I167">
        <v>4.7565675313808704</v>
      </c>
      <c r="J167">
        <v>4.4169999999999998</v>
      </c>
      <c r="K167">
        <v>9.5044364914595398</v>
      </c>
      <c r="L167">
        <v>10.8668856085968</v>
      </c>
      <c r="M167">
        <v>5.66878852513904</v>
      </c>
      <c r="N167">
        <v>57.636399978804199</v>
      </c>
      <c r="O167">
        <v>28.577875711556299</v>
      </c>
      <c r="P167">
        <v>5.5816852646251203</v>
      </c>
      <c r="Q167">
        <v>37.779232196856803</v>
      </c>
      <c r="R167">
        <v>18.989659995010701</v>
      </c>
      <c r="S167">
        <v>-2.61901261811157</v>
      </c>
      <c r="T167">
        <v>28.682663744269401</v>
      </c>
      <c r="U167">
        <v>-0.71301699619980297</v>
      </c>
      <c r="V167">
        <v>27.375832305710599</v>
      </c>
    </row>
    <row r="168" spans="1:22" x14ac:dyDescent="0.25">
      <c r="A168" t="str">
        <f t="shared" si="2"/>
        <v>Bangladesh2015</v>
      </c>
      <c r="B168" t="s">
        <v>39</v>
      </c>
      <c r="C168" t="s">
        <v>40</v>
      </c>
      <c r="D168">
        <v>2015</v>
      </c>
      <c r="E168">
        <v>1224.38647668165</v>
      </c>
      <c r="F168">
        <v>6.5526398781619699</v>
      </c>
      <c r="G168">
        <v>6.1942802298498298</v>
      </c>
      <c r="H168">
        <v>5</v>
      </c>
      <c r="I168">
        <v>4.9026014219480496</v>
      </c>
      <c r="J168">
        <v>4.3970000000000002</v>
      </c>
      <c r="K168">
        <v>9.0058848703422605</v>
      </c>
      <c r="L168">
        <v>9.8444841388616506</v>
      </c>
      <c r="M168">
        <v>5.8727770410232303</v>
      </c>
      <c r="N168">
        <v>56.457653992249398</v>
      </c>
      <c r="O168">
        <v>28.886689247008</v>
      </c>
      <c r="P168">
        <v>6.8309139901540998</v>
      </c>
      <c r="Q168">
        <v>36.730955982400502</v>
      </c>
      <c r="R168">
        <v>17.336673786548499</v>
      </c>
      <c r="S168">
        <v>-3.2897447592775202</v>
      </c>
      <c r="T168">
        <v>28.205818893669299</v>
      </c>
      <c r="U168">
        <v>-0.74542973936858603</v>
      </c>
      <c r="V168">
        <v>26.7546151716104</v>
      </c>
    </row>
    <row r="169" spans="1:22" x14ac:dyDescent="0.25">
      <c r="A169" t="str">
        <f t="shared" si="2"/>
        <v>Bangladesh2016</v>
      </c>
      <c r="B169" t="s">
        <v>39</v>
      </c>
      <c r="C169" t="s">
        <v>40</v>
      </c>
      <c r="D169">
        <v>2016</v>
      </c>
      <c r="E169">
        <v>1649.2838085860101</v>
      </c>
      <c r="F169">
        <v>7.1134782127009304</v>
      </c>
      <c r="G169">
        <v>5.5135257269299496</v>
      </c>
      <c r="H169">
        <v>5</v>
      </c>
      <c r="I169">
        <v>5.0722383427610396</v>
      </c>
      <c r="J169">
        <v>4.3499999999999996</v>
      </c>
      <c r="K169">
        <v>7.8627681354621499</v>
      </c>
      <c r="L169">
        <v>8.5227961118614708</v>
      </c>
      <c r="M169">
        <v>27.850737724833898</v>
      </c>
      <c r="N169">
        <v>55.371876831860803</v>
      </c>
      <c r="O169">
        <v>30.239763917998498</v>
      </c>
      <c r="P169">
        <v>7.6038770209913604</v>
      </c>
      <c r="Q169">
        <v>37.280299201620998</v>
      </c>
      <c r="R169">
        <v>13.9212044814459</v>
      </c>
      <c r="S169">
        <v>-3.1629145583436098</v>
      </c>
      <c r="T169">
        <v>27.719822735838701</v>
      </c>
      <c r="U169">
        <v>-0.75463269390810095</v>
      </c>
      <c r="V169">
        <v>26.578232906939899</v>
      </c>
    </row>
    <row r="170" spans="1:22" x14ac:dyDescent="0.25">
      <c r="A170" t="str">
        <f t="shared" si="2"/>
        <v>Bangladesh2017</v>
      </c>
      <c r="B170" t="s">
        <v>39</v>
      </c>
      <c r="C170" t="s">
        <v>40</v>
      </c>
      <c r="D170">
        <v>2017</v>
      </c>
      <c r="E170">
        <v>1811.08221668646</v>
      </c>
      <c r="F170">
        <v>6.5902499979405702</v>
      </c>
      <c r="G170">
        <v>5.70207015717238</v>
      </c>
      <c r="H170">
        <v>5</v>
      </c>
      <c r="I170">
        <v>5.2588890506748696</v>
      </c>
      <c r="J170">
        <v>4.3719999999999999</v>
      </c>
      <c r="K170">
        <v>7.6398743677255698</v>
      </c>
      <c r="L170">
        <v>8.0712626971168007</v>
      </c>
      <c r="M170">
        <v>5.0475975820371399</v>
      </c>
      <c r="N170">
        <v>54.6436395397794</v>
      </c>
      <c r="O170">
        <v>30.946873115567499</v>
      </c>
      <c r="P170">
        <v>6.7688649911667502</v>
      </c>
      <c r="Q170">
        <v>35.285203146604402</v>
      </c>
      <c r="R170">
        <v>12.8197468906003</v>
      </c>
      <c r="S170">
        <v>-4.1669709511573503</v>
      </c>
      <c r="T170">
        <v>28.306011954016999</v>
      </c>
      <c r="U170">
        <v>-0.84245713106807496</v>
      </c>
      <c r="V170">
        <v>24.895004650929899</v>
      </c>
    </row>
    <row r="171" spans="1:22" x14ac:dyDescent="0.25">
      <c r="A171" t="str">
        <f t="shared" si="2"/>
        <v>Bangladesh2018</v>
      </c>
      <c r="B171" t="s">
        <v>39</v>
      </c>
      <c r="C171" t="s">
        <v>40</v>
      </c>
      <c r="D171">
        <v>2018</v>
      </c>
      <c r="E171">
        <v>1965.24372731467</v>
      </c>
      <c r="F171">
        <v>7.3194126301413602</v>
      </c>
      <c r="G171">
        <v>5.5436213948647604</v>
      </c>
      <c r="H171">
        <v>5</v>
      </c>
      <c r="I171">
        <v>5.4581440230554303</v>
      </c>
      <c r="J171">
        <v>4.4390000000000001</v>
      </c>
      <c r="K171">
        <v>7.4941450180451001</v>
      </c>
      <c r="L171">
        <v>8.7048053572530808</v>
      </c>
      <c r="M171">
        <v>5.8055387670457499</v>
      </c>
      <c r="N171">
        <v>54.327375172101398</v>
      </c>
      <c r="O171">
        <v>31.822574770443101</v>
      </c>
      <c r="P171">
        <v>5.6762690960711</v>
      </c>
      <c r="Q171">
        <v>35.459039501377603</v>
      </c>
      <c r="R171">
        <v>12.6747879443391</v>
      </c>
      <c r="S171">
        <v>-4.0685001942115999</v>
      </c>
      <c r="T171">
        <v>29.552905316713499</v>
      </c>
      <c r="U171">
        <v>-0.83783598003646997</v>
      </c>
      <c r="V171">
        <v>24.983572847245501</v>
      </c>
    </row>
    <row r="172" spans="1:22" x14ac:dyDescent="0.25">
      <c r="A172" t="str">
        <f t="shared" si="2"/>
        <v>Bangladesh2019</v>
      </c>
      <c r="B172" t="s">
        <v>39</v>
      </c>
      <c r="C172" t="s">
        <v>40</v>
      </c>
      <c r="D172">
        <v>2019</v>
      </c>
      <c r="E172">
        <v>2129.7989695460601</v>
      </c>
      <c r="F172">
        <v>7.8819151511772203</v>
      </c>
      <c r="G172">
        <v>5.5919963993062902</v>
      </c>
      <c r="H172">
        <v>5</v>
      </c>
      <c r="I172">
        <v>5.6625583705304603</v>
      </c>
      <c r="J172">
        <v>4.5039999999999996</v>
      </c>
      <c r="K172">
        <v>8.2723158768711507</v>
      </c>
      <c r="L172">
        <v>8.8557803946224691</v>
      </c>
      <c r="M172">
        <v>3.6581375516217198</v>
      </c>
      <c r="N172">
        <v>54.175187934399098</v>
      </c>
      <c r="O172">
        <v>32.213733112626599</v>
      </c>
      <c r="P172">
        <v>5.8593345046004703</v>
      </c>
      <c r="Q172">
        <v>36.353602415486598</v>
      </c>
      <c r="R172">
        <v>13.0947573353039</v>
      </c>
      <c r="S172">
        <v>-5.4081849180006998</v>
      </c>
      <c r="T172">
        <v>31.951371367456201</v>
      </c>
      <c r="U172">
        <v>-0.87708269612088696</v>
      </c>
      <c r="V172">
        <v>24.2313769481866</v>
      </c>
    </row>
    <row r="173" spans="1:22" x14ac:dyDescent="0.25">
      <c r="A173" t="str">
        <f t="shared" si="2"/>
        <v>Bangladesh2020</v>
      </c>
      <c r="B173" t="s">
        <v>39</v>
      </c>
      <c r="C173" t="s">
        <v>40</v>
      </c>
      <c r="D173">
        <v>2020</v>
      </c>
      <c r="E173">
        <v>2248.8507882823301</v>
      </c>
      <c r="F173">
        <v>3.4480175512244502</v>
      </c>
      <c r="G173">
        <v>5.6910747474621104</v>
      </c>
      <c r="H173">
        <v>5</v>
      </c>
      <c r="I173">
        <v>5.8351357800860004</v>
      </c>
      <c r="J173">
        <v>5.5389999999999997</v>
      </c>
      <c r="K173">
        <v>8.1483202455762491</v>
      </c>
      <c r="L173">
        <v>8.6408980954050492</v>
      </c>
      <c r="M173">
        <v>3.8410633858802599</v>
      </c>
      <c r="N173">
        <v>54.0679893713504</v>
      </c>
      <c r="O173">
        <v>31.3079413414304</v>
      </c>
      <c r="P173">
        <v>8.6581372462627098</v>
      </c>
      <c r="Q173">
        <v>37.188866213706703</v>
      </c>
      <c r="R173">
        <v>10.4427880616037</v>
      </c>
      <c r="S173">
        <v>-4.8404477972273803</v>
      </c>
      <c r="T173">
        <v>34.509394179119802</v>
      </c>
      <c r="U173">
        <v>-0.89143835445573905</v>
      </c>
      <c r="V173">
        <v>23.956238837152299</v>
      </c>
    </row>
    <row r="174" spans="1:22" x14ac:dyDescent="0.25">
      <c r="A174" t="str">
        <f t="shared" si="2"/>
        <v>Bangladesh2021</v>
      </c>
      <c r="B174" t="s">
        <v>39</v>
      </c>
      <c r="C174" t="s">
        <v>40</v>
      </c>
      <c r="D174">
        <v>2021</v>
      </c>
      <c r="E174">
        <v>2482.8491784335702</v>
      </c>
      <c r="F174">
        <v>6.9386791244244499</v>
      </c>
      <c r="G174">
        <v>5.54565430773473</v>
      </c>
      <c r="H174">
        <v>5</v>
      </c>
      <c r="I174">
        <v>5.9738133305688299</v>
      </c>
      <c r="J174">
        <v>5.4569999999999999</v>
      </c>
      <c r="K174">
        <v>8.3242513417428992</v>
      </c>
      <c r="L174">
        <v>9.5388133523403393</v>
      </c>
      <c r="M174">
        <v>4.1211747067957001</v>
      </c>
      <c r="N174">
        <v>53.960592136888799</v>
      </c>
      <c r="O174">
        <v>31.0187387357172</v>
      </c>
      <c r="P174">
        <v>6.2902398572313398</v>
      </c>
      <c r="Q174">
        <v>36.0511742335459</v>
      </c>
      <c r="R174">
        <v>10.6627789004134</v>
      </c>
      <c r="S174">
        <v>-3.55529087533905</v>
      </c>
      <c r="T174">
        <v>35.614437739745902</v>
      </c>
      <c r="U174">
        <v>-0.80896032430928</v>
      </c>
      <c r="V174">
        <v>25.536998763796301</v>
      </c>
    </row>
    <row r="175" spans="1:22" x14ac:dyDescent="0.25">
      <c r="A175" t="str">
        <f t="shared" si="2"/>
        <v>Bangladesh2022</v>
      </c>
      <c r="B175" t="s">
        <v>39</v>
      </c>
      <c r="C175" t="s">
        <v>40</v>
      </c>
      <c r="D175">
        <v>2022</v>
      </c>
      <c r="E175">
        <v>2716.48592780431</v>
      </c>
      <c r="F175">
        <v>7.0998287757515799</v>
      </c>
      <c r="G175">
        <v>7.6969543717689799</v>
      </c>
      <c r="H175">
        <v>5</v>
      </c>
      <c r="I175">
        <v>6.1351576518207596</v>
      </c>
      <c r="J175">
        <v>4.593</v>
      </c>
      <c r="K175">
        <v>8.6650681060425701</v>
      </c>
      <c r="L175">
        <v>9.6413213494017</v>
      </c>
      <c r="M175">
        <v>5.0490218788313097</v>
      </c>
      <c r="N175">
        <v>53.622213772146303</v>
      </c>
      <c r="O175">
        <v>32.047275580905001</v>
      </c>
      <c r="P175">
        <v>4.1890797649371496</v>
      </c>
      <c r="Q175">
        <v>33.949464413112104</v>
      </c>
      <c r="R175">
        <v>12.882226434898501</v>
      </c>
      <c r="S175">
        <v>-4.5276646640731899</v>
      </c>
      <c r="T175">
        <v>37.862604160620997</v>
      </c>
      <c r="U175">
        <v>-0.86564197121744602</v>
      </c>
      <c r="V175">
        <v>24.450647939831299</v>
      </c>
    </row>
    <row r="176" spans="1:22" x14ac:dyDescent="0.25">
      <c r="A176" t="str">
        <f t="shared" si="2"/>
        <v>Bangladesh2023</v>
      </c>
      <c r="B176" t="s">
        <v>39</v>
      </c>
      <c r="C176" t="s">
        <v>40</v>
      </c>
      <c r="D176">
        <v>2023</v>
      </c>
      <c r="E176">
        <v>2551.0177382730699</v>
      </c>
      <c r="F176">
        <v>5.7751123700788902</v>
      </c>
      <c r="G176">
        <v>9.8835030377920994</v>
      </c>
      <c r="H176">
        <v>5</v>
      </c>
      <c r="I176">
        <v>6.3205480541764896</v>
      </c>
      <c r="J176">
        <v>3.3519999999999999</v>
      </c>
      <c r="K176">
        <v>8.6650681060425701</v>
      </c>
      <c r="L176">
        <v>9.6413213494017</v>
      </c>
      <c r="M176">
        <v>6.8971240400344103</v>
      </c>
      <c r="N176">
        <v>53.0958193080833</v>
      </c>
      <c r="O176">
        <v>30.951200083494399</v>
      </c>
      <c r="P176">
        <v>3.35581218289289</v>
      </c>
      <c r="Q176">
        <v>34.881245825104799</v>
      </c>
      <c r="R176">
        <v>13.1571638341204</v>
      </c>
      <c r="S176">
        <v>-4.3877632115155603</v>
      </c>
      <c r="T176">
        <v>39.7264460843367</v>
      </c>
      <c r="U176">
        <v>-0.83401700213947005</v>
      </c>
      <c r="V176">
        <v>25.0567667294175</v>
      </c>
    </row>
    <row r="177" spans="1:22" x14ac:dyDescent="0.25">
      <c r="A177" t="str">
        <f t="shared" si="2"/>
        <v>Bangladesh2024</v>
      </c>
      <c r="B177" t="s">
        <v>39</v>
      </c>
      <c r="C177" t="s">
        <v>40</v>
      </c>
      <c r="D177">
        <v>2024</v>
      </c>
      <c r="E177">
        <v>2593.4161168077399</v>
      </c>
      <c r="F177">
        <v>4.2232591125016103</v>
      </c>
      <c r="G177">
        <v>10.4657482763412</v>
      </c>
      <c r="H177">
        <v>5</v>
      </c>
      <c r="I177">
        <v>6.4984629962749301</v>
      </c>
      <c r="J177">
        <v>3.6349999999999998</v>
      </c>
      <c r="K177">
        <v>8.6650681060425701</v>
      </c>
      <c r="L177">
        <v>9.6413213494017</v>
      </c>
      <c r="M177">
        <v>6.8828546060580198</v>
      </c>
      <c r="N177">
        <v>52.642378061983202</v>
      </c>
      <c r="O177">
        <v>30.700490024524399</v>
      </c>
      <c r="P177">
        <v>3.0737434896556701</v>
      </c>
      <c r="Q177">
        <v>34.381563859809901</v>
      </c>
      <c r="R177">
        <v>10.4611878291715</v>
      </c>
      <c r="S177">
        <v>-3.6950169067269201</v>
      </c>
      <c r="T177">
        <v>40.971764493175797</v>
      </c>
      <c r="U177">
        <v>-0.83670079246126805</v>
      </c>
      <c r="V177">
        <v>25.005329659634398</v>
      </c>
    </row>
    <row r="178" spans="1:22" x14ac:dyDescent="0.25">
      <c r="A178" t="str">
        <f t="shared" si="2"/>
        <v>Bangladesh2025</v>
      </c>
      <c r="B178" t="s">
        <v>39</v>
      </c>
      <c r="C178" t="s">
        <v>40</v>
      </c>
      <c r="D178">
        <v>2025</v>
      </c>
      <c r="E178">
        <v>1811.08221668646</v>
      </c>
      <c r="F178">
        <v>6.5214587790644298</v>
      </c>
      <c r="G178">
        <v>6.2175042206928302</v>
      </c>
      <c r="H178">
        <v>5</v>
      </c>
      <c r="I178">
        <v>5.2588890506748696</v>
      </c>
      <c r="J178">
        <v>3.778</v>
      </c>
      <c r="K178">
        <v>8.6650681060425701</v>
      </c>
      <c r="L178">
        <v>9.6413213494017</v>
      </c>
      <c r="M178">
        <v>5.8727770410232303</v>
      </c>
      <c r="N178">
        <v>54.6436395397794</v>
      </c>
      <c r="O178">
        <v>30.700490024524399</v>
      </c>
      <c r="P178">
        <v>5.5816852646251203</v>
      </c>
      <c r="Q178">
        <v>36.730955982400502</v>
      </c>
      <c r="R178">
        <v>13.1571638341204</v>
      </c>
      <c r="S178">
        <v>-2.9332408248577302</v>
      </c>
      <c r="T178">
        <v>42.032810502381203</v>
      </c>
      <c r="U178">
        <v>-0.77853886721180898</v>
      </c>
      <c r="V178">
        <v>26.120051247038401</v>
      </c>
    </row>
    <row r="179" spans="1:22" x14ac:dyDescent="0.25">
      <c r="A179" t="str">
        <f t="shared" si="2"/>
        <v>Belarus2010</v>
      </c>
      <c r="B179" t="s">
        <v>41</v>
      </c>
      <c r="C179" t="s">
        <v>42</v>
      </c>
      <c r="D179">
        <v>2010</v>
      </c>
      <c r="E179">
        <v>6034.6788517721598</v>
      </c>
      <c r="F179">
        <v>7.7500170750089596</v>
      </c>
      <c r="G179">
        <v>7.7357480431249996</v>
      </c>
      <c r="H179">
        <v>9</v>
      </c>
      <c r="I179">
        <v>13.945486824726199</v>
      </c>
      <c r="J179">
        <v>6.0519999999999996</v>
      </c>
      <c r="K179">
        <v>30.207480427019402</v>
      </c>
      <c r="L179">
        <v>30.3154229945244</v>
      </c>
      <c r="M179">
        <v>11.3403098732787</v>
      </c>
      <c r="N179">
        <v>40.436818775619699</v>
      </c>
      <c r="O179">
        <v>40.656366262323601</v>
      </c>
      <c r="P179">
        <v>1.57038066904242</v>
      </c>
      <c r="Q179">
        <v>26.855278458200999</v>
      </c>
      <c r="R179">
        <v>51.372885352956402</v>
      </c>
      <c r="S179">
        <v>-4.1866280479159999</v>
      </c>
      <c r="T179">
        <v>36.805212541166597</v>
      </c>
      <c r="U179">
        <v>8.2007288180346194E-2</v>
      </c>
      <c r="V179">
        <v>42.613132799253002</v>
      </c>
    </row>
    <row r="180" spans="1:22" x14ac:dyDescent="0.25">
      <c r="A180" t="str">
        <f t="shared" si="2"/>
        <v>Belarus2011</v>
      </c>
      <c r="B180" t="s">
        <v>41</v>
      </c>
      <c r="C180" t="s">
        <v>42</v>
      </c>
      <c r="D180">
        <v>2011</v>
      </c>
      <c r="E180">
        <v>6527.6593428786</v>
      </c>
      <c r="F180">
        <v>5.5499747163807696</v>
      </c>
      <c r="G180">
        <v>53.228698311817404</v>
      </c>
      <c r="H180">
        <v>9</v>
      </c>
      <c r="I180">
        <v>13.7427575035088</v>
      </c>
      <c r="J180">
        <v>6.024</v>
      </c>
      <c r="K180">
        <v>25.4492994190304</v>
      </c>
      <c r="L180">
        <v>28.063369623590301</v>
      </c>
      <c r="M180">
        <v>70.761290978030004</v>
      </c>
      <c r="N180">
        <v>40.346768387054901</v>
      </c>
      <c r="O180">
        <v>37.217595078845903</v>
      </c>
      <c r="P180">
        <v>1.8942922111742</v>
      </c>
      <c r="Q180">
        <v>32.722105620595897</v>
      </c>
      <c r="R180">
        <v>78.465361519308701</v>
      </c>
      <c r="S180">
        <v>-2.8059200448827402</v>
      </c>
      <c r="T180">
        <v>58.223333496069898</v>
      </c>
      <c r="U180">
        <v>0.19884515787146601</v>
      </c>
      <c r="V180">
        <v>44.852427578653298</v>
      </c>
    </row>
    <row r="181" spans="1:22" x14ac:dyDescent="0.25">
      <c r="A181" t="str">
        <f t="shared" si="2"/>
        <v>Belarus2012</v>
      </c>
      <c r="B181" t="s">
        <v>41</v>
      </c>
      <c r="C181" t="s">
        <v>42</v>
      </c>
      <c r="D181">
        <v>2012</v>
      </c>
      <c r="E181">
        <v>6953.21591683101</v>
      </c>
      <c r="F181">
        <v>1.7078525336882799</v>
      </c>
      <c r="G181">
        <v>59.219736023251798</v>
      </c>
      <c r="H181">
        <v>9</v>
      </c>
      <c r="I181">
        <v>13.739775854078699</v>
      </c>
      <c r="J181">
        <v>5.9619999999999997</v>
      </c>
      <c r="K181">
        <v>27.622422763951501</v>
      </c>
      <c r="L181">
        <v>29.039563621781401</v>
      </c>
      <c r="M181">
        <v>75.241666711634707</v>
      </c>
      <c r="N181">
        <v>40.863122566315099</v>
      </c>
      <c r="O181">
        <v>35.0942730563184</v>
      </c>
      <c r="P181">
        <v>1.8883422524048501</v>
      </c>
      <c r="Q181">
        <v>31.236503616489401</v>
      </c>
      <c r="R181">
        <v>78.776907278393793</v>
      </c>
      <c r="S181">
        <v>0.35982481079192802</v>
      </c>
      <c r="T181">
        <v>36.946222305236397</v>
      </c>
      <c r="U181">
        <v>0.38992366837520498</v>
      </c>
      <c r="V181">
        <v>48.514605878872104</v>
      </c>
    </row>
    <row r="182" spans="1:22" x14ac:dyDescent="0.25">
      <c r="A182" t="str">
        <f t="shared" si="2"/>
        <v>Belarus2013</v>
      </c>
      <c r="B182" t="s">
        <v>41</v>
      </c>
      <c r="C182" t="s">
        <v>42</v>
      </c>
      <c r="D182">
        <v>2013</v>
      </c>
      <c r="E182">
        <v>7998.0802045456003</v>
      </c>
      <c r="F182">
        <v>0.99871929966116102</v>
      </c>
      <c r="G182">
        <v>18.312261037787302</v>
      </c>
      <c r="H182">
        <v>9</v>
      </c>
      <c r="I182">
        <v>13.8439326604506</v>
      </c>
      <c r="J182">
        <v>5.9420000000000002</v>
      </c>
      <c r="K182">
        <v>28.2546964798114</v>
      </c>
      <c r="L182">
        <v>28.722010873900501</v>
      </c>
      <c r="M182">
        <v>21.2630002283286</v>
      </c>
      <c r="N182">
        <v>41.690282436454197</v>
      </c>
      <c r="O182">
        <v>38.798026207397299</v>
      </c>
      <c r="P182">
        <v>1.5992382051071901</v>
      </c>
      <c r="Q182">
        <v>28.437109465869799</v>
      </c>
      <c r="R182">
        <v>58.333578106676903</v>
      </c>
      <c r="S182">
        <v>-0.98195904059559602</v>
      </c>
      <c r="T182">
        <v>36.859472648840701</v>
      </c>
      <c r="U182">
        <v>0.18359778910107599</v>
      </c>
      <c r="V182">
        <v>44.5601990967631</v>
      </c>
    </row>
    <row r="183" spans="1:22" x14ac:dyDescent="0.25">
      <c r="A183" t="str">
        <f t="shared" si="2"/>
        <v>Belarus2014</v>
      </c>
      <c r="B183" t="s">
        <v>41</v>
      </c>
      <c r="C183" t="s">
        <v>42</v>
      </c>
      <c r="D183">
        <v>2014</v>
      </c>
      <c r="E183">
        <v>8341.3180929488299</v>
      </c>
      <c r="F183">
        <v>1.6511247022809701</v>
      </c>
      <c r="G183">
        <v>18.119554352673401</v>
      </c>
      <c r="H183">
        <v>9</v>
      </c>
      <c r="I183">
        <v>14.0572639870913</v>
      </c>
      <c r="J183">
        <v>5.9080000000000004</v>
      </c>
      <c r="K183">
        <v>27.410400205908999</v>
      </c>
      <c r="L183">
        <v>27.921886398325501</v>
      </c>
      <c r="M183">
        <v>18.192598457264399</v>
      </c>
      <c r="N183">
        <v>42.717564073264697</v>
      </c>
      <c r="O183">
        <v>34.841032935642097</v>
      </c>
      <c r="P183">
        <v>1.29095951453516</v>
      </c>
      <c r="Q183">
        <v>27.469295707196199</v>
      </c>
      <c r="R183">
        <v>54.941004057247</v>
      </c>
      <c r="S183">
        <v>9.21104054926285E-2</v>
      </c>
      <c r="T183">
        <v>38.790604875819497</v>
      </c>
      <c r="U183">
        <v>0.23044795413374899</v>
      </c>
      <c r="V183">
        <v>45.458121407817401</v>
      </c>
    </row>
    <row r="184" spans="1:22" x14ac:dyDescent="0.25">
      <c r="A184" t="str">
        <f t="shared" si="2"/>
        <v>Belarus2015</v>
      </c>
      <c r="B184" t="s">
        <v>41</v>
      </c>
      <c r="C184" t="s">
        <v>42</v>
      </c>
      <c r="D184">
        <v>2015</v>
      </c>
      <c r="E184">
        <v>5967.05595058777</v>
      </c>
      <c r="F184">
        <v>-3.8295705681259302</v>
      </c>
      <c r="G184">
        <v>13.534489764973401</v>
      </c>
      <c r="H184">
        <v>9</v>
      </c>
      <c r="I184">
        <v>14.3137668458221</v>
      </c>
      <c r="J184">
        <v>5.8810000000000002</v>
      </c>
      <c r="K184">
        <v>28.110499205425999</v>
      </c>
      <c r="L184">
        <v>29.676885091704701</v>
      </c>
      <c r="M184">
        <v>16.022493789733499</v>
      </c>
      <c r="N184">
        <v>43.849104534639402</v>
      </c>
      <c r="O184">
        <v>29.034695991460801</v>
      </c>
      <c r="P184">
        <v>1.3998486785259401</v>
      </c>
      <c r="Q184">
        <v>28.908477424098699</v>
      </c>
      <c r="R184">
        <v>58.010766567074299</v>
      </c>
      <c r="S184">
        <v>-2.9636391289039499</v>
      </c>
      <c r="T184">
        <v>53.006888477235201</v>
      </c>
      <c r="U184">
        <v>9.6817132176822807E-2</v>
      </c>
      <c r="V184">
        <v>42.896975755588301</v>
      </c>
    </row>
    <row r="185" spans="1:22" x14ac:dyDescent="0.25">
      <c r="A185" t="str">
        <f t="shared" si="2"/>
        <v>Belarus2016</v>
      </c>
      <c r="B185" t="s">
        <v>41</v>
      </c>
      <c r="C185" t="s">
        <v>42</v>
      </c>
      <c r="D185">
        <v>2016</v>
      </c>
      <c r="E185">
        <v>5039.7756094944498</v>
      </c>
      <c r="F185">
        <v>-2.5264464460424998</v>
      </c>
      <c r="G185">
        <v>11.8365807653496</v>
      </c>
      <c r="H185">
        <v>9</v>
      </c>
      <c r="I185">
        <v>14.5402754703135</v>
      </c>
      <c r="J185">
        <v>5.8440000000000003</v>
      </c>
      <c r="K185">
        <v>29.4170537971155</v>
      </c>
      <c r="L185">
        <v>28.942647958914801</v>
      </c>
      <c r="M185">
        <v>8.3419170619131204</v>
      </c>
      <c r="N185">
        <v>44.944762015553103</v>
      </c>
      <c r="O185">
        <v>26.4775827022928</v>
      </c>
      <c r="P185">
        <v>1.79421367518525</v>
      </c>
      <c r="Q185">
        <v>26.4034552557689</v>
      </c>
      <c r="R185">
        <v>62.509347123192398</v>
      </c>
      <c r="S185">
        <v>-1.6590826831500001</v>
      </c>
      <c r="T185">
        <v>53.4816301202261</v>
      </c>
      <c r="U185">
        <v>0.18350644667474</v>
      </c>
      <c r="V185">
        <v>44.558448443323698</v>
      </c>
    </row>
    <row r="186" spans="1:22" x14ac:dyDescent="0.25">
      <c r="A186" t="str">
        <f t="shared" si="2"/>
        <v>Belarus2017</v>
      </c>
      <c r="B186" t="s">
        <v>41</v>
      </c>
      <c r="C186" t="s">
        <v>42</v>
      </c>
      <c r="D186">
        <v>2017</v>
      </c>
      <c r="E186">
        <v>5785.5449193519398</v>
      </c>
      <c r="F186">
        <v>2.53218349471909</v>
      </c>
      <c r="G186">
        <v>6.0318372517778496</v>
      </c>
      <c r="H186">
        <v>9</v>
      </c>
      <c r="I186">
        <v>14.797647947019</v>
      </c>
      <c r="J186">
        <v>5.6479999999999997</v>
      </c>
      <c r="K186">
        <v>29.321605400753899</v>
      </c>
      <c r="L186">
        <v>29.4671842726401</v>
      </c>
      <c r="M186">
        <v>8.6231474101087695</v>
      </c>
      <c r="N186">
        <v>46.009658969262297</v>
      </c>
      <c r="O186">
        <v>28.0303589091824</v>
      </c>
      <c r="P186">
        <v>2.22678705426343</v>
      </c>
      <c r="Q186">
        <v>28.017036942472799</v>
      </c>
      <c r="R186">
        <v>66.789600201232702</v>
      </c>
      <c r="S186">
        <v>-0.33652454450950398</v>
      </c>
      <c r="T186">
        <v>53.159845614364997</v>
      </c>
      <c r="U186">
        <v>0.331400677287434</v>
      </c>
      <c r="V186">
        <v>47.392964164895403</v>
      </c>
    </row>
    <row r="187" spans="1:22" x14ac:dyDescent="0.25">
      <c r="A187" t="str">
        <f t="shared" si="2"/>
        <v>Belarus2018</v>
      </c>
      <c r="B187" t="s">
        <v>41</v>
      </c>
      <c r="C187" t="s">
        <v>42</v>
      </c>
      <c r="D187">
        <v>2018</v>
      </c>
      <c r="E187">
        <v>6360.0375023119996</v>
      </c>
      <c r="F187">
        <v>3.1491975827529601</v>
      </c>
      <c r="G187">
        <v>4.8723022055068901</v>
      </c>
      <c r="H187">
        <v>9</v>
      </c>
      <c r="I187">
        <v>15.051153313739199</v>
      </c>
      <c r="J187">
        <v>4.7629999999999999</v>
      </c>
      <c r="K187">
        <v>28.163780518755399</v>
      </c>
      <c r="L187">
        <v>30.847317668781098</v>
      </c>
      <c r="M187">
        <v>12.1392299880648</v>
      </c>
      <c r="N187">
        <v>46.8866982731588</v>
      </c>
      <c r="O187">
        <v>28.078878545320201</v>
      </c>
      <c r="P187">
        <v>1.92285617061419</v>
      </c>
      <c r="Q187">
        <v>29.1584729857905</v>
      </c>
      <c r="R187">
        <v>70.455045262537396</v>
      </c>
      <c r="S187">
        <v>1.8047983766729301</v>
      </c>
      <c r="T187">
        <v>47.515236057642298</v>
      </c>
      <c r="U187">
        <v>0.50144519033183999</v>
      </c>
      <c r="V187">
        <v>50.652008439946499</v>
      </c>
    </row>
    <row r="188" spans="1:22" x14ac:dyDescent="0.25">
      <c r="A188" t="str">
        <f t="shared" si="2"/>
        <v>Belarus2019</v>
      </c>
      <c r="B188" t="s">
        <v>41</v>
      </c>
      <c r="C188" t="s">
        <v>42</v>
      </c>
      <c r="D188">
        <v>2019</v>
      </c>
      <c r="E188">
        <v>6837.7733964563504</v>
      </c>
      <c r="F188">
        <v>1.44645548204305</v>
      </c>
      <c r="G188">
        <v>5.5981559503985299</v>
      </c>
      <c r="H188">
        <v>9</v>
      </c>
      <c r="I188">
        <v>15.371945041765199</v>
      </c>
      <c r="J188">
        <v>4.165</v>
      </c>
      <c r="K188">
        <v>28.588347999214701</v>
      </c>
      <c r="L188">
        <v>29.601106025230798</v>
      </c>
      <c r="M188">
        <v>8.5769890910505406</v>
      </c>
      <c r="N188">
        <v>47.809553638201201</v>
      </c>
      <c r="O188">
        <v>29.149994693172602</v>
      </c>
      <c r="P188">
        <v>2.4819796781178098</v>
      </c>
      <c r="Q188">
        <v>27.822376906394201</v>
      </c>
      <c r="R188">
        <v>65.0945839929757</v>
      </c>
      <c r="S188">
        <v>0.90955169427909099</v>
      </c>
      <c r="T188">
        <v>40.999215086827803</v>
      </c>
      <c r="U188">
        <v>0.42171824162065702</v>
      </c>
      <c r="V188">
        <v>49.1239752731449</v>
      </c>
    </row>
    <row r="189" spans="1:22" x14ac:dyDescent="0.25">
      <c r="A189" t="str">
        <f t="shared" si="2"/>
        <v>Belarus2020</v>
      </c>
      <c r="B189" t="s">
        <v>41</v>
      </c>
      <c r="C189" t="s">
        <v>42</v>
      </c>
      <c r="D189">
        <v>2020</v>
      </c>
      <c r="E189">
        <v>6542.8557997676799</v>
      </c>
      <c r="F189">
        <v>-0.67274291858586799</v>
      </c>
      <c r="G189">
        <v>5.5481435745651</v>
      </c>
      <c r="H189">
        <v>9</v>
      </c>
      <c r="I189">
        <v>15.733785808149401</v>
      </c>
      <c r="J189">
        <v>4.0490000000000004</v>
      </c>
      <c r="K189">
        <v>29.9281796626654</v>
      </c>
      <c r="L189">
        <v>28.103158468983601</v>
      </c>
      <c r="M189">
        <v>11.8774650462643</v>
      </c>
      <c r="N189">
        <v>48.766539854966197</v>
      </c>
      <c r="O189">
        <v>27.454835934619599</v>
      </c>
      <c r="P189">
        <v>2.31622619322733</v>
      </c>
      <c r="Q189">
        <v>27.469496233990199</v>
      </c>
      <c r="R189">
        <v>61.0120971835577</v>
      </c>
      <c r="S189">
        <v>-2.8703456084841199</v>
      </c>
      <c r="T189">
        <v>47.493316813695799</v>
      </c>
      <c r="U189">
        <v>0.201307090286342</v>
      </c>
      <c r="V189">
        <v>44.899612557448698</v>
      </c>
    </row>
    <row r="190" spans="1:22" x14ac:dyDescent="0.25">
      <c r="A190" t="str">
        <f t="shared" si="2"/>
        <v>Belarus2021</v>
      </c>
      <c r="B190" t="s">
        <v>41</v>
      </c>
      <c r="C190" t="s">
        <v>42</v>
      </c>
      <c r="D190">
        <v>2021</v>
      </c>
      <c r="E190">
        <v>7489.7189471388801</v>
      </c>
      <c r="F190">
        <v>2.4388621023494701</v>
      </c>
      <c r="G190">
        <v>9.4602838962310507</v>
      </c>
      <c r="H190">
        <v>9</v>
      </c>
      <c r="I190">
        <v>16.069769163793701</v>
      </c>
      <c r="J190">
        <v>3.9</v>
      </c>
      <c r="K190">
        <v>27.874772301969099</v>
      </c>
      <c r="L190">
        <v>27.246707352698699</v>
      </c>
      <c r="M190">
        <v>15.326573719390799</v>
      </c>
      <c r="N190">
        <v>49.572614529530298</v>
      </c>
      <c r="O190">
        <v>24.380734852639399</v>
      </c>
      <c r="P190">
        <v>2.0653150929018298</v>
      </c>
      <c r="Q190">
        <v>29.622888362768599</v>
      </c>
      <c r="R190">
        <v>70.831755041582099</v>
      </c>
      <c r="S190">
        <v>-0.222817167408591</v>
      </c>
      <c r="T190">
        <v>41.182010432374</v>
      </c>
      <c r="U190">
        <v>0.44070441539696598</v>
      </c>
      <c r="V190">
        <v>49.487861057184602</v>
      </c>
    </row>
    <row r="191" spans="1:22" x14ac:dyDescent="0.25">
      <c r="A191" t="str">
        <f t="shared" si="2"/>
        <v>Belarus2022</v>
      </c>
      <c r="B191" t="s">
        <v>41</v>
      </c>
      <c r="C191" t="s">
        <v>42</v>
      </c>
      <c r="D191">
        <v>2022</v>
      </c>
      <c r="E191">
        <v>7994.6480607488902</v>
      </c>
      <c r="F191">
        <v>-4.6583959132899899</v>
      </c>
      <c r="G191">
        <v>15.209675274080899</v>
      </c>
      <c r="H191">
        <v>11</v>
      </c>
      <c r="I191">
        <v>16.5067849004664</v>
      </c>
      <c r="J191">
        <v>3.5739999999999998</v>
      </c>
      <c r="K191">
        <v>28.268998407889899</v>
      </c>
      <c r="L191">
        <v>26.0725715874079</v>
      </c>
      <c r="M191">
        <v>14.884862363536699</v>
      </c>
      <c r="N191">
        <v>50.300533605136103</v>
      </c>
      <c r="O191">
        <v>21.5979064833979</v>
      </c>
      <c r="P191">
        <v>2.0288746493231602</v>
      </c>
      <c r="Q191">
        <v>26.3682247939436</v>
      </c>
      <c r="R191">
        <v>63.051186893842797</v>
      </c>
      <c r="S191">
        <v>-1.97602429620596</v>
      </c>
      <c r="T191">
        <v>40.844247871408697</v>
      </c>
      <c r="U191">
        <v>0.36340522357013899</v>
      </c>
      <c r="V191">
        <v>48.0063578667611</v>
      </c>
    </row>
    <row r="192" spans="1:22" x14ac:dyDescent="0.25">
      <c r="A192" t="str">
        <f t="shared" si="2"/>
        <v>Belarus2023</v>
      </c>
      <c r="B192" t="s">
        <v>41</v>
      </c>
      <c r="C192" t="s">
        <v>42</v>
      </c>
      <c r="D192">
        <v>2023</v>
      </c>
      <c r="E192">
        <v>7896.7538829558398</v>
      </c>
      <c r="F192">
        <v>4.1265400715388099</v>
      </c>
      <c r="G192">
        <v>5.0005990309131203</v>
      </c>
      <c r="H192">
        <v>11</v>
      </c>
      <c r="I192">
        <v>17.061974531795801</v>
      </c>
      <c r="J192">
        <v>3.4609999999999999</v>
      </c>
      <c r="K192">
        <v>28.4675083787373</v>
      </c>
      <c r="L192">
        <v>27.924460396166399</v>
      </c>
      <c r="M192">
        <v>8.0467621512889593</v>
      </c>
      <c r="N192">
        <v>50.914368659763397</v>
      </c>
      <c r="O192">
        <v>24.7116791837371</v>
      </c>
      <c r="P192">
        <v>1.88919232235998</v>
      </c>
      <c r="Q192">
        <v>26.480345679575301</v>
      </c>
      <c r="R192">
        <v>66.026728571494104</v>
      </c>
      <c r="S192">
        <v>0.75829224340452095</v>
      </c>
      <c r="T192">
        <v>40.724372928594903</v>
      </c>
      <c r="U192">
        <v>0.59462492650113496</v>
      </c>
      <c r="V192">
        <v>52.437875447804601</v>
      </c>
    </row>
    <row r="193" spans="1:22" x14ac:dyDescent="0.25">
      <c r="A193" t="str">
        <f t="shared" si="2"/>
        <v>Belarus2024</v>
      </c>
      <c r="B193" t="s">
        <v>41</v>
      </c>
      <c r="C193" t="s">
        <v>42</v>
      </c>
      <c r="D193">
        <v>2024</v>
      </c>
      <c r="E193">
        <v>8317.6339991379209</v>
      </c>
      <c r="F193">
        <v>4.0098485246545197</v>
      </c>
      <c r="G193">
        <v>5.7853191042799796</v>
      </c>
      <c r="H193">
        <v>11</v>
      </c>
      <c r="I193">
        <v>17.6665640538227</v>
      </c>
      <c r="J193">
        <v>3.4580000000000002</v>
      </c>
      <c r="K193">
        <v>28.261847443850598</v>
      </c>
      <c r="L193">
        <v>29.119852620294399</v>
      </c>
      <c r="M193">
        <v>8.7678713195503502</v>
      </c>
      <c r="N193">
        <v>51.432072005865798</v>
      </c>
      <c r="O193">
        <v>25.835851716312501</v>
      </c>
      <c r="P193">
        <v>1.9522037351842401</v>
      </c>
      <c r="Q193">
        <v>23.457658509475099</v>
      </c>
      <c r="R193">
        <v>65.063945028687698</v>
      </c>
      <c r="S193">
        <v>0.53879891308155003</v>
      </c>
      <c r="T193">
        <v>38.698754459494999</v>
      </c>
      <c r="U193">
        <v>0.576478528620604</v>
      </c>
      <c r="V193">
        <v>52.090084666046799</v>
      </c>
    </row>
    <row r="194" spans="1:22" x14ac:dyDescent="0.25">
      <c r="A194" t="str">
        <f t="shared" si="2"/>
        <v>Belarus2025</v>
      </c>
      <c r="B194" t="s">
        <v>41</v>
      </c>
      <c r="C194" t="s">
        <v>42</v>
      </c>
      <c r="D194">
        <v>2025</v>
      </c>
      <c r="E194">
        <v>6837.7733964563504</v>
      </c>
      <c r="F194">
        <v>1.7078525336882799</v>
      </c>
      <c r="G194">
        <v>9.4602838962310507</v>
      </c>
      <c r="H194">
        <v>11</v>
      </c>
      <c r="I194">
        <v>14.797647947019</v>
      </c>
      <c r="J194">
        <v>3.38</v>
      </c>
      <c r="K194">
        <v>28.261847443850598</v>
      </c>
      <c r="L194">
        <v>28.942647958914801</v>
      </c>
      <c r="M194">
        <v>12.1392299880648</v>
      </c>
      <c r="N194">
        <v>46.009658969262297</v>
      </c>
      <c r="O194">
        <v>28.078878545320201</v>
      </c>
      <c r="P194">
        <v>1.8942922111742</v>
      </c>
      <c r="Q194">
        <v>27.822376906394201</v>
      </c>
      <c r="R194">
        <v>65.063945028687698</v>
      </c>
      <c r="S194">
        <v>0.150325454836578</v>
      </c>
      <c r="T194">
        <v>33.062366148090398</v>
      </c>
      <c r="U194">
        <v>0.52796766154999097</v>
      </c>
      <c r="V194">
        <v>51.1603336216073</v>
      </c>
    </row>
    <row r="195" spans="1:22" x14ac:dyDescent="0.25">
      <c r="A195" t="str">
        <f t="shared" si="2"/>
        <v>Belgium2010</v>
      </c>
      <c r="B195" t="s">
        <v>43</v>
      </c>
      <c r="C195" t="s">
        <v>44</v>
      </c>
      <c r="D195">
        <v>2010</v>
      </c>
      <c r="E195">
        <v>44197.393671161997</v>
      </c>
      <c r="F195">
        <v>2.7103115025466198</v>
      </c>
      <c r="G195">
        <v>2.18929920422458</v>
      </c>
      <c r="H195">
        <v>12</v>
      </c>
      <c r="I195">
        <v>17.117263455715801</v>
      </c>
      <c r="J195">
        <v>8.2929999999999993</v>
      </c>
      <c r="K195">
        <v>43.567298310990097</v>
      </c>
      <c r="L195">
        <v>40.346859287351897</v>
      </c>
      <c r="M195">
        <v>1.70310444520605</v>
      </c>
      <c r="N195">
        <v>51.647369724239297</v>
      </c>
      <c r="O195">
        <v>22.3942744569467</v>
      </c>
      <c r="P195">
        <v>0.71560959942995905</v>
      </c>
      <c r="Q195">
        <v>24.399411410511401</v>
      </c>
      <c r="R195">
        <v>75.828289869244301</v>
      </c>
      <c r="S195">
        <v>-4.1332500096354501</v>
      </c>
      <c r="T195">
        <v>100.245015719547</v>
      </c>
      <c r="U195">
        <v>0.77670230923688399</v>
      </c>
      <c r="V195">
        <v>55.927539660999599</v>
      </c>
    </row>
    <row r="196" spans="1:22" x14ac:dyDescent="0.25">
      <c r="A196" t="str">
        <f t="shared" ref="A196:A259" si="3">C196&amp;D196</f>
        <v>Belgium2011</v>
      </c>
      <c r="B196" t="s">
        <v>43</v>
      </c>
      <c r="C196" t="s">
        <v>44</v>
      </c>
      <c r="D196">
        <v>2011</v>
      </c>
      <c r="E196">
        <v>47760.8298776546</v>
      </c>
      <c r="F196">
        <v>1.93115502411325</v>
      </c>
      <c r="G196">
        <v>3.5320821072273998</v>
      </c>
      <c r="H196">
        <v>12</v>
      </c>
      <c r="I196">
        <v>17.251060514158802</v>
      </c>
      <c r="J196">
        <v>7.14</v>
      </c>
      <c r="K196">
        <v>44.512250181784403</v>
      </c>
      <c r="L196">
        <v>40.903731108021397</v>
      </c>
      <c r="M196">
        <v>2.29252172328242</v>
      </c>
      <c r="N196">
        <v>52.041805951196601</v>
      </c>
      <c r="O196">
        <v>24.479558035556298</v>
      </c>
      <c r="P196">
        <v>0.68051327877332202</v>
      </c>
      <c r="Q196">
        <v>23.355335105378298</v>
      </c>
      <c r="R196">
        <v>80.271364351883904</v>
      </c>
      <c r="S196">
        <v>-4.4414345196133498</v>
      </c>
      <c r="T196">
        <v>102.735335197374</v>
      </c>
      <c r="U196">
        <v>0.80433900890010401</v>
      </c>
      <c r="V196">
        <v>56.457219955918603</v>
      </c>
    </row>
    <row r="197" spans="1:22" x14ac:dyDescent="0.25">
      <c r="A197" t="str">
        <f t="shared" si="3"/>
        <v>Belgium2012</v>
      </c>
      <c r="B197" t="s">
        <v>43</v>
      </c>
      <c r="C197" t="s">
        <v>44</v>
      </c>
      <c r="D197">
        <v>2012</v>
      </c>
      <c r="E197">
        <v>44874.170918212301</v>
      </c>
      <c r="F197">
        <v>0.215803612089744</v>
      </c>
      <c r="G197">
        <v>2.8396634344589899</v>
      </c>
      <c r="H197">
        <v>12</v>
      </c>
      <c r="I197">
        <v>17.4894292316249</v>
      </c>
      <c r="J197">
        <v>7.5419999999999998</v>
      </c>
      <c r="K197">
        <v>45.704833465615003</v>
      </c>
      <c r="L197">
        <v>42.116164335820301</v>
      </c>
      <c r="M197">
        <v>2.2057364240318802</v>
      </c>
      <c r="N197">
        <v>52.604514878996902</v>
      </c>
      <c r="O197">
        <v>23.588236067443301</v>
      </c>
      <c r="P197">
        <v>0.76748959912828596</v>
      </c>
      <c r="Q197">
        <v>24.224848183175698</v>
      </c>
      <c r="R197">
        <v>80.048972134242106</v>
      </c>
      <c r="S197">
        <v>-4.3484234512909303</v>
      </c>
      <c r="T197">
        <v>104.334735626495</v>
      </c>
      <c r="U197">
        <v>0.79645969404706496</v>
      </c>
      <c r="V197">
        <v>56.306206344815401</v>
      </c>
    </row>
    <row r="198" spans="1:22" x14ac:dyDescent="0.25">
      <c r="A198" t="str">
        <f t="shared" si="3"/>
        <v>Belgium2013</v>
      </c>
      <c r="B198" t="s">
        <v>43</v>
      </c>
      <c r="C198" t="s">
        <v>44</v>
      </c>
      <c r="D198">
        <v>2013</v>
      </c>
      <c r="E198">
        <v>46964.594677705601</v>
      </c>
      <c r="F198">
        <v>0.30549454907023199</v>
      </c>
      <c r="G198">
        <v>1.1130959402753899</v>
      </c>
      <c r="H198">
        <v>12</v>
      </c>
      <c r="I198">
        <v>17.720381646475399</v>
      </c>
      <c r="J198">
        <v>8.4250000000000007</v>
      </c>
      <c r="K198">
        <v>45.341690143058003</v>
      </c>
      <c r="L198">
        <v>42.627255893889803</v>
      </c>
      <c r="M198">
        <v>1.41248965471736</v>
      </c>
      <c r="N198">
        <v>53.160278656696597</v>
      </c>
      <c r="O198">
        <v>22.708945373011701</v>
      </c>
      <c r="P198">
        <v>0.65396111585493399</v>
      </c>
      <c r="Q198">
        <v>23.8063857487615</v>
      </c>
      <c r="R198">
        <v>78.911413441360594</v>
      </c>
      <c r="S198">
        <v>-3.1636498174179</v>
      </c>
      <c r="T198">
        <v>105.032474525932</v>
      </c>
      <c r="U198">
        <v>0.85226685354966802</v>
      </c>
      <c r="V198">
        <v>57.375796891593701</v>
      </c>
    </row>
    <row r="199" spans="1:22" x14ac:dyDescent="0.25">
      <c r="A199" t="str">
        <f t="shared" si="3"/>
        <v>Belgium2014</v>
      </c>
      <c r="B199" t="s">
        <v>43</v>
      </c>
      <c r="C199" t="s">
        <v>44</v>
      </c>
      <c r="D199">
        <v>2014</v>
      </c>
      <c r="E199">
        <v>47995.778696133901</v>
      </c>
      <c r="F199">
        <v>1.7655403814992401</v>
      </c>
      <c r="G199">
        <v>0.340002833356921</v>
      </c>
      <c r="H199">
        <v>12</v>
      </c>
      <c r="I199">
        <v>17.9621509816265</v>
      </c>
      <c r="J199">
        <v>8.5229999999999997</v>
      </c>
      <c r="K199">
        <v>44.953912538649</v>
      </c>
      <c r="L199">
        <v>42.385104836720203</v>
      </c>
      <c r="M199">
        <v>0.84039574006359896</v>
      </c>
      <c r="N199">
        <v>53.752711645518701</v>
      </c>
      <c r="O199">
        <v>23.2582959776352</v>
      </c>
      <c r="P199">
        <v>0.60196259067450597</v>
      </c>
      <c r="Q199">
        <v>24.0395907881902</v>
      </c>
      <c r="R199">
        <v>79.396520580020194</v>
      </c>
      <c r="S199">
        <v>-3.1751856360767299</v>
      </c>
      <c r="T199">
        <v>106.55498457868499</v>
      </c>
      <c r="U199">
        <v>0.86227844976230605</v>
      </c>
      <c r="V199">
        <v>57.567677445319099</v>
      </c>
    </row>
    <row r="200" spans="1:22" x14ac:dyDescent="0.25">
      <c r="A200" t="str">
        <f t="shared" si="3"/>
        <v>Belgium2015</v>
      </c>
      <c r="B200" t="s">
        <v>43</v>
      </c>
      <c r="C200" t="s">
        <v>44</v>
      </c>
      <c r="D200">
        <v>2015</v>
      </c>
      <c r="E200">
        <v>40893.804537771997</v>
      </c>
      <c r="F200">
        <v>1.4741643373192701</v>
      </c>
      <c r="G200">
        <v>0.56142915279015704</v>
      </c>
      <c r="H200">
        <v>12</v>
      </c>
      <c r="I200">
        <v>18.163709466889902</v>
      </c>
      <c r="J200">
        <v>8.4819999999999993</v>
      </c>
      <c r="K200">
        <v>41.7110348512049</v>
      </c>
      <c r="L200">
        <v>40.5212519673291</v>
      </c>
      <c r="M200">
        <v>1.1218385191681599</v>
      </c>
      <c r="N200">
        <v>54.218586066947303</v>
      </c>
      <c r="O200">
        <v>23.322367629434599</v>
      </c>
      <c r="P200">
        <v>0.69905811451463695</v>
      </c>
      <c r="Q200">
        <v>23.9600258575182</v>
      </c>
      <c r="R200">
        <v>77.8777392199991</v>
      </c>
      <c r="S200">
        <v>-2.4754174106820499</v>
      </c>
      <c r="T200">
        <v>105.572053578734</v>
      </c>
      <c r="U200">
        <v>0.78041174281149395</v>
      </c>
      <c r="V200">
        <v>55.998634035281803</v>
      </c>
    </row>
    <row r="201" spans="1:22" x14ac:dyDescent="0.25">
      <c r="A201" t="str">
        <f t="shared" si="3"/>
        <v>Belgium2016</v>
      </c>
      <c r="B201" t="s">
        <v>43</v>
      </c>
      <c r="C201" t="s">
        <v>44</v>
      </c>
      <c r="D201">
        <v>2016</v>
      </c>
      <c r="E201">
        <v>41854.549829644398</v>
      </c>
      <c r="F201">
        <v>1.19350273007754</v>
      </c>
      <c r="G201">
        <v>1.97385264653162</v>
      </c>
      <c r="H201">
        <v>12</v>
      </c>
      <c r="I201">
        <v>18.356666180316001</v>
      </c>
      <c r="J201">
        <v>7.83</v>
      </c>
      <c r="K201">
        <v>41.161643449403698</v>
      </c>
      <c r="L201">
        <v>38.478403592714599</v>
      </c>
      <c r="M201">
        <v>1.8952891356944399</v>
      </c>
      <c r="N201">
        <v>54.653292541651503</v>
      </c>
      <c r="O201">
        <v>24.181576601797399</v>
      </c>
      <c r="P201">
        <v>0.64530505127920601</v>
      </c>
      <c r="Q201">
        <v>23.662079121303599</v>
      </c>
      <c r="R201">
        <v>79.618131707195204</v>
      </c>
      <c r="S201">
        <v>-2.4309456737624999</v>
      </c>
      <c r="T201">
        <v>105.47510076622</v>
      </c>
      <c r="U201">
        <v>0.76536938192556303</v>
      </c>
      <c r="V201">
        <v>55.710334699708703</v>
      </c>
    </row>
    <row r="202" spans="1:22" x14ac:dyDescent="0.25">
      <c r="A202" t="str">
        <f t="shared" si="3"/>
        <v>Belgium2017</v>
      </c>
      <c r="B202" t="s">
        <v>43</v>
      </c>
      <c r="C202" t="s">
        <v>44</v>
      </c>
      <c r="D202">
        <v>2017</v>
      </c>
      <c r="E202">
        <v>44035.323935854802</v>
      </c>
      <c r="F202">
        <v>1.47446761556785</v>
      </c>
      <c r="G202">
        <v>2.1259708600261602</v>
      </c>
      <c r="H202">
        <v>12</v>
      </c>
      <c r="I202">
        <v>18.584903433857001</v>
      </c>
      <c r="J202">
        <v>7.09</v>
      </c>
      <c r="K202">
        <v>40.103566202804103</v>
      </c>
      <c r="L202">
        <v>38.9060439253129</v>
      </c>
      <c r="M202">
        <v>1.9831634360485899</v>
      </c>
      <c r="N202">
        <v>55.176782438079201</v>
      </c>
      <c r="O202">
        <v>24.331833132163801</v>
      </c>
      <c r="P202">
        <v>0.66347176249899498</v>
      </c>
      <c r="Q202">
        <v>23.946462916125299</v>
      </c>
      <c r="R202">
        <v>83.444405052511598</v>
      </c>
      <c r="S202">
        <v>-0.76324739292028998</v>
      </c>
      <c r="T202">
        <v>102.485295709594</v>
      </c>
      <c r="U202">
        <v>0.89951211933338604</v>
      </c>
      <c r="V202">
        <v>58.281291636581301</v>
      </c>
    </row>
    <row r="203" spans="1:22" x14ac:dyDescent="0.25">
      <c r="A203" t="str">
        <f t="shared" si="3"/>
        <v>Belgium2018</v>
      </c>
      <c r="B203" t="s">
        <v>43</v>
      </c>
      <c r="C203" t="s">
        <v>44</v>
      </c>
      <c r="D203">
        <v>2018</v>
      </c>
      <c r="E203">
        <v>47487.210039256097</v>
      </c>
      <c r="F203">
        <v>1.8779684738356499</v>
      </c>
      <c r="G203">
        <v>2.0531649986517699</v>
      </c>
      <c r="H203">
        <v>12</v>
      </c>
      <c r="I203">
        <v>18.808620999675799</v>
      </c>
      <c r="J203">
        <v>5.9409999999999998</v>
      </c>
      <c r="K203">
        <v>39.941626814667899</v>
      </c>
      <c r="L203">
        <v>39.173082087645497</v>
      </c>
      <c r="M203">
        <v>1.71728236623039</v>
      </c>
      <c r="N203">
        <v>55.654726837257201</v>
      </c>
      <c r="O203">
        <v>25.551576763720298</v>
      </c>
      <c r="P203">
        <v>0.614522495946485</v>
      </c>
      <c r="Q203">
        <v>23.781367081860001</v>
      </c>
      <c r="R203">
        <v>83.483056716137298</v>
      </c>
      <c r="S203">
        <v>-1.0482881094774199</v>
      </c>
      <c r="T203">
        <v>100.07834739233699</v>
      </c>
      <c r="U203">
        <v>0.938714631576263</v>
      </c>
      <c r="V203">
        <v>59.032640332316099</v>
      </c>
    </row>
    <row r="204" spans="1:22" x14ac:dyDescent="0.25">
      <c r="A204" t="str">
        <f t="shared" si="3"/>
        <v>Belgium2019</v>
      </c>
      <c r="B204" t="s">
        <v>43</v>
      </c>
      <c r="C204" t="s">
        <v>44</v>
      </c>
      <c r="D204">
        <v>2019</v>
      </c>
      <c r="E204">
        <v>46716.622746796398</v>
      </c>
      <c r="F204">
        <v>2.4428900448155999</v>
      </c>
      <c r="G204">
        <v>1.43681956996438</v>
      </c>
      <c r="H204">
        <v>12</v>
      </c>
      <c r="I204">
        <v>19.029838081815999</v>
      </c>
      <c r="J204">
        <v>5.3639999999999999</v>
      </c>
      <c r="K204">
        <v>39.402504855093902</v>
      </c>
      <c r="L204">
        <v>37.554430133681699</v>
      </c>
      <c r="M204">
        <v>1.85424076568934</v>
      </c>
      <c r="N204">
        <v>56.056338487317198</v>
      </c>
      <c r="O204">
        <v>24.675682231680799</v>
      </c>
      <c r="P204">
        <v>0.68103875101684397</v>
      </c>
      <c r="Q204">
        <v>24.802045985218999</v>
      </c>
      <c r="R204">
        <v>82.967427539640099</v>
      </c>
      <c r="S204">
        <v>-2.0479470055021798</v>
      </c>
      <c r="T204">
        <v>97.572615059881599</v>
      </c>
      <c r="U204">
        <v>0.90414749689909402</v>
      </c>
      <c r="V204">
        <v>58.370132496234802</v>
      </c>
    </row>
    <row r="205" spans="1:22" x14ac:dyDescent="0.25">
      <c r="A205" t="str">
        <f t="shared" si="3"/>
        <v>Belgium2020</v>
      </c>
      <c r="B205" t="s">
        <v>43</v>
      </c>
      <c r="C205" t="s">
        <v>44</v>
      </c>
      <c r="D205">
        <v>2020</v>
      </c>
      <c r="E205">
        <v>45906.2875805246</v>
      </c>
      <c r="F205">
        <v>-4.7929839083518004</v>
      </c>
      <c r="G205">
        <v>0.74079181222034296</v>
      </c>
      <c r="H205">
        <v>12</v>
      </c>
      <c r="I205">
        <v>19.224020193226998</v>
      </c>
      <c r="J205">
        <v>5.5449999999999999</v>
      </c>
      <c r="K205">
        <v>43.656605302545003</v>
      </c>
      <c r="L205">
        <v>36.869556479566903</v>
      </c>
      <c r="M205">
        <v>1.59611667576401</v>
      </c>
      <c r="N205">
        <v>56.309617184758899</v>
      </c>
      <c r="O205">
        <v>24.068567845366999</v>
      </c>
      <c r="P205">
        <v>0.85718012407475197</v>
      </c>
      <c r="Q205">
        <v>24.989215908688699</v>
      </c>
      <c r="R205">
        <v>79.196870561329405</v>
      </c>
      <c r="S205">
        <v>-9.0346738544474405</v>
      </c>
      <c r="T205">
        <v>111.245283018867</v>
      </c>
      <c r="U205">
        <v>0.49189237534890201</v>
      </c>
      <c r="V205">
        <v>50.468920809399798</v>
      </c>
    </row>
    <row r="206" spans="1:22" x14ac:dyDescent="0.25">
      <c r="A206" t="str">
        <f t="shared" si="3"/>
        <v>Belgium2021</v>
      </c>
      <c r="B206" t="s">
        <v>43</v>
      </c>
      <c r="C206" t="s">
        <v>44</v>
      </c>
      <c r="D206">
        <v>2021</v>
      </c>
      <c r="E206">
        <v>51658.238294957999</v>
      </c>
      <c r="F206">
        <v>6.2544568646659302</v>
      </c>
      <c r="G206">
        <v>2.4402485114408399</v>
      </c>
      <c r="H206">
        <v>13</v>
      </c>
      <c r="I206">
        <v>19.452052047890898</v>
      </c>
      <c r="J206">
        <v>6.2480000000000002</v>
      </c>
      <c r="K206">
        <v>41.411809017024503</v>
      </c>
      <c r="L206">
        <v>37.740827337845197</v>
      </c>
      <c r="M206">
        <v>2.69731875410955</v>
      </c>
      <c r="N206">
        <v>56.579843760663699</v>
      </c>
      <c r="O206">
        <v>24.447027866175301</v>
      </c>
      <c r="P206">
        <v>0.85938387453377196</v>
      </c>
      <c r="Q206">
        <v>26.3064911714015</v>
      </c>
      <c r="R206">
        <v>89.625355105215505</v>
      </c>
      <c r="S206">
        <v>-5.4020278748811803</v>
      </c>
      <c r="T206">
        <v>108.540511059249</v>
      </c>
      <c r="U206">
        <v>0.91109414464871297</v>
      </c>
      <c r="V206">
        <v>58.503270767937103</v>
      </c>
    </row>
    <row r="207" spans="1:22" x14ac:dyDescent="0.25">
      <c r="A207" t="str">
        <f t="shared" si="3"/>
        <v>Belgium2022</v>
      </c>
      <c r="B207" t="s">
        <v>43</v>
      </c>
      <c r="C207" t="s">
        <v>44</v>
      </c>
      <c r="D207">
        <v>2022</v>
      </c>
      <c r="E207">
        <v>50605.749667708602</v>
      </c>
      <c r="F207">
        <v>3.9562379757933002</v>
      </c>
      <c r="G207">
        <v>9.5975117287249994</v>
      </c>
      <c r="H207">
        <v>13</v>
      </c>
      <c r="I207">
        <v>19.767192758520601</v>
      </c>
      <c r="J207">
        <v>5.57</v>
      </c>
      <c r="K207">
        <v>39.737552802903103</v>
      </c>
      <c r="L207">
        <v>37.198274533585902</v>
      </c>
      <c r="M207">
        <v>6.6990376118660997</v>
      </c>
      <c r="N207">
        <v>56.978165509264699</v>
      </c>
      <c r="O207">
        <v>27.2864808356038</v>
      </c>
      <c r="P207">
        <v>0.78956158455146896</v>
      </c>
      <c r="Q207">
        <v>25.2478881859819</v>
      </c>
      <c r="R207">
        <v>94.421344674440505</v>
      </c>
      <c r="S207">
        <v>-3.60168819669736</v>
      </c>
      <c r="T207">
        <v>103.14033803128</v>
      </c>
      <c r="U207">
        <v>0.95024259733163297</v>
      </c>
      <c r="V207">
        <v>59.253583367321397</v>
      </c>
    </row>
    <row r="208" spans="1:22" x14ac:dyDescent="0.25">
      <c r="A208" t="str">
        <f t="shared" si="3"/>
        <v>Belgium2023</v>
      </c>
      <c r="B208" t="s">
        <v>43</v>
      </c>
      <c r="C208" t="s">
        <v>44</v>
      </c>
      <c r="D208">
        <v>2023</v>
      </c>
      <c r="E208">
        <v>55291.475454132902</v>
      </c>
      <c r="F208">
        <v>1.7141219551524201</v>
      </c>
      <c r="G208">
        <v>4.0490107761394096</v>
      </c>
      <c r="H208">
        <v>13</v>
      </c>
      <c r="I208">
        <v>20.145274954701598</v>
      </c>
      <c r="J208">
        <v>5.5469999999999997</v>
      </c>
      <c r="K208">
        <v>41.7110348512049</v>
      </c>
      <c r="L208">
        <v>37.153901971242902</v>
      </c>
      <c r="M208">
        <v>5.5077931083587499</v>
      </c>
      <c r="N208">
        <v>57.321807211006998</v>
      </c>
      <c r="O208">
        <v>25.319555234825799</v>
      </c>
      <c r="P208">
        <v>0.78037896009278596</v>
      </c>
      <c r="Q208">
        <v>25.381556171160401</v>
      </c>
      <c r="R208">
        <v>82.743195573929498</v>
      </c>
      <c r="S208">
        <v>-4.0066669322814903</v>
      </c>
      <c r="T208">
        <v>102.19082433563</v>
      </c>
      <c r="U208">
        <v>0.94180982941436897</v>
      </c>
      <c r="V208">
        <v>59.091962368727799</v>
      </c>
    </row>
    <row r="209" spans="1:22" x14ac:dyDescent="0.25">
      <c r="A209" t="str">
        <f t="shared" si="3"/>
        <v>Belgium2024</v>
      </c>
      <c r="B209" t="s">
        <v>43</v>
      </c>
      <c r="C209" t="s">
        <v>44</v>
      </c>
      <c r="D209">
        <v>2024</v>
      </c>
      <c r="E209">
        <v>56614.567949903598</v>
      </c>
      <c r="F209">
        <v>1.0704541301941399</v>
      </c>
      <c r="G209">
        <v>3.1434913650004099</v>
      </c>
      <c r="H209">
        <v>13</v>
      </c>
      <c r="I209">
        <v>20.558080925644301</v>
      </c>
      <c r="J209">
        <v>5.7</v>
      </c>
      <c r="K209">
        <v>41.7110348512049</v>
      </c>
      <c r="L209">
        <v>37.880538821851999</v>
      </c>
      <c r="M209">
        <v>1.8802362145668099</v>
      </c>
      <c r="N209">
        <v>57.614866658275503</v>
      </c>
      <c r="O209">
        <v>24.495713008394102</v>
      </c>
      <c r="P209">
        <v>0.79142850611130999</v>
      </c>
      <c r="Q209">
        <v>24.118024890763699</v>
      </c>
      <c r="R209">
        <v>79.273086411473201</v>
      </c>
      <c r="S209">
        <v>-4.3622475301158197</v>
      </c>
      <c r="T209">
        <v>103.889583924471</v>
      </c>
      <c r="U209">
        <v>0.92274011583884497</v>
      </c>
      <c r="V209">
        <v>58.726475475075802</v>
      </c>
    </row>
    <row r="210" spans="1:22" x14ac:dyDescent="0.25">
      <c r="A210" t="str">
        <f t="shared" si="3"/>
        <v>Belgium2025</v>
      </c>
      <c r="B210" t="s">
        <v>43</v>
      </c>
      <c r="C210" t="s">
        <v>44</v>
      </c>
      <c r="D210">
        <v>2025</v>
      </c>
      <c r="E210">
        <v>46964.594677705601</v>
      </c>
      <c r="F210">
        <v>1.7141219551524201</v>
      </c>
      <c r="G210">
        <v>2.1259708600261602</v>
      </c>
      <c r="H210">
        <v>13</v>
      </c>
      <c r="I210">
        <v>18.584903433857001</v>
      </c>
      <c r="J210">
        <v>5.9059999999999997</v>
      </c>
      <c r="K210">
        <v>41.7110348512049</v>
      </c>
      <c r="L210">
        <v>38.9060439253129</v>
      </c>
      <c r="M210">
        <v>1.8802362145668099</v>
      </c>
      <c r="N210">
        <v>55.176782438079201</v>
      </c>
      <c r="O210">
        <v>24.331833132163801</v>
      </c>
      <c r="P210">
        <v>0.69905811451463695</v>
      </c>
      <c r="Q210">
        <v>24.118024890763699</v>
      </c>
      <c r="R210">
        <v>80.048972134242106</v>
      </c>
      <c r="S210">
        <v>-5.2566301930461901</v>
      </c>
      <c r="T210">
        <v>106.333196732792</v>
      </c>
      <c r="U210">
        <v>0.793930227001726</v>
      </c>
      <c r="V210">
        <v>56.257727008755403</v>
      </c>
    </row>
    <row r="211" spans="1:22" x14ac:dyDescent="0.25">
      <c r="A211" t="str">
        <f t="shared" si="3"/>
        <v>Belize2010</v>
      </c>
      <c r="B211" t="s">
        <v>45</v>
      </c>
      <c r="C211" t="s">
        <v>46</v>
      </c>
      <c r="D211">
        <v>2010</v>
      </c>
      <c r="E211">
        <v>5461.4073599900103</v>
      </c>
      <c r="F211">
        <v>1.4174109923346101</v>
      </c>
      <c r="G211">
        <v>0.91797737880888697</v>
      </c>
      <c r="H211">
        <v>8</v>
      </c>
      <c r="I211">
        <v>3.9869474933254199</v>
      </c>
      <c r="J211">
        <v>8.4120000000000008</v>
      </c>
      <c r="K211">
        <v>19.720656809387599</v>
      </c>
      <c r="L211">
        <v>21.7922278672632</v>
      </c>
      <c r="M211">
        <v>2.1641878271386301</v>
      </c>
      <c r="N211">
        <v>65.366264239019301</v>
      </c>
      <c r="O211">
        <v>15.4511716601437</v>
      </c>
      <c r="P211">
        <v>2.6921019651683298</v>
      </c>
      <c r="Q211">
        <v>18.6708782653931</v>
      </c>
      <c r="R211">
        <v>50.625218554908699</v>
      </c>
      <c r="S211">
        <v>-1.9033635259491399</v>
      </c>
      <c r="T211">
        <v>68.416851374056705</v>
      </c>
      <c r="U211">
        <v>-0.48836820674509401</v>
      </c>
      <c r="V211">
        <v>31.6814128743605</v>
      </c>
    </row>
    <row r="212" spans="1:22" x14ac:dyDescent="0.25">
      <c r="A212" t="str">
        <f t="shared" si="3"/>
        <v>Belize2011</v>
      </c>
      <c r="B212" t="s">
        <v>45</v>
      </c>
      <c r="C212" t="s">
        <v>46</v>
      </c>
      <c r="D212">
        <v>2011</v>
      </c>
      <c r="E212">
        <v>5596.0522215228902</v>
      </c>
      <c r="F212">
        <v>-0.13007112300869</v>
      </c>
      <c r="G212">
        <v>1.6020561564019999</v>
      </c>
      <c r="H212">
        <v>8</v>
      </c>
      <c r="I212">
        <v>3.9734431618891701</v>
      </c>
      <c r="J212">
        <v>8.4239999999999995</v>
      </c>
      <c r="K212">
        <v>19.9036982726413</v>
      </c>
      <c r="L212">
        <v>21.418668188998002</v>
      </c>
      <c r="M212">
        <v>4.85845161527571</v>
      </c>
      <c r="N212">
        <v>63.165215137118402</v>
      </c>
      <c r="O212">
        <v>11.8723938779086</v>
      </c>
      <c r="P212">
        <v>2.70418505294752</v>
      </c>
      <c r="Q212">
        <v>21.463002655239499</v>
      </c>
      <c r="R212">
        <v>56.722049914699198</v>
      </c>
      <c r="S212">
        <v>-1.05577430319715</v>
      </c>
      <c r="T212">
        <v>66.218576645825095</v>
      </c>
      <c r="U212">
        <v>-0.35996662806704299</v>
      </c>
      <c r="V212">
        <v>34.142335737475399</v>
      </c>
    </row>
    <row r="213" spans="1:22" x14ac:dyDescent="0.25">
      <c r="A213" t="str">
        <f t="shared" si="3"/>
        <v>Belize2012</v>
      </c>
      <c r="B213" t="s">
        <v>45</v>
      </c>
      <c r="C213" t="s">
        <v>46</v>
      </c>
      <c r="D213">
        <v>2012</v>
      </c>
      <c r="E213">
        <v>5732.6651994234699</v>
      </c>
      <c r="F213">
        <v>3.9438932181661701</v>
      </c>
      <c r="G213">
        <v>1.30058074547858</v>
      </c>
      <c r="H213">
        <v>8</v>
      </c>
      <c r="I213">
        <v>3.9768071910864999</v>
      </c>
      <c r="J213">
        <v>8.3780000000000001</v>
      </c>
      <c r="K213">
        <v>18.323980829473498</v>
      </c>
      <c r="L213">
        <v>20.4663703051874</v>
      </c>
      <c r="M213">
        <v>0.69709455776862195</v>
      </c>
      <c r="N213">
        <v>61.186677591940999</v>
      </c>
      <c r="O213">
        <v>13.0724770204323</v>
      </c>
      <c r="P213">
        <v>3.0190289505089498</v>
      </c>
      <c r="Q213">
        <v>19.905785254373601</v>
      </c>
      <c r="R213">
        <v>59.326479519541003</v>
      </c>
      <c r="S213">
        <v>-0.22367921715709099</v>
      </c>
      <c r="T213">
        <v>63.132611811396302</v>
      </c>
      <c r="U213">
        <v>-0.28974848701478501</v>
      </c>
      <c r="V213">
        <v>35.488124710632903</v>
      </c>
    </row>
    <row r="214" spans="1:22" x14ac:dyDescent="0.25">
      <c r="A214" t="str">
        <f t="shared" si="3"/>
        <v>Belize2013</v>
      </c>
      <c r="B214" t="s">
        <v>45</v>
      </c>
      <c r="C214" t="s">
        <v>46</v>
      </c>
      <c r="D214">
        <v>2013</v>
      </c>
      <c r="E214">
        <v>5957.3495361900596</v>
      </c>
      <c r="F214">
        <v>4.0664656160886503</v>
      </c>
      <c r="G214">
        <v>0.50974776898322005</v>
      </c>
      <c r="H214">
        <v>8</v>
      </c>
      <c r="I214">
        <v>3.99543947053365</v>
      </c>
      <c r="J214">
        <v>8.3490000000000002</v>
      </c>
      <c r="K214">
        <v>18.863485451946101</v>
      </c>
      <c r="L214">
        <v>21.3647755258751</v>
      </c>
      <c r="M214">
        <v>2.0125104099831801</v>
      </c>
      <c r="N214">
        <v>59.365480694323303</v>
      </c>
      <c r="O214">
        <v>14.1295773427114</v>
      </c>
      <c r="P214">
        <v>4.0017163209486002</v>
      </c>
      <c r="Q214">
        <v>17.8444451756483</v>
      </c>
      <c r="R214">
        <v>56.023852203192</v>
      </c>
      <c r="S214">
        <v>-1.2083905036259399</v>
      </c>
      <c r="T214">
        <v>62.779524873271797</v>
      </c>
      <c r="U214">
        <v>-0.32899987427334298</v>
      </c>
      <c r="V214">
        <v>34.735839284643198</v>
      </c>
    </row>
    <row r="215" spans="1:22" x14ac:dyDescent="0.25">
      <c r="A215" t="str">
        <f t="shared" si="3"/>
        <v>Belize2014</v>
      </c>
      <c r="B215" t="s">
        <v>45</v>
      </c>
      <c r="C215" t="s">
        <v>46</v>
      </c>
      <c r="D215">
        <v>2014</v>
      </c>
      <c r="E215">
        <v>6128.1205308907702</v>
      </c>
      <c r="F215">
        <v>3.8922606724998898</v>
      </c>
      <c r="G215">
        <v>1.2013996448105699</v>
      </c>
      <c r="H215">
        <v>8</v>
      </c>
      <c r="I215">
        <v>4.02797182755483</v>
      </c>
      <c r="J215">
        <v>8.2439999999999998</v>
      </c>
      <c r="K215">
        <v>19.439395693341002</v>
      </c>
      <c r="L215">
        <v>22.3526507215823</v>
      </c>
      <c r="M215">
        <v>1.1273042641762201</v>
      </c>
      <c r="N215">
        <v>57.653033561656201</v>
      </c>
      <c r="O215">
        <v>17.096697464861599</v>
      </c>
      <c r="P215">
        <v>4.48989855557822</v>
      </c>
      <c r="Q215">
        <v>17.956443297930701</v>
      </c>
      <c r="R215">
        <v>55.492266030480501</v>
      </c>
      <c r="S215">
        <v>-1.72372759017032</v>
      </c>
      <c r="T215">
        <v>61.5435183209377</v>
      </c>
      <c r="U215">
        <v>-0.34191322562977999</v>
      </c>
      <c r="V215">
        <v>34.488344184351902</v>
      </c>
    </row>
    <row r="216" spans="1:22" x14ac:dyDescent="0.25">
      <c r="A216" t="str">
        <f t="shared" si="3"/>
        <v>Belize2015</v>
      </c>
      <c r="B216" t="s">
        <v>45</v>
      </c>
      <c r="C216" t="s">
        <v>46</v>
      </c>
      <c r="D216">
        <v>2015</v>
      </c>
      <c r="E216">
        <v>6154.6226423036896</v>
      </c>
      <c r="F216">
        <v>2.7602602736023001</v>
      </c>
      <c r="G216">
        <v>-0.86158400942774704</v>
      </c>
      <c r="H216">
        <v>8</v>
      </c>
      <c r="I216">
        <v>4.0761029710972601</v>
      </c>
      <c r="J216">
        <v>7.5780000000000003</v>
      </c>
      <c r="K216">
        <v>20.6167584473022</v>
      </c>
      <c r="L216">
        <v>22.198092443807099</v>
      </c>
      <c r="M216">
        <v>-0.189695067261511</v>
      </c>
      <c r="N216">
        <v>56.037974628114</v>
      </c>
      <c r="O216">
        <v>16.7264083366378</v>
      </c>
      <c r="P216">
        <v>4.0811952962994402</v>
      </c>
      <c r="Q216">
        <v>20.252979486342898</v>
      </c>
      <c r="R216">
        <v>51.566768546271199</v>
      </c>
      <c r="S216">
        <v>-5.1430629082001502</v>
      </c>
      <c r="T216">
        <v>65.077015432655401</v>
      </c>
      <c r="U216">
        <v>-0.47673569755087702</v>
      </c>
      <c r="V216">
        <v>31.904359571170399</v>
      </c>
    </row>
    <row r="217" spans="1:22" x14ac:dyDescent="0.25">
      <c r="A217" t="str">
        <f t="shared" si="3"/>
        <v>Belize2016</v>
      </c>
      <c r="B217" t="s">
        <v>45</v>
      </c>
      <c r="C217" t="s">
        <v>46</v>
      </c>
      <c r="D217">
        <v>2016</v>
      </c>
      <c r="E217">
        <v>6140.86713919469</v>
      </c>
      <c r="F217">
        <v>-1.8741495813031899E-2</v>
      </c>
      <c r="G217">
        <v>0.66342716791760104</v>
      </c>
      <c r="H217">
        <v>8</v>
      </c>
      <c r="I217">
        <v>4.1311470914849</v>
      </c>
      <c r="J217">
        <v>7</v>
      </c>
      <c r="K217">
        <v>21.271551120433099</v>
      </c>
      <c r="L217">
        <v>22.4029818854459</v>
      </c>
      <c r="M217">
        <v>2.1398804400886902</v>
      </c>
      <c r="N217">
        <v>54.399281991795398</v>
      </c>
      <c r="O217">
        <v>17.972935360765302</v>
      </c>
      <c r="P217">
        <v>3.6235860723561402</v>
      </c>
      <c r="Q217">
        <v>20.798083772363398</v>
      </c>
      <c r="R217">
        <v>47.307267292832201</v>
      </c>
      <c r="S217">
        <v>-4.4727463600361403</v>
      </c>
      <c r="T217">
        <v>70.457481477494298</v>
      </c>
      <c r="U217">
        <v>-0.487399755036935</v>
      </c>
      <c r="V217">
        <v>31.699974055422</v>
      </c>
    </row>
    <row r="218" spans="1:22" x14ac:dyDescent="0.25">
      <c r="A218" t="str">
        <f t="shared" si="3"/>
        <v>Belize2017</v>
      </c>
      <c r="B218" t="s">
        <v>45</v>
      </c>
      <c r="C218" t="s">
        <v>46</v>
      </c>
      <c r="D218">
        <v>2017</v>
      </c>
      <c r="E218">
        <v>6071.85451846453</v>
      </c>
      <c r="F218">
        <v>-1.83323729057784</v>
      </c>
      <c r="G218">
        <v>1.1476533930581601</v>
      </c>
      <c r="H218">
        <v>8</v>
      </c>
      <c r="I218">
        <v>4.1943829271854502</v>
      </c>
      <c r="J218">
        <v>6.5960000000000001</v>
      </c>
      <c r="K218">
        <v>22.3437684830275</v>
      </c>
      <c r="L218">
        <v>23.807092855969501</v>
      </c>
      <c r="M218">
        <v>3.06932498276909</v>
      </c>
      <c r="N218">
        <v>52.936596400354098</v>
      </c>
      <c r="O218">
        <v>15.0577226916743</v>
      </c>
      <c r="P218">
        <v>2.9584232094266198</v>
      </c>
      <c r="Q218">
        <v>18.210936618213299</v>
      </c>
      <c r="R218">
        <v>49.809597475230099</v>
      </c>
      <c r="S218">
        <v>-3.4809476496441398</v>
      </c>
      <c r="T218">
        <v>78.115352668734403</v>
      </c>
      <c r="U218">
        <v>-0.420923949933458</v>
      </c>
      <c r="V218">
        <v>32.9740380529785</v>
      </c>
    </row>
    <row r="219" spans="1:22" x14ac:dyDescent="0.25">
      <c r="A219" t="str">
        <f t="shared" si="3"/>
        <v>Belize2018</v>
      </c>
      <c r="B219" t="s">
        <v>45</v>
      </c>
      <c r="C219" t="s">
        <v>46</v>
      </c>
      <c r="D219">
        <v>2018</v>
      </c>
      <c r="E219">
        <v>6011.9903688858703</v>
      </c>
      <c r="F219">
        <v>0.82206859251250797</v>
      </c>
      <c r="G219">
        <v>0.26998262264633499</v>
      </c>
      <c r="H219">
        <v>8</v>
      </c>
      <c r="I219">
        <v>4.27416290027129</v>
      </c>
      <c r="J219">
        <v>9.3460000000000001</v>
      </c>
      <c r="K219">
        <v>19.8121775410144</v>
      </c>
      <c r="L219">
        <v>21.9951601555351</v>
      </c>
      <c r="M219">
        <v>5.5084579591920098E-2</v>
      </c>
      <c r="N219">
        <v>51.897186778417797</v>
      </c>
      <c r="O219">
        <v>16.531815125850802</v>
      </c>
      <c r="P219">
        <v>2.6976769204565101</v>
      </c>
      <c r="Q219">
        <v>15.1965104954007</v>
      </c>
      <c r="R219">
        <v>51.735139938817902</v>
      </c>
      <c r="S219">
        <v>-1.3664774796294299</v>
      </c>
      <c r="T219">
        <v>79.023237559915998</v>
      </c>
      <c r="U219">
        <v>-0.425290238898477</v>
      </c>
      <c r="V219">
        <v>32.890354499772997</v>
      </c>
    </row>
    <row r="220" spans="1:22" x14ac:dyDescent="0.25">
      <c r="A220" t="str">
        <f t="shared" si="3"/>
        <v>Belize2019</v>
      </c>
      <c r="B220" t="s">
        <v>45</v>
      </c>
      <c r="C220" t="s">
        <v>46</v>
      </c>
      <c r="D220">
        <v>2019</v>
      </c>
      <c r="E220">
        <v>6171.6144976142295</v>
      </c>
      <c r="F220">
        <v>4.2565871003007203</v>
      </c>
      <c r="G220">
        <v>0.18706938518142399</v>
      </c>
      <c r="H220">
        <v>8</v>
      </c>
      <c r="I220">
        <v>4.3751304012015702</v>
      </c>
      <c r="J220">
        <v>9.0530000000000008</v>
      </c>
      <c r="K220">
        <v>19.8121775410144</v>
      </c>
      <c r="L220">
        <v>21.9951601555351</v>
      </c>
      <c r="M220">
        <v>-8.5143951609936194E-2</v>
      </c>
      <c r="N220">
        <v>51.038751071634103</v>
      </c>
      <c r="O220">
        <v>16.8394904249154</v>
      </c>
      <c r="P220">
        <v>2.4195936639694802</v>
      </c>
      <c r="Q220">
        <v>15.677943979865701</v>
      </c>
      <c r="R220">
        <v>52.018919884880098</v>
      </c>
      <c r="S220">
        <v>-2.9022527276836199</v>
      </c>
      <c r="T220">
        <v>78.620959828098407</v>
      </c>
      <c r="U220">
        <v>-0.44029709710628201</v>
      </c>
      <c r="V220">
        <v>32.602735602502896</v>
      </c>
    </row>
    <row r="221" spans="1:22" x14ac:dyDescent="0.25">
      <c r="A221" t="str">
        <f t="shared" si="3"/>
        <v>Belize2020</v>
      </c>
      <c r="B221" t="s">
        <v>45</v>
      </c>
      <c r="C221" t="s">
        <v>46</v>
      </c>
      <c r="D221">
        <v>2020</v>
      </c>
      <c r="E221">
        <v>5238.5407817569603</v>
      </c>
      <c r="F221">
        <v>-13.5228997055506</v>
      </c>
      <c r="G221">
        <v>0.12143464461489301</v>
      </c>
      <c r="H221">
        <v>8</v>
      </c>
      <c r="I221">
        <v>4.4855384245345897</v>
      </c>
      <c r="J221">
        <v>10.763</v>
      </c>
      <c r="K221">
        <v>19.8121775410144</v>
      </c>
      <c r="L221">
        <v>21.9951601555351</v>
      </c>
      <c r="M221">
        <v>-0.57778302538974902</v>
      </c>
      <c r="N221">
        <v>50.105623794928498</v>
      </c>
      <c r="O221">
        <v>18.4434323395975</v>
      </c>
      <c r="P221">
        <v>4.31496825539472</v>
      </c>
      <c r="Q221">
        <v>22.727921814021801</v>
      </c>
      <c r="R221">
        <v>37.637322138797899</v>
      </c>
      <c r="S221">
        <v>-8.5666310192308295</v>
      </c>
      <c r="T221">
        <v>103.036810576307</v>
      </c>
      <c r="U221">
        <v>-0.97091483495752995</v>
      </c>
      <c r="V221">
        <v>22.433006101539501</v>
      </c>
    </row>
    <row r="222" spans="1:22" x14ac:dyDescent="0.25">
      <c r="A222" t="str">
        <f t="shared" si="3"/>
        <v>Belize2021</v>
      </c>
      <c r="B222" t="s">
        <v>45</v>
      </c>
      <c r="C222" t="s">
        <v>46</v>
      </c>
      <c r="D222">
        <v>2021</v>
      </c>
      <c r="E222">
        <v>6142.9893055703096</v>
      </c>
      <c r="F222">
        <v>17.989924414360701</v>
      </c>
      <c r="G222">
        <v>3.2356365923707</v>
      </c>
      <c r="H222">
        <v>8</v>
      </c>
      <c r="I222">
        <v>4.59849777347213</v>
      </c>
      <c r="J222">
        <v>10.302</v>
      </c>
      <c r="K222">
        <v>19.8121775410144</v>
      </c>
      <c r="L222">
        <v>21.9951601555351</v>
      </c>
      <c r="M222">
        <v>0.53886215486849698</v>
      </c>
      <c r="N222">
        <v>49.063981087327797</v>
      </c>
      <c r="O222">
        <v>21.675393036644</v>
      </c>
      <c r="P222">
        <v>3.7800384726662402</v>
      </c>
      <c r="Q222">
        <v>22.391507788542</v>
      </c>
      <c r="R222">
        <v>47.5814821772776</v>
      </c>
      <c r="S222">
        <v>-3.2906415738074699</v>
      </c>
      <c r="T222">
        <v>82.2091855724846</v>
      </c>
      <c r="U222">
        <v>-0.32985951613120201</v>
      </c>
      <c r="V222">
        <v>34.719363534704001</v>
      </c>
    </row>
    <row r="223" spans="1:22" x14ac:dyDescent="0.25">
      <c r="A223" t="str">
        <f t="shared" si="3"/>
        <v>Belize2022</v>
      </c>
      <c r="B223" t="s">
        <v>45</v>
      </c>
      <c r="C223" t="s">
        <v>46</v>
      </c>
      <c r="D223">
        <v>2022</v>
      </c>
      <c r="E223">
        <v>7068.2172804314496</v>
      </c>
      <c r="F223">
        <v>9.2505132953099398</v>
      </c>
      <c r="G223">
        <v>6.2768931944754298</v>
      </c>
      <c r="H223">
        <v>8</v>
      </c>
      <c r="I223">
        <v>4.7083303329997799</v>
      </c>
      <c r="J223">
        <v>8.6820000000000004</v>
      </c>
      <c r="K223">
        <v>19.8121775410144</v>
      </c>
      <c r="L223">
        <v>21.9951601555351</v>
      </c>
      <c r="M223">
        <v>7.2868549112327496</v>
      </c>
      <c r="N223">
        <v>47.752345243292602</v>
      </c>
      <c r="O223">
        <v>20.191917433134002</v>
      </c>
      <c r="P223">
        <v>3.3673237004633201</v>
      </c>
      <c r="Q223">
        <v>18.650580358383198</v>
      </c>
      <c r="R223">
        <v>52.578787424392097</v>
      </c>
      <c r="S223">
        <v>-1.0432358738384</v>
      </c>
      <c r="T223">
        <v>66.825580123539297</v>
      </c>
      <c r="U223">
        <v>-0.22664675390380901</v>
      </c>
      <c r="V223">
        <v>36.697521817068299</v>
      </c>
    </row>
    <row r="224" spans="1:22" x14ac:dyDescent="0.25">
      <c r="A224" t="str">
        <f t="shared" si="3"/>
        <v>Belize2023</v>
      </c>
      <c r="B224" t="s">
        <v>45</v>
      </c>
      <c r="C224" t="s">
        <v>46</v>
      </c>
      <c r="D224">
        <v>2023</v>
      </c>
      <c r="E224">
        <v>7424.7582132102198</v>
      </c>
      <c r="F224">
        <v>0.50012794163866703</v>
      </c>
      <c r="G224">
        <v>4.3898401748767402</v>
      </c>
      <c r="H224">
        <v>8</v>
      </c>
      <c r="I224">
        <v>4.8413363479690696</v>
      </c>
      <c r="J224">
        <v>8.2780000000000005</v>
      </c>
      <c r="K224">
        <v>19.8121775410144</v>
      </c>
      <c r="L224">
        <v>21.9951601555351</v>
      </c>
      <c r="M224">
        <v>6.6945920915479</v>
      </c>
      <c r="N224">
        <v>46.700447838421297</v>
      </c>
      <c r="O224">
        <v>18.911209649351498</v>
      </c>
      <c r="P224">
        <v>3.33379982726137</v>
      </c>
      <c r="Q224">
        <v>21.076484673589199</v>
      </c>
      <c r="R224">
        <v>54.930841851311499</v>
      </c>
      <c r="S224">
        <v>-2.4242851692438898</v>
      </c>
      <c r="T224">
        <v>67.495437980755099</v>
      </c>
      <c r="U224">
        <v>-0.313326605821657</v>
      </c>
      <c r="V224">
        <v>35.0362304875364</v>
      </c>
    </row>
    <row r="225" spans="1:22" x14ac:dyDescent="0.25">
      <c r="A225" t="str">
        <f t="shared" si="3"/>
        <v>Belize2024</v>
      </c>
      <c r="B225" t="s">
        <v>45</v>
      </c>
      <c r="C225" t="s">
        <v>46</v>
      </c>
      <c r="D225">
        <v>2024</v>
      </c>
      <c r="E225">
        <v>7681.2440058311304</v>
      </c>
      <c r="F225">
        <v>3.5046643502389498</v>
      </c>
      <c r="G225">
        <v>3.2895598595276798</v>
      </c>
      <c r="H225">
        <v>8</v>
      </c>
      <c r="I225">
        <v>5.0238388381848198</v>
      </c>
      <c r="J225">
        <v>8.6980000000000004</v>
      </c>
      <c r="K225">
        <v>19.8121775410144</v>
      </c>
      <c r="L225">
        <v>21.9951601555351</v>
      </c>
      <c r="M225">
        <v>1.4020053679682101</v>
      </c>
      <c r="N225">
        <v>46.203569976303001</v>
      </c>
      <c r="O225">
        <v>19.787884175703301</v>
      </c>
      <c r="P225">
        <v>3.18652304107597</v>
      </c>
      <c r="Q225">
        <v>20.776094124477801</v>
      </c>
      <c r="R225">
        <v>55.223393649669703</v>
      </c>
      <c r="S225">
        <v>-1.5150696718071901</v>
      </c>
      <c r="T225">
        <v>65.4361194132196</v>
      </c>
      <c r="U225">
        <v>-0.24711979432810899</v>
      </c>
      <c r="V225">
        <v>36.305138999221803</v>
      </c>
    </row>
    <row r="226" spans="1:22" x14ac:dyDescent="0.25">
      <c r="A226" t="str">
        <f t="shared" si="3"/>
        <v>Belize2025</v>
      </c>
      <c r="B226" t="s">
        <v>45</v>
      </c>
      <c r="C226" t="s">
        <v>46</v>
      </c>
      <c r="D226">
        <v>2025</v>
      </c>
      <c r="E226">
        <v>6128.1205308907702</v>
      </c>
      <c r="F226">
        <v>2.7602602736023001</v>
      </c>
      <c r="G226">
        <v>1.1476533930581601</v>
      </c>
      <c r="H226">
        <v>8</v>
      </c>
      <c r="I226">
        <v>4.1943829271854502</v>
      </c>
      <c r="J226">
        <v>8.8559999999999999</v>
      </c>
      <c r="K226">
        <v>19.8121775410144</v>
      </c>
      <c r="L226">
        <v>21.9951601555351</v>
      </c>
      <c r="M226">
        <v>1.4020053679682101</v>
      </c>
      <c r="N226">
        <v>52.936596400354098</v>
      </c>
      <c r="O226">
        <v>16.8394904249154</v>
      </c>
      <c r="P226">
        <v>3.33379982726137</v>
      </c>
      <c r="Q226">
        <v>19.905785254373601</v>
      </c>
      <c r="R226">
        <v>52.018919884880098</v>
      </c>
      <c r="S226">
        <v>-0.96034236547765395</v>
      </c>
      <c r="T226">
        <v>67.884133795579999</v>
      </c>
      <c r="U226">
        <v>-0.31577066064625497</v>
      </c>
      <c r="V226">
        <v>34.989388147602</v>
      </c>
    </row>
    <row r="227" spans="1:22" x14ac:dyDescent="0.25">
      <c r="A227" t="str">
        <f t="shared" si="3"/>
        <v>Bosnia and Herzegovina2010</v>
      </c>
      <c r="B227" t="s">
        <v>47</v>
      </c>
      <c r="C227" t="s">
        <v>48</v>
      </c>
      <c r="D227">
        <v>2010</v>
      </c>
      <c r="E227">
        <v>4506.4782854838904</v>
      </c>
      <c r="F227">
        <v>0.86566723628054398</v>
      </c>
      <c r="G227">
        <v>1.9962123674588601</v>
      </c>
      <c r="H227">
        <v>9</v>
      </c>
      <c r="I227">
        <v>15.1145036765984</v>
      </c>
      <c r="J227">
        <v>27.312000000000001</v>
      </c>
      <c r="K227">
        <v>39.163346131890997</v>
      </c>
      <c r="L227">
        <v>38.370198339420497</v>
      </c>
      <c r="M227">
        <v>1.4062960010107199</v>
      </c>
      <c r="N227">
        <v>44.278955748071901</v>
      </c>
      <c r="O227">
        <v>21.914668588814902</v>
      </c>
      <c r="P227">
        <v>5.8097665563057204</v>
      </c>
      <c r="Q227">
        <v>6.4826322741761899</v>
      </c>
      <c r="R227">
        <v>29.695542186820401</v>
      </c>
      <c r="S227">
        <v>-4.0577521105769101</v>
      </c>
      <c r="T227">
        <v>42.205469520544199</v>
      </c>
      <c r="U227">
        <v>-0.30561237905660199</v>
      </c>
      <c r="V227">
        <v>35.184080048366098</v>
      </c>
    </row>
    <row r="228" spans="1:22" x14ac:dyDescent="0.25">
      <c r="A228" t="str">
        <f t="shared" si="3"/>
        <v>Bosnia and Herzegovina2011</v>
      </c>
      <c r="B228" t="s">
        <v>47</v>
      </c>
      <c r="C228" t="s">
        <v>48</v>
      </c>
      <c r="D228">
        <v>2011</v>
      </c>
      <c r="E228">
        <v>4982.6937576826303</v>
      </c>
      <c r="F228">
        <v>0.95951170972689703</v>
      </c>
      <c r="G228">
        <v>3.6712500000000001</v>
      </c>
      <c r="H228">
        <v>9</v>
      </c>
      <c r="I228">
        <v>15.453655629413401</v>
      </c>
      <c r="J228">
        <v>27.582000000000001</v>
      </c>
      <c r="K228">
        <v>38.118617945259402</v>
      </c>
      <c r="L228">
        <v>38.835604060338397</v>
      </c>
      <c r="M228">
        <v>2.43252743901144</v>
      </c>
      <c r="N228">
        <v>44.645751566274498</v>
      </c>
      <c r="O228">
        <v>22.675906710092701</v>
      </c>
      <c r="P228">
        <v>4.6627930905891803</v>
      </c>
      <c r="Q228">
        <v>5.2293831928018504</v>
      </c>
      <c r="R228">
        <v>32.035971811039801</v>
      </c>
      <c r="S228">
        <v>-2.7275373718752398</v>
      </c>
      <c r="T228">
        <v>40.940843021155104</v>
      </c>
      <c r="U228">
        <v>-0.260420348166641</v>
      </c>
      <c r="V228">
        <v>36.050222841879197</v>
      </c>
    </row>
    <row r="229" spans="1:22" x14ac:dyDescent="0.25">
      <c r="A229" t="str">
        <f t="shared" si="3"/>
        <v>Bosnia and Herzegovina2012</v>
      </c>
      <c r="B229" t="s">
        <v>47</v>
      </c>
      <c r="C229" t="s">
        <v>48</v>
      </c>
      <c r="D229">
        <v>2012</v>
      </c>
      <c r="E229">
        <v>4693.7889911538095</v>
      </c>
      <c r="F229">
        <v>-0.82183725296299304</v>
      </c>
      <c r="G229">
        <v>2.0526745200171699</v>
      </c>
      <c r="H229">
        <v>9</v>
      </c>
      <c r="I229">
        <v>15.8713075222333</v>
      </c>
      <c r="J229">
        <v>28.01</v>
      </c>
      <c r="K229">
        <v>39.032669724316598</v>
      </c>
      <c r="L229">
        <v>39.481276569937101</v>
      </c>
      <c r="M229">
        <v>0.79577413874902403</v>
      </c>
      <c r="N229">
        <v>44.918149432467501</v>
      </c>
      <c r="O229">
        <v>22.883570560659599</v>
      </c>
      <c r="P229">
        <v>5.2467880496683996</v>
      </c>
      <c r="Q229">
        <v>3.88982973486939</v>
      </c>
      <c r="R229">
        <v>32.350541437940898</v>
      </c>
      <c r="S229">
        <v>-3.7578087974455401</v>
      </c>
      <c r="T229">
        <v>43.557457697952898</v>
      </c>
      <c r="U229">
        <v>-0.32533374063783499</v>
      </c>
      <c r="V229">
        <v>34.806103779642001</v>
      </c>
    </row>
    <row r="230" spans="1:22" x14ac:dyDescent="0.25">
      <c r="A230" t="str">
        <f t="shared" si="3"/>
        <v>Bosnia and Herzegovina2013</v>
      </c>
      <c r="B230" t="s">
        <v>47</v>
      </c>
      <c r="C230" t="s">
        <v>48</v>
      </c>
      <c r="D230">
        <v>2013</v>
      </c>
      <c r="E230">
        <v>5034.5663481706797</v>
      </c>
      <c r="F230">
        <v>2.3498587317239701</v>
      </c>
      <c r="G230">
        <v>-9.3045683831758805E-2</v>
      </c>
      <c r="H230">
        <v>9</v>
      </c>
      <c r="I230">
        <v>16.3229580551331</v>
      </c>
      <c r="J230">
        <v>27.49</v>
      </c>
      <c r="K230">
        <v>37.365556666095898</v>
      </c>
      <c r="L230">
        <v>38.448677184618901</v>
      </c>
      <c r="M230">
        <v>-0.224120293699485</v>
      </c>
      <c r="N230">
        <v>45.136315329988101</v>
      </c>
      <c r="O230">
        <v>21.6685850406414</v>
      </c>
      <c r="P230">
        <v>5.8650205795355399</v>
      </c>
      <c r="Q230">
        <v>5.6967975866008898</v>
      </c>
      <c r="R230">
        <v>33.743045559810398</v>
      </c>
      <c r="S230">
        <v>-2.1877464311022901</v>
      </c>
      <c r="T230">
        <v>43.754608753878202</v>
      </c>
      <c r="U230">
        <v>-0.187200008083865</v>
      </c>
      <c r="V230">
        <v>37.453551452086899</v>
      </c>
    </row>
    <row r="231" spans="1:22" x14ac:dyDescent="0.25">
      <c r="A231" t="str">
        <f t="shared" si="3"/>
        <v>Bosnia and Herzegovina2014</v>
      </c>
      <c r="B231" t="s">
        <v>47</v>
      </c>
      <c r="C231" t="s">
        <v>48</v>
      </c>
      <c r="D231">
        <v>2014</v>
      </c>
      <c r="E231">
        <v>5206.0657347513197</v>
      </c>
      <c r="F231">
        <v>1.1538479337129799</v>
      </c>
      <c r="G231">
        <v>-0.89719405419433296</v>
      </c>
      <c r="H231">
        <v>9</v>
      </c>
      <c r="I231">
        <v>16.773763902840798</v>
      </c>
      <c r="J231">
        <v>27.516999999999999</v>
      </c>
      <c r="K231">
        <v>39.9462718086465</v>
      </c>
      <c r="L231">
        <v>39.416853504115302</v>
      </c>
      <c r="M231">
        <v>1.0003395545078599</v>
      </c>
      <c r="N231">
        <v>45.473910759998098</v>
      </c>
      <c r="O231">
        <v>23.034013975183498</v>
      </c>
      <c r="P231">
        <v>5.2976422556605396</v>
      </c>
      <c r="Q231">
        <v>6.2748263411678398</v>
      </c>
      <c r="R231">
        <v>33.989119114367597</v>
      </c>
      <c r="S231">
        <v>-2.86645665970011</v>
      </c>
      <c r="T231">
        <v>47.140102739385902</v>
      </c>
      <c r="U231">
        <v>-0.21208732344537601</v>
      </c>
      <c r="V231">
        <v>36.976565390036598</v>
      </c>
    </row>
    <row r="232" spans="1:22" x14ac:dyDescent="0.25">
      <c r="A232" t="str">
        <f t="shared" si="3"/>
        <v>Bosnia and Herzegovina2015</v>
      </c>
      <c r="B232" t="s">
        <v>47</v>
      </c>
      <c r="C232" t="s">
        <v>48</v>
      </c>
      <c r="D232">
        <v>2015</v>
      </c>
      <c r="E232">
        <v>4662.2586921944803</v>
      </c>
      <c r="F232">
        <v>4.2841301613785401</v>
      </c>
      <c r="G232">
        <v>-1.0360230342547401</v>
      </c>
      <c r="H232">
        <v>9</v>
      </c>
      <c r="I232">
        <v>17.2535174740777</v>
      </c>
      <c r="J232">
        <v>27.695</v>
      </c>
      <c r="K232">
        <v>36.478208839506898</v>
      </c>
      <c r="L232">
        <v>38.135486297455401</v>
      </c>
      <c r="M232">
        <v>1.3954881238710799</v>
      </c>
      <c r="N232">
        <v>46.054761699188397</v>
      </c>
      <c r="O232">
        <v>22.169834577157701</v>
      </c>
      <c r="P232">
        <v>6.2913043218788296</v>
      </c>
      <c r="Q232">
        <v>8.9069742176827305</v>
      </c>
      <c r="R232">
        <v>35.114876723210102</v>
      </c>
      <c r="S232">
        <v>-0.194224025173902</v>
      </c>
      <c r="T232">
        <v>46.375576218672499</v>
      </c>
      <c r="U232">
        <v>-5.8070221226479E-2</v>
      </c>
      <c r="V232">
        <v>39.928431029566902</v>
      </c>
    </row>
    <row r="233" spans="1:22" x14ac:dyDescent="0.25">
      <c r="A233" t="str">
        <f t="shared" si="3"/>
        <v>Bosnia and Herzegovina2016</v>
      </c>
      <c r="B233" t="s">
        <v>47</v>
      </c>
      <c r="C233" t="s">
        <v>48</v>
      </c>
      <c r="D233">
        <v>2016</v>
      </c>
      <c r="E233">
        <v>4928.5665903114004</v>
      </c>
      <c r="F233">
        <v>3.2422582223156602</v>
      </c>
      <c r="G233">
        <v>-1.5841000000000101</v>
      </c>
      <c r="H233">
        <v>9</v>
      </c>
      <c r="I233">
        <v>17.771838953205599</v>
      </c>
      <c r="J233">
        <v>25.408000000000001</v>
      </c>
      <c r="K233">
        <v>34.901023147998004</v>
      </c>
      <c r="L233">
        <v>37.686528027956903</v>
      </c>
      <c r="M233">
        <v>1.3333075043617999</v>
      </c>
      <c r="N233">
        <v>46.815505530200902</v>
      </c>
      <c r="O233">
        <v>23.3303836437325</v>
      </c>
      <c r="P233">
        <v>6.5127582346733099</v>
      </c>
      <c r="Q233">
        <v>11.5142701011758</v>
      </c>
      <c r="R233">
        <v>35.908708912013203</v>
      </c>
      <c r="S233">
        <v>0.34174686372055402</v>
      </c>
      <c r="T233">
        <v>44.874290086586797</v>
      </c>
      <c r="U233">
        <v>1.1327411533502901E-2</v>
      </c>
      <c r="V233">
        <v>41.258494280060901</v>
      </c>
    </row>
    <row r="234" spans="1:22" x14ac:dyDescent="0.25">
      <c r="A234" t="str">
        <f t="shared" si="3"/>
        <v>Bosnia and Herzegovina2017</v>
      </c>
      <c r="B234" t="s">
        <v>47</v>
      </c>
      <c r="C234" t="s">
        <v>48</v>
      </c>
      <c r="D234">
        <v>2017</v>
      </c>
      <c r="E234">
        <v>5345.0197876647298</v>
      </c>
      <c r="F234">
        <v>3.2440989530659401</v>
      </c>
      <c r="G234">
        <v>0.810133321953038</v>
      </c>
      <c r="H234">
        <v>9</v>
      </c>
      <c r="I234">
        <v>18.338880896671</v>
      </c>
      <c r="J234">
        <v>20.527000000000001</v>
      </c>
      <c r="K234">
        <v>33.889925713582102</v>
      </c>
      <c r="L234">
        <v>38.186252941626698</v>
      </c>
      <c r="M234">
        <v>1.77870637884602</v>
      </c>
      <c r="N234">
        <v>47.713523783264499</v>
      </c>
      <c r="O234">
        <v>25.164290473131899</v>
      </c>
      <c r="P234">
        <v>7.0082895846474802</v>
      </c>
      <c r="Q234">
        <v>13.7344813559738</v>
      </c>
      <c r="R234">
        <v>40.324411681104102</v>
      </c>
      <c r="S234">
        <v>1.7894944946083799</v>
      </c>
      <c r="T234">
        <v>38.615912540540101</v>
      </c>
      <c r="U234">
        <v>0.22221635686226399</v>
      </c>
      <c r="V234">
        <v>45.300356011675703</v>
      </c>
    </row>
    <row r="235" spans="1:22" x14ac:dyDescent="0.25">
      <c r="A235" t="str">
        <f t="shared" si="3"/>
        <v>Bosnia and Herzegovina2018</v>
      </c>
      <c r="B235" t="s">
        <v>47</v>
      </c>
      <c r="C235" t="s">
        <v>48</v>
      </c>
      <c r="D235">
        <v>2018</v>
      </c>
      <c r="E235">
        <v>6047.8470720739197</v>
      </c>
      <c r="F235">
        <v>3.8290039934906401</v>
      </c>
      <c r="G235">
        <v>1.41710814018033</v>
      </c>
      <c r="H235">
        <v>9</v>
      </c>
      <c r="I235">
        <v>18.9760112193682</v>
      </c>
      <c r="J235">
        <v>18.399999999999999</v>
      </c>
      <c r="K235">
        <v>34.499340452826097</v>
      </c>
      <c r="L235">
        <v>38.327704325462101</v>
      </c>
      <c r="M235">
        <v>2.7901573396608401</v>
      </c>
      <c r="N235">
        <v>48.798127085951897</v>
      </c>
      <c r="O235">
        <v>24.812020669430499</v>
      </c>
      <c r="P235">
        <v>6.6461283674748799</v>
      </c>
      <c r="Q235">
        <v>16.680992557149299</v>
      </c>
      <c r="R235">
        <v>41.984553849330098</v>
      </c>
      <c r="S235">
        <v>1.63188019087108</v>
      </c>
      <c r="T235">
        <v>34.511211247840301</v>
      </c>
      <c r="U235">
        <v>0.32399852236874499</v>
      </c>
      <c r="V235">
        <v>47.251095720104701</v>
      </c>
    </row>
    <row r="236" spans="1:22" x14ac:dyDescent="0.25">
      <c r="A236" t="str">
        <f t="shared" si="3"/>
        <v>Bosnia and Herzegovina2019</v>
      </c>
      <c r="B236" t="s">
        <v>47</v>
      </c>
      <c r="C236" t="s">
        <v>48</v>
      </c>
      <c r="D236">
        <v>2019</v>
      </c>
      <c r="E236">
        <v>6122.3754135235304</v>
      </c>
      <c r="F236">
        <v>2.8858524208397802</v>
      </c>
      <c r="G236">
        <v>0.56278215406123</v>
      </c>
      <c r="H236">
        <v>9</v>
      </c>
      <c r="I236">
        <v>19.645688743766701</v>
      </c>
      <c r="J236">
        <v>15.692</v>
      </c>
      <c r="K236">
        <v>34.0521685440035</v>
      </c>
      <c r="L236">
        <v>37.558154559576401</v>
      </c>
      <c r="M236">
        <v>2.4729699173427799</v>
      </c>
      <c r="N236">
        <v>49.991952386823399</v>
      </c>
      <c r="O236">
        <v>25.191036133546401</v>
      </c>
      <c r="P236">
        <v>7.2830046487179301</v>
      </c>
      <c r="Q236">
        <v>18.985001885097201</v>
      </c>
      <c r="R236">
        <v>40.040069270151001</v>
      </c>
      <c r="S236">
        <v>1.3676799915612099</v>
      </c>
      <c r="T236">
        <v>32.7823445031608</v>
      </c>
      <c r="U236">
        <v>0.36778325444705801</v>
      </c>
      <c r="V236">
        <v>48.090266463457198</v>
      </c>
    </row>
    <row r="237" spans="1:22" x14ac:dyDescent="0.25">
      <c r="A237" t="str">
        <f t="shared" si="3"/>
        <v>Bosnia and Herzegovina2020</v>
      </c>
      <c r="B237" t="s">
        <v>47</v>
      </c>
      <c r="C237" t="s">
        <v>48</v>
      </c>
      <c r="D237">
        <v>2020</v>
      </c>
      <c r="E237">
        <v>6130.3118796826602</v>
      </c>
      <c r="F237">
        <v>-3.0150933546043901</v>
      </c>
      <c r="G237">
        <v>-1.0512960076348901</v>
      </c>
      <c r="H237">
        <v>9</v>
      </c>
      <c r="I237">
        <v>20.242717541745701</v>
      </c>
      <c r="J237">
        <v>15.868</v>
      </c>
      <c r="K237">
        <v>38.361462511176804</v>
      </c>
      <c r="L237">
        <v>37.449576793016099</v>
      </c>
      <c r="M237">
        <v>6.2148513451916201E-2</v>
      </c>
      <c r="N237">
        <v>51.071237732770001</v>
      </c>
      <c r="O237">
        <v>23.4676997821764</v>
      </c>
      <c r="P237">
        <v>10.0633908676273</v>
      </c>
      <c r="Q237">
        <v>16.331183714320598</v>
      </c>
      <c r="R237">
        <v>34.591855502093701</v>
      </c>
      <c r="S237">
        <v>-4.50158266387447</v>
      </c>
      <c r="T237">
        <v>37.248796355523297</v>
      </c>
      <c r="U237">
        <v>6.5783364289618104E-2</v>
      </c>
      <c r="V237">
        <v>42.3021878276788</v>
      </c>
    </row>
    <row r="238" spans="1:22" x14ac:dyDescent="0.25">
      <c r="A238" t="str">
        <f t="shared" si="3"/>
        <v>Bosnia and Herzegovina2021</v>
      </c>
      <c r="B238" t="s">
        <v>47</v>
      </c>
      <c r="C238" t="s">
        <v>48</v>
      </c>
      <c r="D238">
        <v>2021</v>
      </c>
      <c r="E238">
        <v>7295.3437868225801</v>
      </c>
      <c r="F238">
        <v>7.3916425647284596</v>
      </c>
      <c r="G238">
        <v>1.9816390058762201</v>
      </c>
      <c r="H238">
        <v>9</v>
      </c>
      <c r="I238">
        <v>20.677692661501101</v>
      </c>
      <c r="J238">
        <v>14.897</v>
      </c>
      <c r="K238">
        <v>34.858904589829002</v>
      </c>
      <c r="L238">
        <v>36.770786814572197</v>
      </c>
      <c r="M238">
        <v>4.9629522580304597</v>
      </c>
      <c r="N238">
        <v>51.882555145010997</v>
      </c>
      <c r="O238">
        <v>26.253024536346601</v>
      </c>
      <c r="P238">
        <v>8.26116786627429</v>
      </c>
      <c r="Q238">
        <v>20.3863058765881</v>
      </c>
      <c r="R238">
        <v>42.822592967313902</v>
      </c>
      <c r="S238">
        <v>-0.176683339520221</v>
      </c>
      <c r="T238">
        <v>35.751779535110103</v>
      </c>
      <c r="U238">
        <v>0.38965401899921098</v>
      </c>
      <c r="V238">
        <v>48.509437824699901</v>
      </c>
    </row>
    <row r="239" spans="1:22" x14ac:dyDescent="0.25">
      <c r="A239" t="str">
        <f t="shared" si="3"/>
        <v>Bosnia and Herzegovina2022</v>
      </c>
      <c r="B239" t="s">
        <v>47</v>
      </c>
      <c r="C239" t="s">
        <v>48</v>
      </c>
      <c r="D239">
        <v>2022</v>
      </c>
      <c r="E239">
        <v>7655.5942102438303</v>
      </c>
      <c r="F239">
        <v>4.2268133339032499</v>
      </c>
      <c r="G239">
        <v>14.020844082677099</v>
      </c>
      <c r="H239">
        <v>9</v>
      </c>
      <c r="I239">
        <v>21.103269406347099</v>
      </c>
      <c r="J239">
        <v>12.657</v>
      </c>
      <c r="K239">
        <v>33.423770509092698</v>
      </c>
      <c r="L239">
        <v>35.874435283440498</v>
      </c>
      <c r="M239">
        <v>11.808838185719701</v>
      </c>
      <c r="N239">
        <v>52.624590793192098</v>
      </c>
      <c r="O239">
        <v>27.9026680250212</v>
      </c>
      <c r="P239">
        <v>6.4663967978246104</v>
      </c>
      <c r="Q239">
        <v>21.460089150275302</v>
      </c>
      <c r="R239">
        <v>48.3071273410035</v>
      </c>
      <c r="S239">
        <v>0.149044573459789</v>
      </c>
      <c r="T239">
        <v>31.218771081401002</v>
      </c>
      <c r="U239">
        <v>0.406962043701667</v>
      </c>
      <c r="V239">
        <v>48.841160488425302</v>
      </c>
    </row>
    <row r="240" spans="1:22" x14ac:dyDescent="0.25">
      <c r="A240" t="str">
        <f t="shared" si="3"/>
        <v>Bosnia and Herzegovina2023</v>
      </c>
      <c r="B240" t="s">
        <v>47</v>
      </c>
      <c r="C240" t="s">
        <v>48</v>
      </c>
      <c r="D240">
        <v>2023</v>
      </c>
      <c r="E240">
        <v>8663.0232645862907</v>
      </c>
      <c r="F240">
        <v>1.99439414850893</v>
      </c>
      <c r="G240">
        <v>6.1059011284827998</v>
      </c>
      <c r="H240">
        <v>9</v>
      </c>
      <c r="I240">
        <v>21.642423894208999</v>
      </c>
      <c r="J240">
        <v>10.667999999999999</v>
      </c>
      <c r="K240">
        <v>35.295510596777802</v>
      </c>
      <c r="L240">
        <v>36.574569000820503</v>
      </c>
      <c r="M240">
        <v>7.2912283109476199</v>
      </c>
      <c r="N240">
        <v>53.521021534866598</v>
      </c>
      <c r="O240">
        <v>27.043399752587401</v>
      </c>
      <c r="P240">
        <v>6.6585372846366901</v>
      </c>
      <c r="Q240">
        <v>20.7973286910875</v>
      </c>
      <c r="R240">
        <v>43.931739417174299</v>
      </c>
      <c r="S240">
        <v>-1.6709737214563301</v>
      </c>
      <c r="T240">
        <v>28.984290751575799</v>
      </c>
      <c r="U240">
        <v>0.37421238974101201</v>
      </c>
      <c r="V240">
        <v>48.2134861792725</v>
      </c>
    </row>
    <row r="241" spans="1:22" x14ac:dyDescent="0.25">
      <c r="A241" t="str">
        <f t="shared" si="3"/>
        <v>Bosnia and Herzegovina2024</v>
      </c>
      <c r="B241" t="s">
        <v>47</v>
      </c>
      <c r="C241" t="s">
        <v>48</v>
      </c>
      <c r="D241">
        <v>2024</v>
      </c>
      <c r="E241">
        <v>9358.7876895113404</v>
      </c>
      <c r="F241">
        <v>2.9715174617651998</v>
      </c>
      <c r="G241">
        <v>1.69212733599723</v>
      </c>
      <c r="H241">
        <v>9</v>
      </c>
      <c r="I241">
        <v>22.230238858902901</v>
      </c>
      <c r="J241">
        <v>10.69</v>
      </c>
      <c r="K241">
        <v>35.886859718142297</v>
      </c>
      <c r="L241">
        <v>37.795779842376703</v>
      </c>
      <c r="M241">
        <v>4.1336750202809496</v>
      </c>
      <c r="N241">
        <v>54.4832427940866</v>
      </c>
      <c r="O241">
        <v>27.479854363065002</v>
      </c>
      <c r="P241">
        <v>6.4858172970710104</v>
      </c>
      <c r="Q241">
        <v>21.082828023098902</v>
      </c>
      <c r="R241">
        <v>40.872841121631502</v>
      </c>
      <c r="S241">
        <v>-1.96423875614157</v>
      </c>
      <c r="T241">
        <v>29.403267958793698</v>
      </c>
      <c r="U241">
        <v>0.38587656485225802</v>
      </c>
      <c r="V241">
        <v>48.437039779673398</v>
      </c>
    </row>
    <row r="242" spans="1:22" x14ac:dyDescent="0.25">
      <c r="A242" t="str">
        <f t="shared" si="3"/>
        <v>Bosnia and Herzegovina2025</v>
      </c>
      <c r="B242" t="s">
        <v>47</v>
      </c>
      <c r="C242" t="s">
        <v>48</v>
      </c>
      <c r="D242">
        <v>2025</v>
      </c>
      <c r="E242">
        <v>5345.0197876647298</v>
      </c>
      <c r="F242">
        <v>2.8858524208397802</v>
      </c>
      <c r="G242">
        <v>1.41710814018033</v>
      </c>
      <c r="H242">
        <v>9</v>
      </c>
      <c r="I242">
        <v>18.338880896671</v>
      </c>
      <c r="J242">
        <v>11.037000000000001</v>
      </c>
      <c r="K242">
        <v>35.886859718142297</v>
      </c>
      <c r="L242">
        <v>38.135486297455401</v>
      </c>
      <c r="M242">
        <v>1.77870637884602</v>
      </c>
      <c r="N242">
        <v>47.713523783264499</v>
      </c>
      <c r="O242">
        <v>23.4676997821764</v>
      </c>
      <c r="P242">
        <v>6.4858172970710104</v>
      </c>
      <c r="Q242">
        <v>13.7344813559738</v>
      </c>
      <c r="R242">
        <v>35.908708912013203</v>
      </c>
      <c r="S242">
        <v>-2.4051295478721402</v>
      </c>
      <c r="T242">
        <v>29.932356920248299</v>
      </c>
      <c r="U242">
        <v>0.25568606252862702</v>
      </c>
      <c r="V242">
        <v>45.941830709604503</v>
      </c>
    </row>
    <row r="243" spans="1:22" x14ac:dyDescent="0.25">
      <c r="A243" t="str">
        <f t="shared" si="3"/>
        <v>Brazil2010</v>
      </c>
      <c r="B243" t="s">
        <v>49</v>
      </c>
      <c r="C243" t="s">
        <v>50</v>
      </c>
      <c r="D243">
        <v>2010</v>
      </c>
      <c r="E243">
        <v>11403.284003869399</v>
      </c>
      <c r="F243">
        <v>7.52822581812151</v>
      </c>
      <c r="G243">
        <v>5.0387269010807403</v>
      </c>
      <c r="H243">
        <v>8</v>
      </c>
      <c r="I243">
        <v>6.6668860931506604</v>
      </c>
      <c r="J243">
        <v>8.42</v>
      </c>
      <c r="K243">
        <v>28.0594682315254</v>
      </c>
      <c r="L243">
        <v>25.901384088977299</v>
      </c>
      <c r="M243">
        <v>8.4233383392833794</v>
      </c>
      <c r="N243">
        <v>45.718725668807302</v>
      </c>
      <c r="O243">
        <v>21.801321557925998</v>
      </c>
      <c r="P243">
        <v>10.228060888510001</v>
      </c>
      <c r="Q243">
        <v>17.802399330785299</v>
      </c>
      <c r="R243">
        <v>10.865584776017601</v>
      </c>
      <c r="S243">
        <v>-3.5537450557564401</v>
      </c>
      <c r="T243">
        <v>62.433201865446001</v>
      </c>
      <c r="U243">
        <v>-0.26845411117149498</v>
      </c>
      <c r="V243">
        <v>35.896249103712996</v>
      </c>
    </row>
    <row r="244" spans="1:22" x14ac:dyDescent="0.25">
      <c r="A244" t="str">
        <f t="shared" si="3"/>
        <v>Brazil2011</v>
      </c>
      <c r="B244" t="s">
        <v>49</v>
      </c>
      <c r="C244" t="s">
        <v>50</v>
      </c>
      <c r="D244">
        <v>2011</v>
      </c>
      <c r="E244">
        <v>13396.6263158041</v>
      </c>
      <c r="F244">
        <v>3.9744230794470199</v>
      </c>
      <c r="G244">
        <v>6.6364496221309004</v>
      </c>
      <c r="H244">
        <v>8</v>
      </c>
      <c r="I244">
        <v>6.88200029275714</v>
      </c>
      <c r="J244">
        <v>7.5780000000000003</v>
      </c>
      <c r="K244">
        <v>28.662521677918701</v>
      </c>
      <c r="L244">
        <v>25.997442538722101</v>
      </c>
      <c r="M244">
        <v>8.3185922197489095</v>
      </c>
      <c r="N244">
        <v>45.160999440770603</v>
      </c>
      <c r="O244">
        <v>21.826271117187002</v>
      </c>
      <c r="P244">
        <v>10.526578463723499</v>
      </c>
      <c r="Q244">
        <v>18.601266411590899</v>
      </c>
      <c r="R244">
        <v>11.5825126792652</v>
      </c>
      <c r="S244">
        <v>-2.7413265090142902</v>
      </c>
      <c r="T244">
        <v>60.6337096395198</v>
      </c>
      <c r="U244">
        <v>-0.204550565507573</v>
      </c>
      <c r="V244">
        <v>37.1210136134452</v>
      </c>
    </row>
    <row r="245" spans="1:22" x14ac:dyDescent="0.25">
      <c r="A245" t="str">
        <f t="shared" si="3"/>
        <v>Brazil2012</v>
      </c>
      <c r="B245" t="s">
        <v>49</v>
      </c>
      <c r="C245" t="s">
        <v>50</v>
      </c>
      <c r="D245">
        <v>2012</v>
      </c>
      <c r="E245">
        <v>12521.723845443399</v>
      </c>
      <c r="F245">
        <v>1.92117598509462</v>
      </c>
      <c r="G245">
        <v>5.4034991403699699</v>
      </c>
      <c r="H245">
        <v>8</v>
      </c>
      <c r="I245">
        <v>7.11476668920292</v>
      </c>
      <c r="J245">
        <v>7.2510000000000003</v>
      </c>
      <c r="K245">
        <v>28.174999308018201</v>
      </c>
      <c r="L245">
        <v>26.371386639903999</v>
      </c>
      <c r="M245">
        <v>7.9431269374762801</v>
      </c>
      <c r="N245">
        <v>44.642900935626201</v>
      </c>
      <c r="O245">
        <v>21.4172253693275</v>
      </c>
      <c r="P245">
        <v>11.630953011388501</v>
      </c>
      <c r="Q245">
        <v>17.678108499771</v>
      </c>
      <c r="R245">
        <v>11.8775390706917</v>
      </c>
      <c r="S245">
        <v>-2.3513260542384198</v>
      </c>
      <c r="T245">
        <v>61.614254833442303</v>
      </c>
      <c r="U245">
        <v>-0.19110362893975599</v>
      </c>
      <c r="V245">
        <v>37.378735317331397</v>
      </c>
    </row>
    <row r="246" spans="1:22" x14ac:dyDescent="0.25">
      <c r="A246" t="str">
        <f t="shared" si="3"/>
        <v>Brazil2013</v>
      </c>
      <c r="B246" t="s">
        <v>49</v>
      </c>
      <c r="C246" t="s">
        <v>50</v>
      </c>
      <c r="D246">
        <v>2013</v>
      </c>
      <c r="E246">
        <v>12458.890339662499</v>
      </c>
      <c r="F246">
        <v>3.0048226702887999</v>
      </c>
      <c r="G246">
        <v>6.2043106664009997</v>
      </c>
      <c r="H246">
        <v>14</v>
      </c>
      <c r="I246">
        <v>7.3702848305590196</v>
      </c>
      <c r="J246">
        <v>7.0709999999999997</v>
      </c>
      <c r="K246">
        <v>28.150486422125901</v>
      </c>
      <c r="L246">
        <v>25.440711857889902</v>
      </c>
      <c r="M246">
        <v>7.5045645326907504</v>
      </c>
      <c r="N246">
        <v>44.175117347950703</v>
      </c>
      <c r="O246">
        <v>21.693766956067901</v>
      </c>
      <c r="P246">
        <v>11.204987102340899</v>
      </c>
      <c r="Q246">
        <v>18.151690835571401</v>
      </c>
      <c r="R246">
        <v>11.7422306467311</v>
      </c>
      <c r="S246">
        <v>-3.42213266452872</v>
      </c>
      <c r="T246">
        <v>59.594681891082899</v>
      </c>
      <c r="U246">
        <v>9.2493384640430304E-2</v>
      </c>
      <c r="V246">
        <v>42.814107544183202</v>
      </c>
    </row>
    <row r="247" spans="1:22" x14ac:dyDescent="0.25">
      <c r="A247" t="str">
        <f t="shared" si="3"/>
        <v>Brazil2014</v>
      </c>
      <c r="B247" t="s">
        <v>49</v>
      </c>
      <c r="C247" t="s">
        <v>50</v>
      </c>
      <c r="D247">
        <v>2014</v>
      </c>
      <c r="E247">
        <v>12274.9941630213</v>
      </c>
      <c r="F247">
        <v>0.50395574027324097</v>
      </c>
      <c r="G247">
        <v>6.3290401551613797</v>
      </c>
      <c r="H247">
        <v>14</v>
      </c>
      <c r="I247">
        <v>7.6535758702344703</v>
      </c>
      <c r="J247">
        <v>6.7549999999999999</v>
      </c>
      <c r="K247">
        <v>29.282236006397699</v>
      </c>
      <c r="L247">
        <v>24.0410606265404</v>
      </c>
      <c r="M247">
        <v>7.8467097511984303</v>
      </c>
      <c r="N247">
        <v>43.818370332203401</v>
      </c>
      <c r="O247">
        <v>20.548410755818399</v>
      </c>
      <c r="P247">
        <v>11.347404353696099</v>
      </c>
      <c r="Q247">
        <v>16.134404990982901</v>
      </c>
      <c r="R247">
        <v>11.0119428189165</v>
      </c>
      <c r="S247">
        <v>-6.2749316586303703</v>
      </c>
      <c r="T247">
        <v>61.617149151600799</v>
      </c>
      <c r="U247">
        <v>-6.7889655507410801E-2</v>
      </c>
      <c r="V247">
        <v>39.7402334188086</v>
      </c>
    </row>
    <row r="248" spans="1:22" x14ac:dyDescent="0.25">
      <c r="A248" t="str">
        <f t="shared" si="3"/>
        <v>Brazil2015</v>
      </c>
      <c r="B248" t="s">
        <v>49</v>
      </c>
      <c r="C248" t="s">
        <v>50</v>
      </c>
      <c r="D248">
        <v>2015</v>
      </c>
      <c r="E248">
        <v>8936.1955889443998</v>
      </c>
      <c r="F248">
        <v>-3.5457633934727801</v>
      </c>
      <c r="G248">
        <v>9.0299010241613598</v>
      </c>
      <c r="H248">
        <v>14</v>
      </c>
      <c r="I248">
        <v>7.9568073235577197</v>
      </c>
      <c r="J248">
        <v>8.5380000000000003</v>
      </c>
      <c r="K248">
        <v>33.949178806434197</v>
      </c>
      <c r="L248">
        <v>25.812325214043099</v>
      </c>
      <c r="M248">
        <v>7.5661750078690497</v>
      </c>
      <c r="N248">
        <v>43.593593444992401</v>
      </c>
      <c r="O248">
        <v>17.4116258667237</v>
      </c>
      <c r="P248">
        <v>14.648248845814701</v>
      </c>
      <c r="Q248">
        <v>14.5293471931478</v>
      </c>
      <c r="R248">
        <v>12.9001914186486</v>
      </c>
      <c r="S248">
        <v>-9.2813770589268696</v>
      </c>
      <c r="T248">
        <v>71.729676542302698</v>
      </c>
      <c r="U248">
        <v>-0.208084133852252</v>
      </c>
      <c r="V248">
        <v>37.053289842309901</v>
      </c>
    </row>
    <row r="249" spans="1:22" x14ac:dyDescent="0.25">
      <c r="A249" t="str">
        <f t="shared" si="3"/>
        <v>Brazil2016</v>
      </c>
      <c r="B249" t="s">
        <v>49</v>
      </c>
      <c r="C249" t="s">
        <v>50</v>
      </c>
      <c r="D249">
        <v>2016</v>
      </c>
      <c r="E249">
        <v>8836.2854602569405</v>
      </c>
      <c r="F249">
        <v>-3.2759169063211</v>
      </c>
      <c r="G249">
        <v>8.7391435232939294</v>
      </c>
      <c r="H249">
        <v>14</v>
      </c>
      <c r="I249">
        <v>8.2685739526855695</v>
      </c>
      <c r="J249">
        <v>11.58</v>
      </c>
      <c r="K249">
        <v>33.405168139552799</v>
      </c>
      <c r="L249">
        <v>26.173225388189</v>
      </c>
      <c r="M249">
        <v>8.1036043733262204</v>
      </c>
      <c r="N249">
        <v>43.439810912360102</v>
      </c>
      <c r="O249">
        <v>14.9695469727335</v>
      </c>
      <c r="P249">
        <v>16.603420140758502</v>
      </c>
      <c r="Q249">
        <v>13.4217530369835</v>
      </c>
      <c r="R249">
        <v>12.466679042812499</v>
      </c>
      <c r="S249">
        <v>-7.9906140693345504</v>
      </c>
      <c r="T249">
        <v>77.422190765150802</v>
      </c>
      <c r="U249">
        <v>-0.18268455176548701</v>
      </c>
      <c r="V249">
        <v>37.540093921468497</v>
      </c>
    </row>
    <row r="250" spans="1:22" x14ac:dyDescent="0.25">
      <c r="A250" t="str">
        <f t="shared" si="3"/>
        <v>Brazil2017</v>
      </c>
      <c r="B250" t="s">
        <v>49</v>
      </c>
      <c r="C250" t="s">
        <v>50</v>
      </c>
      <c r="D250">
        <v>2017</v>
      </c>
      <c r="E250">
        <v>10080.5078722821</v>
      </c>
      <c r="F250">
        <v>1.32286905390815</v>
      </c>
      <c r="G250">
        <v>3.4463733503266898</v>
      </c>
      <c r="H250">
        <v>14</v>
      </c>
      <c r="I250">
        <v>8.5916529152696999</v>
      </c>
      <c r="J250">
        <v>12.792</v>
      </c>
      <c r="K250">
        <v>32.361051008814599</v>
      </c>
      <c r="L250">
        <v>24.3609920782892</v>
      </c>
      <c r="M250">
        <v>3.6713845041894499</v>
      </c>
      <c r="N250">
        <v>43.371330088419199</v>
      </c>
      <c r="O250">
        <v>14.6255875977741</v>
      </c>
      <c r="P250">
        <v>14.8647023427237</v>
      </c>
      <c r="Q250">
        <v>13.5777697053897</v>
      </c>
      <c r="R250">
        <v>12.518967870501401</v>
      </c>
      <c r="S250">
        <v>-7.9696713340646896</v>
      </c>
      <c r="T250">
        <v>82.744952688190693</v>
      </c>
      <c r="U250">
        <v>-0.19672048180241</v>
      </c>
      <c r="V250">
        <v>37.271083668724302</v>
      </c>
    </row>
    <row r="251" spans="1:22" x14ac:dyDescent="0.25">
      <c r="A251" t="str">
        <f t="shared" si="3"/>
        <v>Brazil2018</v>
      </c>
      <c r="B251" t="s">
        <v>49</v>
      </c>
      <c r="C251" t="s">
        <v>50</v>
      </c>
      <c r="D251">
        <v>2018</v>
      </c>
      <c r="E251">
        <v>9300.6607290400407</v>
      </c>
      <c r="F251">
        <v>1.7836667613700301</v>
      </c>
      <c r="G251">
        <v>3.6648502837672798</v>
      </c>
      <c r="H251">
        <v>14</v>
      </c>
      <c r="I251">
        <v>8.9278502151553294</v>
      </c>
      <c r="J251">
        <v>12.329000000000001</v>
      </c>
      <c r="K251">
        <v>32.231297893177398</v>
      </c>
      <c r="L251">
        <v>25.2724385286024</v>
      </c>
      <c r="M251">
        <v>4.4935343278323101</v>
      </c>
      <c r="N251">
        <v>43.4316522323209</v>
      </c>
      <c r="O251">
        <v>15.095041629789399</v>
      </c>
      <c r="P251">
        <v>13.202166862987999</v>
      </c>
      <c r="Q251">
        <v>12.707419952605401</v>
      </c>
      <c r="R251">
        <v>14.634999495879599</v>
      </c>
      <c r="S251">
        <v>-6.9901381779918399</v>
      </c>
      <c r="T251">
        <v>84.777045690181396</v>
      </c>
      <c r="U251">
        <v>-0.15134912998668201</v>
      </c>
      <c r="V251">
        <v>38.140663296664201</v>
      </c>
    </row>
    <row r="252" spans="1:22" x14ac:dyDescent="0.25">
      <c r="A252" t="str">
        <f t="shared" si="3"/>
        <v>Brazil2019</v>
      </c>
      <c r="B252" t="s">
        <v>49</v>
      </c>
      <c r="C252" t="s">
        <v>50</v>
      </c>
      <c r="D252">
        <v>2019</v>
      </c>
      <c r="E252">
        <v>9029.8330440107893</v>
      </c>
      <c r="F252">
        <v>1.2207778227194299</v>
      </c>
      <c r="G252">
        <v>3.7329762121689298</v>
      </c>
      <c r="H252">
        <v>14</v>
      </c>
      <c r="I252">
        <v>9.2730743487615896</v>
      </c>
      <c r="J252">
        <v>11.936</v>
      </c>
      <c r="K252">
        <v>31.136155785269899</v>
      </c>
      <c r="L252">
        <v>25.560040130607199</v>
      </c>
      <c r="M252">
        <v>4.2242588637823699</v>
      </c>
      <c r="N252">
        <v>43.539748300108897</v>
      </c>
      <c r="O252">
        <v>15.516790801670901</v>
      </c>
      <c r="P252">
        <v>12.2312070465135</v>
      </c>
      <c r="Q252">
        <v>12.306400613169499</v>
      </c>
      <c r="R252">
        <v>14.122919190909499</v>
      </c>
      <c r="S252">
        <v>-4.8585262031939802</v>
      </c>
      <c r="T252">
        <v>87.118480811904504</v>
      </c>
      <c r="U252">
        <v>-7.9571360101256094E-2</v>
      </c>
      <c r="V252">
        <v>39.516343851319498</v>
      </c>
    </row>
    <row r="253" spans="1:22" x14ac:dyDescent="0.25">
      <c r="A253" t="str">
        <f t="shared" si="3"/>
        <v>Brazil2020</v>
      </c>
      <c r="B253" t="s">
        <v>49</v>
      </c>
      <c r="C253" t="s">
        <v>50</v>
      </c>
      <c r="D253">
        <v>2020</v>
      </c>
      <c r="E253">
        <v>7074.1940749570704</v>
      </c>
      <c r="F253">
        <v>-3.2767587961290299</v>
      </c>
      <c r="G253">
        <v>3.2117680380337599</v>
      </c>
      <c r="H253">
        <v>14</v>
      </c>
      <c r="I253">
        <v>9.5986648764729292</v>
      </c>
      <c r="J253">
        <v>13.696999999999999</v>
      </c>
      <c r="K253">
        <v>34.911974828717099</v>
      </c>
      <c r="L253">
        <v>22.1948673455795</v>
      </c>
      <c r="M253">
        <v>6.4724996231127401</v>
      </c>
      <c r="N253">
        <v>43.586067027448003</v>
      </c>
      <c r="O253">
        <v>16.115820604405901</v>
      </c>
      <c r="P253">
        <v>14.943876988227199</v>
      </c>
      <c r="Q253">
        <v>14.840081817909301</v>
      </c>
      <c r="R253">
        <v>16.453552009970899</v>
      </c>
      <c r="S253">
        <v>-11.636888086393901</v>
      </c>
      <c r="T253">
        <v>96.006838854726197</v>
      </c>
      <c r="U253">
        <v>-0.46041953854628098</v>
      </c>
      <c r="V253">
        <v>32.217072305281697</v>
      </c>
    </row>
    <row r="254" spans="1:22" x14ac:dyDescent="0.25">
      <c r="A254" t="str">
        <f t="shared" si="3"/>
        <v>Brazil2021</v>
      </c>
      <c r="B254" t="s">
        <v>49</v>
      </c>
      <c r="C254" t="s">
        <v>50</v>
      </c>
      <c r="D254">
        <v>2021</v>
      </c>
      <c r="E254">
        <v>7972.5369608069504</v>
      </c>
      <c r="F254">
        <v>4.7626043797061</v>
      </c>
      <c r="G254">
        <v>8.3016597558567309</v>
      </c>
      <c r="H254">
        <v>14</v>
      </c>
      <c r="I254">
        <v>9.9110999099815196</v>
      </c>
      <c r="J254">
        <v>13.157999999999999</v>
      </c>
      <c r="K254">
        <v>29.498104322117001</v>
      </c>
      <c r="L254">
        <v>24.6358299212806</v>
      </c>
      <c r="M254">
        <v>13.047270859634301</v>
      </c>
      <c r="N254">
        <v>43.640469839334202</v>
      </c>
      <c r="O254">
        <v>19.521885020934</v>
      </c>
      <c r="P254">
        <v>11.1402301211994</v>
      </c>
      <c r="Q254">
        <v>17.217024456445699</v>
      </c>
      <c r="R254">
        <v>19.109430368696401</v>
      </c>
      <c r="S254">
        <v>-2.63074887774094</v>
      </c>
      <c r="T254">
        <v>88.934272465397399</v>
      </c>
      <c r="U254">
        <v>1.6277149160828199E-2</v>
      </c>
      <c r="V254">
        <v>41.3533601112985</v>
      </c>
    </row>
    <row r="255" spans="1:22" x14ac:dyDescent="0.25">
      <c r="A255" t="str">
        <f t="shared" si="3"/>
        <v>Brazil2022</v>
      </c>
      <c r="B255" t="s">
        <v>49</v>
      </c>
      <c r="C255" t="s">
        <v>50</v>
      </c>
      <c r="D255">
        <v>2022</v>
      </c>
      <c r="E255">
        <v>9281.33282136864</v>
      </c>
      <c r="F255">
        <v>3.0166943540811202</v>
      </c>
      <c r="G255">
        <v>9.2801060895687204</v>
      </c>
      <c r="H255">
        <v>14</v>
      </c>
      <c r="I255">
        <v>10.251784783292999</v>
      </c>
      <c r="J255">
        <v>9.2309999999999999</v>
      </c>
      <c r="K255">
        <v>31.641435845492399</v>
      </c>
      <c r="L255">
        <v>26.936513462033101</v>
      </c>
      <c r="M255">
        <v>8.5702819614254793</v>
      </c>
      <c r="N255">
        <v>43.7902629940777</v>
      </c>
      <c r="O255">
        <v>18.088220444279099</v>
      </c>
      <c r="P255">
        <v>8.3357921852961994</v>
      </c>
      <c r="Q255">
        <v>15.8875091731399</v>
      </c>
      <c r="R255">
        <v>19.630765003483798</v>
      </c>
      <c r="S255">
        <v>-3.9646956457960498</v>
      </c>
      <c r="T255">
        <v>83.938835101958801</v>
      </c>
      <c r="U255">
        <v>7.3203310718978204E-2</v>
      </c>
      <c r="V255">
        <v>42.444397261543202</v>
      </c>
    </row>
    <row r="256" spans="1:22" x14ac:dyDescent="0.25">
      <c r="A256" t="str">
        <f t="shared" si="3"/>
        <v>Brazil2023</v>
      </c>
      <c r="B256" t="s">
        <v>49</v>
      </c>
      <c r="C256" t="s">
        <v>50</v>
      </c>
      <c r="D256">
        <v>2023</v>
      </c>
      <c r="E256">
        <v>10377.5897719195</v>
      </c>
      <c r="F256">
        <v>3.2416553281358298</v>
      </c>
      <c r="G256">
        <v>4.5935628228320304</v>
      </c>
      <c r="H256">
        <v>14</v>
      </c>
      <c r="I256">
        <v>10.633631467664401</v>
      </c>
      <c r="J256">
        <v>7.9470000000000001</v>
      </c>
      <c r="K256">
        <v>32.4311004876146</v>
      </c>
      <c r="L256">
        <v>25.3707484836752</v>
      </c>
      <c r="M256">
        <v>5.1595010750199597</v>
      </c>
      <c r="N256">
        <v>44.029094758981898</v>
      </c>
      <c r="O256">
        <v>15.7606472061782</v>
      </c>
      <c r="P256">
        <v>9.4300874104469603</v>
      </c>
      <c r="Q256">
        <v>15.039504308976101</v>
      </c>
      <c r="R256">
        <v>17.9693243032658</v>
      </c>
      <c r="S256">
        <v>-7.7124401351560303</v>
      </c>
      <c r="T256">
        <v>84.000518143469193</v>
      </c>
      <c r="U256">
        <v>-4.1810548333816699E-2</v>
      </c>
      <c r="V256">
        <v>40.240061160444498</v>
      </c>
    </row>
    <row r="257" spans="1:22" x14ac:dyDescent="0.25">
      <c r="A257" t="str">
        <f t="shared" si="3"/>
        <v>Brazil2024</v>
      </c>
      <c r="B257" t="s">
        <v>49</v>
      </c>
      <c r="C257" t="s">
        <v>50</v>
      </c>
      <c r="D257">
        <v>2024</v>
      </c>
      <c r="E257">
        <v>10310.5488778166</v>
      </c>
      <c r="F257">
        <v>3.4193151659773902</v>
      </c>
      <c r="G257">
        <v>4.3674640765233601</v>
      </c>
      <c r="H257">
        <v>14</v>
      </c>
      <c r="I257">
        <v>11.0491844889702</v>
      </c>
      <c r="J257">
        <v>6.8010000000000002</v>
      </c>
      <c r="K257">
        <v>31.388795815381101</v>
      </c>
      <c r="L257">
        <v>26.446934356003901</v>
      </c>
      <c r="M257">
        <v>4.0796744843962101</v>
      </c>
      <c r="N257">
        <v>44.329976386095197</v>
      </c>
      <c r="O257">
        <v>16.981435603982199</v>
      </c>
      <c r="P257">
        <v>7.9555861418456901</v>
      </c>
      <c r="Q257">
        <v>14.141150818094699</v>
      </c>
      <c r="R257">
        <v>17.938579439812798</v>
      </c>
      <c r="S257">
        <v>-6.1719715566992299</v>
      </c>
      <c r="T257">
        <v>87.027886697938598</v>
      </c>
      <c r="U257">
        <v>2.2938310781943302E-2</v>
      </c>
      <c r="V257">
        <v>41.481026804317899</v>
      </c>
    </row>
    <row r="258" spans="1:22" x14ac:dyDescent="0.25">
      <c r="A258" t="str">
        <f t="shared" si="3"/>
        <v>Brazil2025</v>
      </c>
      <c r="B258" t="s">
        <v>49</v>
      </c>
      <c r="C258" t="s">
        <v>50</v>
      </c>
      <c r="D258">
        <v>2025</v>
      </c>
      <c r="E258">
        <v>10080.5078722821</v>
      </c>
      <c r="F258">
        <v>1.92117598509462</v>
      </c>
      <c r="G258">
        <v>5.4034991403699699</v>
      </c>
      <c r="H258">
        <v>14</v>
      </c>
      <c r="I258">
        <v>8.5916529152696999</v>
      </c>
      <c r="J258">
        <v>5.97</v>
      </c>
      <c r="K258">
        <v>31.388795815381101</v>
      </c>
      <c r="L258">
        <v>25.560040130607199</v>
      </c>
      <c r="M258">
        <v>7.5661750078690497</v>
      </c>
      <c r="N258">
        <v>43.7902629940777</v>
      </c>
      <c r="O258">
        <v>17.4116258667237</v>
      </c>
      <c r="P258">
        <v>11.347404353696099</v>
      </c>
      <c r="Q258">
        <v>15.039504308976101</v>
      </c>
      <c r="R258">
        <v>12.9001914186486</v>
      </c>
      <c r="S258">
        <v>-8.0693687025605492</v>
      </c>
      <c r="T258">
        <v>93.329176034739703</v>
      </c>
      <c r="U258">
        <v>-0.125534461131319</v>
      </c>
      <c r="V258">
        <v>38.635422858376302</v>
      </c>
    </row>
    <row r="259" spans="1:22" x14ac:dyDescent="0.25">
      <c r="A259" t="str">
        <f t="shared" si="3"/>
        <v>Bulgaria2010</v>
      </c>
      <c r="B259" t="s">
        <v>51</v>
      </c>
      <c r="C259" t="s">
        <v>52</v>
      </c>
      <c r="D259">
        <v>2010</v>
      </c>
      <c r="E259">
        <v>6853.9480551117103</v>
      </c>
      <c r="F259">
        <v>1.55535979911015</v>
      </c>
      <c r="G259">
        <v>2.43899060504117</v>
      </c>
      <c r="H259">
        <v>9</v>
      </c>
      <c r="I259">
        <v>18.1472285711578</v>
      </c>
      <c r="J259">
        <v>10.279</v>
      </c>
      <c r="K259">
        <v>31.6315388880341</v>
      </c>
      <c r="L259">
        <v>30.0777435794143</v>
      </c>
      <c r="M259">
        <v>0.764129715708322</v>
      </c>
      <c r="N259">
        <v>46.207637568859802</v>
      </c>
      <c r="O259">
        <v>22.517968562458499</v>
      </c>
      <c r="P259">
        <v>7.1003979559444597</v>
      </c>
      <c r="Q259">
        <v>21.185340120625298</v>
      </c>
      <c r="R259">
        <v>50.098044937987702</v>
      </c>
      <c r="S259">
        <v>-3.7693724789260901</v>
      </c>
      <c r="T259">
        <v>14.0639438569129</v>
      </c>
      <c r="U259">
        <v>0.25678098430511398</v>
      </c>
      <c r="V259">
        <v>45.962815794529597</v>
      </c>
    </row>
    <row r="260" spans="1:22" x14ac:dyDescent="0.25">
      <c r="A260" t="str">
        <f t="shared" ref="A260:A323" si="4">C260&amp;D260</f>
        <v>Bulgaria2011</v>
      </c>
      <c r="B260" t="s">
        <v>51</v>
      </c>
      <c r="C260" t="s">
        <v>52</v>
      </c>
      <c r="D260">
        <v>2011</v>
      </c>
      <c r="E260">
        <v>7849.5806130281799</v>
      </c>
      <c r="F260">
        <v>2.0901750775860402</v>
      </c>
      <c r="G260">
        <v>4.21990346601872</v>
      </c>
      <c r="H260">
        <v>10</v>
      </c>
      <c r="I260">
        <v>18.5190836074404</v>
      </c>
      <c r="J260">
        <v>11.26</v>
      </c>
      <c r="K260">
        <v>29.849623641236199</v>
      </c>
      <c r="L260">
        <v>29.124458209097</v>
      </c>
      <c r="M260">
        <v>6.1128305599730099</v>
      </c>
      <c r="N260">
        <v>47.133379826046799</v>
      </c>
      <c r="O260">
        <v>21.3581829600151</v>
      </c>
      <c r="P260">
        <v>5.5894385746694102</v>
      </c>
      <c r="Q260">
        <v>22.427868699547499</v>
      </c>
      <c r="R260">
        <v>58.788207515795499</v>
      </c>
      <c r="S260">
        <v>-1.83379137307184</v>
      </c>
      <c r="T260">
        <v>14.334639316097901</v>
      </c>
      <c r="U260">
        <v>0.408804351217185</v>
      </c>
      <c r="V260">
        <v>48.876469841569602</v>
      </c>
    </row>
    <row r="261" spans="1:22" x14ac:dyDescent="0.25">
      <c r="A261" t="str">
        <f t="shared" si="4"/>
        <v>Bulgaria2012</v>
      </c>
      <c r="B261" t="s">
        <v>51</v>
      </c>
      <c r="C261" t="s">
        <v>52</v>
      </c>
      <c r="D261">
        <v>2012</v>
      </c>
      <c r="E261">
        <v>7431.9578950887098</v>
      </c>
      <c r="F261">
        <v>0.74881541192883105</v>
      </c>
      <c r="G261">
        <v>2.9545682983101198</v>
      </c>
      <c r="H261">
        <v>10</v>
      </c>
      <c r="I261">
        <v>18.949268031280798</v>
      </c>
      <c r="J261">
        <v>12.27</v>
      </c>
      <c r="K261">
        <v>30.913269328101901</v>
      </c>
      <c r="L261">
        <v>30.576518993275499</v>
      </c>
      <c r="M261">
        <v>1.11217833557733</v>
      </c>
      <c r="N261">
        <v>48.1663471826867</v>
      </c>
      <c r="O261">
        <v>21.887084986975498</v>
      </c>
      <c r="P261">
        <v>6.6814366615546401</v>
      </c>
      <c r="Q261">
        <v>22.272439806875902</v>
      </c>
      <c r="R261">
        <v>60.346274694278399</v>
      </c>
      <c r="S261">
        <v>-0.43416665492364598</v>
      </c>
      <c r="T261">
        <v>16.545378940740399</v>
      </c>
      <c r="U261">
        <v>0.465868040579834</v>
      </c>
      <c r="V261">
        <v>49.970142826372502</v>
      </c>
    </row>
    <row r="262" spans="1:22" x14ac:dyDescent="0.25">
      <c r="A262" t="str">
        <f t="shared" si="4"/>
        <v>Bulgaria2013</v>
      </c>
      <c r="B262" t="s">
        <v>51</v>
      </c>
      <c r="C262" t="s">
        <v>52</v>
      </c>
      <c r="D262">
        <v>2013</v>
      </c>
      <c r="E262">
        <v>7795.9809210892799</v>
      </c>
      <c r="F262">
        <v>-0.54275138886113405</v>
      </c>
      <c r="G262">
        <v>0.890093540913096</v>
      </c>
      <c r="H262">
        <v>10</v>
      </c>
      <c r="I262">
        <v>19.354693951125601</v>
      </c>
      <c r="J262">
        <v>12.941000000000001</v>
      </c>
      <c r="K262">
        <v>32.922398864786501</v>
      </c>
      <c r="L262">
        <v>32.508555905326901</v>
      </c>
      <c r="M262">
        <v>7.1951594046694795E-2</v>
      </c>
      <c r="N262">
        <v>49.308655434602599</v>
      </c>
      <c r="O262">
        <v>21.006010898780499</v>
      </c>
      <c r="P262">
        <v>6.0223081767456303</v>
      </c>
      <c r="Q262">
        <v>23.892539355924399</v>
      </c>
      <c r="R262">
        <v>64.564978651405198</v>
      </c>
      <c r="S262">
        <v>-1.7515514278700699</v>
      </c>
      <c r="T262">
        <v>17.164647666319699</v>
      </c>
      <c r="U262">
        <v>0.45701287532625301</v>
      </c>
      <c r="V262">
        <v>49.800426232125297</v>
      </c>
    </row>
    <row r="263" spans="1:22" x14ac:dyDescent="0.25">
      <c r="A263" t="str">
        <f t="shared" si="4"/>
        <v>Bulgaria2014</v>
      </c>
      <c r="B263" t="s">
        <v>51</v>
      </c>
      <c r="C263" t="s">
        <v>52</v>
      </c>
      <c r="D263">
        <v>2014</v>
      </c>
      <c r="E263">
        <v>8069.6000566768398</v>
      </c>
      <c r="F263">
        <v>0.94944909094789398</v>
      </c>
      <c r="G263">
        <v>-1.4181838026483899</v>
      </c>
      <c r="H263">
        <v>10</v>
      </c>
      <c r="I263">
        <v>19.775738724275701</v>
      </c>
      <c r="J263">
        <v>11.423999999999999</v>
      </c>
      <c r="K263">
        <v>37.943407310251899</v>
      </c>
      <c r="L263">
        <v>33.361938595389603</v>
      </c>
      <c r="M263">
        <v>1.3407827675987001</v>
      </c>
      <c r="N263">
        <v>50.5579218085755</v>
      </c>
      <c r="O263">
        <v>21.5078339407257</v>
      </c>
      <c r="P263">
        <v>6.1025113221310896</v>
      </c>
      <c r="Q263">
        <v>23.184705866131502</v>
      </c>
      <c r="R263">
        <v>64.550810950385198</v>
      </c>
      <c r="S263">
        <v>-3.6518505878747098</v>
      </c>
      <c r="T263">
        <v>26.266125087776601</v>
      </c>
      <c r="U263">
        <v>0.43548074690976801</v>
      </c>
      <c r="V263">
        <v>49.387745113581502</v>
      </c>
    </row>
    <row r="264" spans="1:22" x14ac:dyDescent="0.25">
      <c r="A264" t="str">
        <f t="shared" si="4"/>
        <v>Bulgaria2015</v>
      </c>
      <c r="B264" t="s">
        <v>51</v>
      </c>
      <c r="C264" t="s">
        <v>52</v>
      </c>
      <c r="D264">
        <v>2015</v>
      </c>
      <c r="E264">
        <v>7268.6544547387302</v>
      </c>
      <c r="F264">
        <v>3.3975533678041199</v>
      </c>
      <c r="G264">
        <v>-0.104633261008479</v>
      </c>
      <c r="H264">
        <v>10</v>
      </c>
      <c r="I264">
        <v>20.209781460635998</v>
      </c>
      <c r="J264">
        <v>9.1430000000000007</v>
      </c>
      <c r="K264">
        <v>34.2858376669531</v>
      </c>
      <c r="L264">
        <v>33.539617216596397</v>
      </c>
      <c r="M264">
        <v>2.9477463786009102</v>
      </c>
      <c r="N264">
        <v>51.784540731880298</v>
      </c>
      <c r="O264">
        <v>20.999929598052699</v>
      </c>
      <c r="P264">
        <v>7.5379527002417896</v>
      </c>
      <c r="Q264">
        <v>22.0495722462082</v>
      </c>
      <c r="R264">
        <v>63.786417238201501</v>
      </c>
      <c r="S264">
        <v>-2.7745847377630999</v>
      </c>
      <c r="T264">
        <v>25.358668720817398</v>
      </c>
      <c r="U264">
        <v>0.525241789625146</v>
      </c>
      <c r="V264">
        <v>51.108090022962799</v>
      </c>
    </row>
    <row r="265" spans="1:22" x14ac:dyDescent="0.25">
      <c r="A265" t="str">
        <f t="shared" si="4"/>
        <v>Bulgaria2016</v>
      </c>
      <c r="B265" t="s">
        <v>51</v>
      </c>
      <c r="C265" t="s">
        <v>52</v>
      </c>
      <c r="D265">
        <v>2016</v>
      </c>
      <c r="E265">
        <v>7822.4992329296801</v>
      </c>
      <c r="F265">
        <v>3.0266284122951701</v>
      </c>
      <c r="G265">
        <v>-0.79864988645361701</v>
      </c>
      <c r="H265">
        <v>10</v>
      </c>
      <c r="I265">
        <v>20.576051633729602</v>
      </c>
      <c r="J265">
        <v>7.5750000000000002</v>
      </c>
      <c r="K265">
        <v>32.026932009531798</v>
      </c>
      <c r="L265">
        <v>32.739888485342803</v>
      </c>
      <c r="M265">
        <v>3.3235597247015201</v>
      </c>
      <c r="N265">
        <v>52.907489963847702</v>
      </c>
      <c r="O265">
        <v>18.9624324900328</v>
      </c>
      <c r="P265">
        <v>8.4610973976725301</v>
      </c>
      <c r="Q265">
        <v>23.675987530812801</v>
      </c>
      <c r="R265">
        <v>63.860930529439202</v>
      </c>
      <c r="S265">
        <v>1.53968539579013</v>
      </c>
      <c r="T265">
        <v>27.007123506877701</v>
      </c>
      <c r="U265">
        <v>0.76066794220581002</v>
      </c>
      <c r="V265">
        <v>55.620227704023698</v>
      </c>
    </row>
    <row r="266" spans="1:22" x14ac:dyDescent="0.25">
      <c r="A266" t="str">
        <f t="shared" si="4"/>
        <v>Bulgaria2017</v>
      </c>
      <c r="B266" t="s">
        <v>51</v>
      </c>
      <c r="C266" t="s">
        <v>52</v>
      </c>
      <c r="D266">
        <v>2017</v>
      </c>
      <c r="E266">
        <v>8696.6893042792399</v>
      </c>
      <c r="F266">
        <v>2.7459267605486102</v>
      </c>
      <c r="G266">
        <v>2.0615961944314098</v>
      </c>
      <c r="H266">
        <v>11</v>
      </c>
      <c r="I266">
        <v>20.869955779943702</v>
      </c>
      <c r="J266">
        <v>6.1639999999999997</v>
      </c>
      <c r="K266">
        <v>31.991966106705899</v>
      </c>
      <c r="L266">
        <v>32.990865953454602</v>
      </c>
      <c r="M266">
        <v>4.8131209924659402</v>
      </c>
      <c r="N266">
        <v>53.943631950915197</v>
      </c>
      <c r="O266">
        <v>19.816998470642201</v>
      </c>
      <c r="P266">
        <v>8.2327692463576199</v>
      </c>
      <c r="Q266">
        <v>25.020750457454199</v>
      </c>
      <c r="R266">
        <v>66.990521417247294</v>
      </c>
      <c r="S266">
        <v>0.82344290600919601</v>
      </c>
      <c r="T266">
        <v>22.9191987264449</v>
      </c>
      <c r="U266">
        <v>0.83969478551611898</v>
      </c>
      <c r="V266">
        <v>57.134842769542203</v>
      </c>
    </row>
    <row r="267" spans="1:22" x14ac:dyDescent="0.25">
      <c r="A267" t="str">
        <f t="shared" si="4"/>
        <v>Bulgaria2018</v>
      </c>
      <c r="B267" t="s">
        <v>51</v>
      </c>
      <c r="C267" t="s">
        <v>52</v>
      </c>
      <c r="D267">
        <v>2018</v>
      </c>
      <c r="E267">
        <v>9849.3839722517405</v>
      </c>
      <c r="F267">
        <v>2.3301521340704499</v>
      </c>
      <c r="G267">
        <v>2.8145447382483799</v>
      </c>
      <c r="H267">
        <v>11</v>
      </c>
      <c r="I267">
        <v>21.170887970247499</v>
      </c>
      <c r="J267">
        <v>5.2110000000000003</v>
      </c>
      <c r="K267">
        <v>33.1587383730676</v>
      </c>
      <c r="L267">
        <v>34.903987988957503</v>
      </c>
      <c r="M267">
        <v>4.2352764235768596</v>
      </c>
      <c r="N267">
        <v>54.971498800095297</v>
      </c>
      <c r="O267">
        <v>21.1661572589054</v>
      </c>
      <c r="P267">
        <v>7.4339413280185997</v>
      </c>
      <c r="Q267">
        <v>23.491226984471599</v>
      </c>
      <c r="R267">
        <v>65.918714371434405</v>
      </c>
      <c r="S267">
        <v>0.12339071715231099</v>
      </c>
      <c r="T267">
        <v>20.146615778729601</v>
      </c>
      <c r="U267">
        <v>0.833627031628978</v>
      </c>
      <c r="V267">
        <v>57.018549228431901</v>
      </c>
    </row>
    <row r="268" spans="1:22" x14ac:dyDescent="0.25">
      <c r="A268" t="str">
        <f t="shared" si="4"/>
        <v>Bulgaria2019</v>
      </c>
      <c r="B268" t="s">
        <v>51</v>
      </c>
      <c r="C268" t="s">
        <v>52</v>
      </c>
      <c r="D268">
        <v>2019</v>
      </c>
      <c r="E268">
        <v>10353.720458412699</v>
      </c>
      <c r="F268">
        <v>3.7933176535415201</v>
      </c>
      <c r="G268">
        <v>3.10372944796771</v>
      </c>
      <c r="H268">
        <v>11</v>
      </c>
      <c r="I268">
        <v>21.479458943907598</v>
      </c>
      <c r="J268">
        <v>4.1479999999999997</v>
      </c>
      <c r="K268">
        <v>33.192803254893398</v>
      </c>
      <c r="L268">
        <v>35.9667310474141</v>
      </c>
      <c r="M268">
        <v>5.2826448738419698</v>
      </c>
      <c r="N268">
        <v>55.924676095901098</v>
      </c>
      <c r="O268">
        <v>20.734003184535901</v>
      </c>
      <c r="P268">
        <v>7.2316037015235004</v>
      </c>
      <c r="Q268">
        <v>24.124343552728401</v>
      </c>
      <c r="R268">
        <v>64.300587862140901</v>
      </c>
      <c r="S268">
        <v>-0.96288908312754395</v>
      </c>
      <c r="T268">
        <v>18.4159002335719</v>
      </c>
      <c r="U268">
        <v>0.845697983505595</v>
      </c>
      <c r="V268">
        <v>57.249899043275001</v>
      </c>
    </row>
    <row r="269" spans="1:22" x14ac:dyDescent="0.25">
      <c r="A269" t="str">
        <f t="shared" si="4"/>
        <v>Bulgaria2020</v>
      </c>
      <c r="B269" t="s">
        <v>51</v>
      </c>
      <c r="C269" t="s">
        <v>52</v>
      </c>
      <c r="D269">
        <v>2020</v>
      </c>
      <c r="E269">
        <v>10760.211975413</v>
      </c>
      <c r="F269">
        <v>-3.13323303076419</v>
      </c>
      <c r="G269">
        <v>1.6724409685575601</v>
      </c>
      <c r="H269">
        <v>11</v>
      </c>
      <c r="I269">
        <v>21.686789299491799</v>
      </c>
      <c r="J269">
        <v>5.0369999999999999</v>
      </c>
      <c r="K269">
        <v>36.496430610567202</v>
      </c>
      <c r="L269">
        <v>33.281821894409802</v>
      </c>
      <c r="M269">
        <v>4.3499123087899001</v>
      </c>
      <c r="N269">
        <v>56.5399504860587</v>
      </c>
      <c r="O269">
        <v>20.1519208043409</v>
      </c>
      <c r="P269">
        <v>10.7284141486841</v>
      </c>
      <c r="Q269">
        <v>20.7022273405588</v>
      </c>
      <c r="R269">
        <v>56.475122937498703</v>
      </c>
      <c r="S269">
        <v>-2.91919102140043</v>
      </c>
      <c r="T269">
        <v>22.7351496652687</v>
      </c>
      <c r="U269">
        <v>0.62625273317624597</v>
      </c>
      <c r="V269">
        <v>53.044048622295797</v>
      </c>
    </row>
    <row r="270" spans="1:22" x14ac:dyDescent="0.25">
      <c r="A270" t="str">
        <f t="shared" si="4"/>
        <v>Bulgaria2021</v>
      </c>
      <c r="B270" t="s">
        <v>51</v>
      </c>
      <c r="C270" t="s">
        <v>52</v>
      </c>
      <c r="D270">
        <v>2021</v>
      </c>
      <c r="E270">
        <v>12966.145754339601</v>
      </c>
      <c r="F270">
        <v>7.8281723282216502</v>
      </c>
      <c r="G270">
        <v>3.2977443529950601</v>
      </c>
      <c r="H270">
        <v>12</v>
      </c>
      <c r="I270">
        <v>21.7032217425472</v>
      </c>
      <c r="J270">
        <v>5.1660000000000004</v>
      </c>
      <c r="K270">
        <v>37.698489284096603</v>
      </c>
      <c r="L270">
        <v>33.886013554606102</v>
      </c>
      <c r="M270">
        <v>6.9660966997968901</v>
      </c>
      <c r="N270">
        <v>56.706635004095098</v>
      </c>
      <c r="O270">
        <v>20.7058919426646</v>
      </c>
      <c r="P270">
        <v>8.3400120355547802</v>
      </c>
      <c r="Q270">
        <v>20.466950400714101</v>
      </c>
      <c r="R270">
        <v>61.849605708539897</v>
      </c>
      <c r="S270">
        <v>-2.8024183808143301</v>
      </c>
      <c r="T270">
        <v>23.8503773248237</v>
      </c>
      <c r="U270">
        <v>0.81854679752131998</v>
      </c>
      <c r="V270">
        <v>56.729524021119502</v>
      </c>
    </row>
    <row r="271" spans="1:22" x14ac:dyDescent="0.25">
      <c r="A271" t="str">
        <f t="shared" si="4"/>
        <v>Bulgaria2022</v>
      </c>
      <c r="B271" t="s">
        <v>51</v>
      </c>
      <c r="C271" t="s">
        <v>52</v>
      </c>
      <c r="D271">
        <v>2022</v>
      </c>
      <c r="E271">
        <v>13999.194953095601</v>
      </c>
      <c r="F271">
        <v>4.0838640915123001</v>
      </c>
      <c r="G271">
        <v>15.3252589264367</v>
      </c>
      <c r="H271">
        <v>12</v>
      </c>
      <c r="I271">
        <v>21.697297221274798</v>
      </c>
      <c r="J271">
        <v>4.1479999999999997</v>
      </c>
      <c r="K271">
        <v>39.322013859854103</v>
      </c>
      <c r="L271">
        <v>36.5559424954862</v>
      </c>
      <c r="M271">
        <v>15.9184542166472</v>
      </c>
      <c r="N271">
        <v>56.8295907451296</v>
      </c>
      <c r="O271">
        <v>22.687585455570499</v>
      </c>
      <c r="P271">
        <v>7.0868810536403197</v>
      </c>
      <c r="Q271">
        <v>20.193708959635298</v>
      </c>
      <c r="R271">
        <v>69.979474892761402</v>
      </c>
      <c r="S271">
        <v>-0.80026984402134604</v>
      </c>
      <c r="T271">
        <v>22.485122738355901</v>
      </c>
      <c r="U271">
        <v>0.94424998835112395</v>
      </c>
      <c r="V271">
        <v>59.138730040737101</v>
      </c>
    </row>
    <row r="272" spans="1:22" x14ac:dyDescent="0.25">
      <c r="A272" t="str">
        <f t="shared" si="4"/>
        <v>Bulgaria2023</v>
      </c>
      <c r="B272" t="s">
        <v>51</v>
      </c>
      <c r="C272" t="s">
        <v>52</v>
      </c>
      <c r="D272">
        <v>2023</v>
      </c>
      <c r="E272">
        <v>15853.208636703999</v>
      </c>
      <c r="F272">
        <v>1.68151074972904</v>
      </c>
      <c r="G272">
        <v>9.4428414008856407</v>
      </c>
      <c r="H272">
        <v>12</v>
      </c>
      <c r="I272">
        <v>21.832438344666599</v>
      </c>
      <c r="J272">
        <v>4.319</v>
      </c>
      <c r="K272">
        <v>35.755827867663903</v>
      </c>
      <c r="L272">
        <v>34.846024128179103</v>
      </c>
      <c r="M272">
        <v>7.9970961216066199</v>
      </c>
      <c r="N272">
        <v>57.160145180510199</v>
      </c>
      <c r="O272">
        <v>19.7877526320657</v>
      </c>
      <c r="P272">
        <v>7.9721999287120804</v>
      </c>
      <c r="Q272">
        <v>20.592946548786902</v>
      </c>
      <c r="R272">
        <v>62.004974744102398</v>
      </c>
      <c r="S272">
        <v>-3.0395725881758802</v>
      </c>
      <c r="T272">
        <v>22.930619691740599</v>
      </c>
      <c r="U272">
        <v>0.79199395671823403</v>
      </c>
      <c r="V272">
        <v>56.2206167811486</v>
      </c>
    </row>
    <row r="273" spans="1:22" x14ac:dyDescent="0.25">
      <c r="A273" t="str">
        <f t="shared" si="4"/>
        <v>Bulgaria2024</v>
      </c>
      <c r="B273" t="s">
        <v>51</v>
      </c>
      <c r="C273" t="s">
        <v>52</v>
      </c>
      <c r="D273">
        <v>2024</v>
      </c>
      <c r="E273">
        <v>17596.017366352102</v>
      </c>
      <c r="F273">
        <v>3.3870906384731398</v>
      </c>
      <c r="G273">
        <v>2.4465194300607802</v>
      </c>
      <c r="H273">
        <v>12</v>
      </c>
      <c r="I273">
        <v>22.030336260690301</v>
      </c>
      <c r="J273">
        <v>4.2</v>
      </c>
      <c r="K273">
        <v>33.175770813980499</v>
      </c>
      <c r="L273">
        <v>34.416755720533899</v>
      </c>
      <c r="M273">
        <v>7.2042370357815901</v>
      </c>
      <c r="N273">
        <v>57.492225536816299</v>
      </c>
      <c r="O273">
        <v>20.4299085537289</v>
      </c>
      <c r="P273">
        <v>7.4488198006580504</v>
      </c>
      <c r="Q273">
        <v>18.835248186138301</v>
      </c>
      <c r="R273">
        <v>56.3699620840938</v>
      </c>
      <c r="S273">
        <v>-3.0079224895740699</v>
      </c>
      <c r="T273">
        <v>23.8400491971116</v>
      </c>
      <c r="U273">
        <v>0.75560597794401696</v>
      </c>
      <c r="V273">
        <v>55.523210956158401</v>
      </c>
    </row>
    <row r="274" spans="1:22" x14ac:dyDescent="0.25">
      <c r="A274" t="str">
        <f t="shared" si="4"/>
        <v>Bulgaria2025</v>
      </c>
      <c r="B274" t="s">
        <v>51</v>
      </c>
      <c r="C274" t="s">
        <v>52</v>
      </c>
      <c r="D274">
        <v>2025</v>
      </c>
      <c r="E274">
        <v>8696.6893042792399</v>
      </c>
      <c r="F274">
        <v>2.3301521340704499</v>
      </c>
      <c r="G274">
        <v>2.4465194300607802</v>
      </c>
      <c r="H274">
        <v>12</v>
      </c>
      <c r="I274">
        <v>20.869955779943702</v>
      </c>
      <c r="J274">
        <v>3.536</v>
      </c>
      <c r="K274">
        <v>33.175770813980499</v>
      </c>
      <c r="L274">
        <v>33.361938595389603</v>
      </c>
      <c r="M274">
        <v>4.3499123087899001</v>
      </c>
      <c r="N274">
        <v>53.943631950915197</v>
      </c>
      <c r="O274">
        <v>20.999929598052699</v>
      </c>
      <c r="P274">
        <v>7.4339413280185997</v>
      </c>
      <c r="Q274">
        <v>22.272439806875902</v>
      </c>
      <c r="R274">
        <v>63.786417238201501</v>
      </c>
      <c r="S274">
        <v>-3.0092263659898202</v>
      </c>
      <c r="T274">
        <v>27.0896129298395</v>
      </c>
      <c r="U274">
        <v>0.71929074224492495</v>
      </c>
      <c r="V274">
        <v>54.827199312599198</v>
      </c>
    </row>
    <row r="275" spans="1:22" x14ac:dyDescent="0.25">
      <c r="A275" t="str">
        <f t="shared" si="4"/>
        <v>Cabo Verde2010</v>
      </c>
      <c r="B275" t="s">
        <v>53</v>
      </c>
      <c r="C275" t="s">
        <v>54</v>
      </c>
      <c r="D275">
        <v>2010</v>
      </c>
      <c r="E275">
        <v>3579.4600613780899</v>
      </c>
      <c r="F275">
        <v>1.8364191498997799</v>
      </c>
      <c r="G275">
        <v>2.0786647090642298</v>
      </c>
      <c r="H275">
        <v>10</v>
      </c>
      <c r="I275">
        <v>4.9079562050238899</v>
      </c>
      <c r="J275">
        <v>10.67</v>
      </c>
      <c r="K275">
        <v>17.982017473689499</v>
      </c>
      <c r="L275">
        <v>18.276228897933098</v>
      </c>
      <c r="M275">
        <v>0.65441540609209903</v>
      </c>
      <c r="N275">
        <v>58.973159573771397</v>
      </c>
      <c r="O275">
        <v>44.956806039052601</v>
      </c>
      <c r="P275">
        <v>3.8013317174819399</v>
      </c>
      <c r="Q275">
        <v>34.6118630748432</v>
      </c>
      <c r="R275">
        <v>30.283822677520501</v>
      </c>
      <c r="S275">
        <v>-9.5966777520774595</v>
      </c>
      <c r="T275">
        <v>66.1511769166232</v>
      </c>
      <c r="U275">
        <v>-1.0100250635365899</v>
      </c>
      <c r="V275">
        <v>21.683426098841899</v>
      </c>
    </row>
    <row r="276" spans="1:22" x14ac:dyDescent="0.25">
      <c r="A276" t="str">
        <f t="shared" si="4"/>
        <v>Cabo Verde2011</v>
      </c>
      <c r="B276" t="s">
        <v>53</v>
      </c>
      <c r="C276" t="s">
        <v>54</v>
      </c>
      <c r="D276">
        <v>2011</v>
      </c>
      <c r="E276">
        <v>4002.0138688878501</v>
      </c>
      <c r="F276">
        <v>3.92471821338283</v>
      </c>
      <c r="G276">
        <v>4.4738834216502301</v>
      </c>
      <c r="H276">
        <v>10</v>
      </c>
      <c r="I276">
        <v>4.8856527515585704</v>
      </c>
      <c r="J276">
        <v>10.956</v>
      </c>
      <c r="K276">
        <v>17.7865952743898</v>
      </c>
      <c r="L276">
        <v>19.3427428811571</v>
      </c>
      <c r="M276">
        <v>2.7470408981606602</v>
      </c>
      <c r="N276">
        <v>56.6271000618611</v>
      </c>
      <c r="O276">
        <v>44.911774384655097</v>
      </c>
      <c r="P276">
        <v>2.7827476504976199</v>
      </c>
      <c r="Q276">
        <v>34.072044515805601</v>
      </c>
      <c r="R276">
        <v>32.874261026750602</v>
      </c>
      <c r="S276">
        <v>-6.9755379669139499</v>
      </c>
      <c r="T276">
        <v>71.559556766847194</v>
      </c>
      <c r="U276">
        <v>-0.85999039682190404</v>
      </c>
      <c r="V276">
        <v>24.558965055444499</v>
      </c>
    </row>
    <row r="277" spans="1:22" x14ac:dyDescent="0.25">
      <c r="A277" t="str">
        <f t="shared" si="4"/>
        <v>Cabo Verde2012</v>
      </c>
      <c r="B277" t="s">
        <v>53</v>
      </c>
      <c r="C277" t="s">
        <v>54</v>
      </c>
      <c r="D277">
        <v>2012</v>
      </c>
      <c r="E277">
        <v>3736.81517011087</v>
      </c>
      <c r="F277">
        <v>1.08364848376166</v>
      </c>
      <c r="G277">
        <v>2.54039644167108</v>
      </c>
      <c r="H277">
        <v>10</v>
      </c>
      <c r="I277">
        <v>4.9056069381097904</v>
      </c>
      <c r="J277">
        <v>11.145</v>
      </c>
      <c r="K277">
        <v>16.834238125849598</v>
      </c>
      <c r="L277">
        <v>18.147911407654199</v>
      </c>
      <c r="M277">
        <v>0.67760745662135902</v>
      </c>
      <c r="N277">
        <v>54.683671280391799</v>
      </c>
      <c r="O277">
        <v>35.2038713812683</v>
      </c>
      <c r="P277">
        <v>3.5089122704276101</v>
      </c>
      <c r="Q277">
        <v>29.068733343033198</v>
      </c>
      <c r="R277">
        <v>37.463453227216498</v>
      </c>
      <c r="S277">
        <v>-9.3638873594419394</v>
      </c>
      <c r="T277">
        <v>82.937291625546393</v>
      </c>
      <c r="U277">
        <v>-0.94935111353603197</v>
      </c>
      <c r="V277">
        <v>22.846292726255101</v>
      </c>
    </row>
    <row r="278" spans="1:22" x14ac:dyDescent="0.25">
      <c r="A278" t="str">
        <f t="shared" si="4"/>
        <v>Cabo Verde2013</v>
      </c>
      <c r="B278" t="s">
        <v>53</v>
      </c>
      <c r="C278" t="s">
        <v>54</v>
      </c>
      <c r="D278">
        <v>2013</v>
      </c>
      <c r="E278">
        <v>3960.9759679134499</v>
      </c>
      <c r="F278">
        <v>0.63213672738513105</v>
      </c>
      <c r="G278">
        <v>1.50654285701407</v>
      </c>
      <c r="H278">
        <v>10</v>
      </c>
      <c r="I278">
        <v>4.9562204109522199</v>
      </c>
      <c r="J278">
        <v>11.398</v>
      </c>
      <c r="K278">
        <v>16.9586624245546</v>
      </c>
      <c r="L278">
        <v>18.731111444708102</v>
      </c>
      <c r="M278">
        <v>1.42476019715654</v>
      </c>
      <c r="N278">
        <v>53.169545806582803</v>
      </c>
      <c r="O278">
        <v>29.987286550406701</v>
      </c>
      <c r="P278">
        <v>4.6104625006690201</v>
      </c>
      <c r="Q278">
        <v>29.205896592857801</v>
      </c>
      <c r="R278">
        <v>37.516838567390103</v>
      </c>
      <c r="S278">
        <v>-8.4897412207151906</v>
      </c>
      <c r="T278">
        <v>93.523450306130002</v>
      </c>
      <c r="U278">
        <v>-0.85648134240261797</v>
      </c>
      <c r="V278">
        <v>24.6262189968465</v>
      </c>
    </row>
    <row r="279" spans="1:22" x14ac:dyDescent="0.25">
      <c r="A279" t="str">
        <f t="shared" si="4"/>
        <v>Cabo Verde2014</v>
      </c>
      <c r="B279" t="s">
        <v>53</v>
      </c>
      <c r="C279" t="s">
        <v>54</v>
      </c>
      <c r="D279">
        <v>2014</v>
      </c>
      <c r="E279">
        <v>3985.6070654813402</v>
      </c>
      <c r="F279">
        <v>0.69666684011858104</v>
      </c>
      <c r="G279">
        <v>-0.238778144990623</v>
      </c>
      <c r="H279">
        <v>10</v>
      </c>
      <c r="I279">
        <v>5.0399599473381702</v>
      </c>
      <c r="J279">
        <v>11.689</v>
      </c>
      <c r="K279">
        <v>17.9305656018519</v>
      </c>
      <c r="L279">
        <v>17.840623426226099</v>
      </c>
      <c r="M279">
        <v>-0.10031997940701801</v>
      </c>
      <c r="N279">
        <v>52.0485295994349</v>
      </c>
      <c r="O279">
        <v>34.996252299762702</v>
      </c>
      <c r="P279">
        <v>4.5707273258586198</v>
      </c>
      <c r="Q279">
        <v>26.609127009684901</v>
      </c>
      <c r="R279">
        <v>37.248292482186699</v>
      </c>
      <c r="S279">
        <v>-6.9335025659695004</v>
      </c>
      <c r="T279">
        <v>105.696267790607</v>
      </c>
      <c r="U279">
        <v>-0.89182449845734701</v>
      </c>
      <c r="V279">
        <v>23.948838066758299</v>
      </c>
    </row>
    <row r="280" spans="1:22" x14ac:dyDescent="0.25">
      <c r="A280" t="str">
        <f t="shared" si="4"/>
        <v>Cabo Verde2015</v>
      </c>
      <c r="B280" t="s">
        <v>53</v>
      </c>
      <c r="C280" t="s">
        <v>54</v>
      </c>
      <c r="D280">
        <v>2015</v>
      </c>
      <c r="E280">
        <v>3415.0626673093102</v>
      </c>
      <c r="F280">
        <v>0.93602650780883301</v>
      </c>
      <c r="G280">
        <v>0.13118799902454401</v>
      </c>
      <c r="H280">
        <v>10</v>
      </c>
      <c r="I280">
        <v>5.1565837583810099</v>
      </c>
      <c r="J280">
        <v>11.923</v>
      </c>
      <c r="K280">
        <v>19.303574297294698</v>
      </c>
      <c r="L280">
        <v>20.932413495574799</v>
      </c>
      <c r="M280">
        <v>1.6204075588104301</v>
      </c>
      <c r="N280">
        <v>51.348237942065197</v>
      </c>
      <c r="O280">
        <v>29.1071744394227</v>
      </c>
      <c r="P280">
        <v>6.0726815887407701</v>
      </c>
      <c r="Q280">
        <v>28.520768439621399</v>
      </c>
      <c r="R280">
        <v>41.135201632717298</v>
      </c>
      <c r="S280">
        <v>-4.1569987552757901</v>
      </c>
      <c r="T280">
        <v>115.74490194436299</v>
      </c>
      <c r="U280">
        <v>-0.63336364266276302</v>
      </c>
      <c r="V280">
        <v>28.902454959896001</v>
      </c>
    </row>
    <row r="281" spans="1:22" x14ac:dyDescent="0.25">
      <c r="A281" t="str">
        <f t="shared" si="4"/>
        <v>Cabo Verde2016</v>
      </c>
      <c r="B281" t="s">
        <v>53</v>
      </c>
      <c r="C281" t="s">
        <v>54</v>
      </c>
      <c r="D281">
        <v>2016</v>
      </c>
      <c r="E281">
        <v>3608.9660523490602</v>
      </c>
      <c r="F281">
        <v>4.2807148266237096</v>
      </c>
      <c r="G281">
        <v>-1.4078163709170499</v>
      </c>
      <c r="H281">
        <v>10</v>
      </c>
      <c r="I281">
        <v>5.3006070573958501</v>
      </c>
      <c r="J281">
        <v>12.085000000000001</v>
      </c>
      <c r="K281">
        <v>19.0741910323081</v>
      </c>
      <c r="L281">
        <v>19.7921439895619</v>
      </c>
      <c r="M281">
        <v>1.6799247929921499</v>
      </c>
      <c r="N281">
        <v>51.104048867060101</v>
      </c>
      <c r="O281">
        <v>28.555378240727499</v>
      </c>
      <c r="P281">
        <v>6.3387098134666298</v>
      </c>
      <c r="Q281">
        <v>28.0533434677508</v>
      </c>
      <c r="R281">
        <v>41.472948718174699</v>
      </c>
      <c r="S281">
        <v>-2.7284319998025999</v>
      </c>
      <c r="T281">
        <v>115.632044815789</v>
      </c>
      <c r="U281">
        <v>-0.54245491676267299</v>
      </c>
      <c r="V281">
        <v>30.6447961703972</v>
      </c>
    </row>
    <row r="282" spans="1:22" x14ac:dyDescent="0.25">
      <c r="A282" t="str">
        <f t="shared" si="4"/>
        <v>Cabo Verde2017</v>
      </c>
      <c r="B282" t="s">
        <v>53</v>
      </c>
      <c r="C282" t="s">
        <v>54</v>
      </c>
      <c r="D282">
        <v>2017</v>
      </c>
      <c r="E282">
        <v>3893.0957138250601</v>
      </c>
      <c r="F282">
        <v>4.5513148102974004</v>
      </c>
      <c r="G282">
        <v>0.78441525110133403</v>
      </c>
      <c r="H282">
        <v>10</v>
      </c>
      <c r="I282">
        <v>5.4652724837344202</v>
      </c>
      <c r="J282">
        <v>12.24</v>
      </c>
      <c r="K282">
        <v>18.669494591341099</v>
      </c>
      <c r="L282">
        <v>20.6675964587062</v>
      </c>
      <c r="M282">
        <v>1.2969136763507001</v>
      </c>
      <c r="N282">
        <v>51.227617034199902</v>
      </c>
      <c r="O282">
        <v>29.2834862444324</v>
      </c>
      <c r="P282">
        <v>5.8316519244222498</v>
      </c>
      <c r="Q282">
        <v>25.590905229065399</v>
      </c>
      <c r="R282">
        <v>42.068803583760797</v>
      </c>
      <c r="S282">
        <v>-2.6345777240140298</v>
      </c>
      <c r="T282">
        <v>112.993612370444</v>
      </c>
      <c r="U282">
        <v>-0.54890109150367605</v>
      </c>
      <c r="V282">
        <v>30.521249879431899</v>
      </c>
    </row>
    <row r="283" spans="1:22" x14ac:dyDescent="0.25">
      <c r="A283" t="str">
        <f t="shared" si="4"/>
        <v>Cabo Verde2018</v>
      </c>
      <c r="B283" t="s">
        <v>53</v>
      </c>
      <c r="C283" t="s">
        <v>54</v>
      </c>
      <c r="D283">
        <v>2018</v>
      </c>
      <c r="E283">
        <v>4294.9651003572899</v>
      </c>
      <c r="F283">
        <v>3.7069645831084199</v>
      </c>
      <c r="G283">
        <v>1.2561518586078499</v>
      </c>
      <c r="H283">
        <v>10</v>
      </c>
      <c r="I283">
        <v>5.6379342247499604</v>
      </c>
      <c r="J283">
        <v>12.17</v>
      </c>
      <c r="K283">
        <v>22.510579541777801</v>
      </c>
      <c r="L283">
        <v>22.805238129089201</v>
      </c>
      <c r="M283">
        <v>1.7041711914481401</v>
      </c>
      <c r="N283">
        <v>51.543729153753098</v>
      </c>
      <c r="O283">
        <v>27.486159184508999</v>
      </c>
      <c r="P283">
        <v>5.1527658876393501</v>
      </c>
      <c r="Q283">
        <v>25.552836551435298</v>
      </c>
      <c r="R283">
        <v>45.865993464408</v>
      </c>
      <c r="S283">
        <v>-2.3638374405991498</v>
      </c>
      <c r="T283">
        <v>112.28184892096</v>
      </c>
      <c r="U283">
        <v>-0.454306855840309</v>
      </c>
      <c r="V283">
        <v>32.334226944507897</v>
      </c>
    </row>
    <row r="284" spans="1:22" x14ac:dyDescent="0.25">
      <c r="A284" t="str">
        <f t="shared" si="4"/>
        <v>Cabo Verde2019</v>
      </c>
      <c r="B284" t="s">
        <v>53</v>
      </c>
      <c r="C284" t="s">
        <v>54</v>
      </c>
      <c r="D284">
        <v>2019</v>
      </c>
      <c r="E284">
        <v>4380.7811733112803</v>
      </c>
      <c r="F284">
        <v>6.9478263405185903</v>
      </c>
      <c r="G284">
        <v>1.1075093055381899</v>
      </c>
      <c r="H284">
        <v>10</v>
      </c>
      <c r="I284">
        <v>5.8142904937522397</v>
      </c>
      <c r="J284">
        <v>12.122999999999999</v>
      </c>
      <c r="K284">
        <v>23.876645170569098</v>
      </c>
      <c r="L284">
        <v>21.648013448798501</v>
      </c>
      <c r="M284">
        <v>0.69487119108842399</v>
      </c>
      <c r="N284">
        <v>51.952070888739797</v>
      </c>
      <c r="O284">
        <v>23.431973865190098</v>
      </c>
      <c r="P284">
        <v>6.4961533141889696</v>
      </c>
      <c r="Q284">
        <v>24.761604677078001</v>
      </c>
      <c r="R284">
        <v>46.705033137094901</v>
      </c>
      <c r="S284">
        <v>-1.61721657953744</v>
      </c>
      <c r="T284">
        <v>109.760517225623</v>
      </c>
      <c r="U284">
        <v>-0.33352067417876002</v>
      </c>
      <c r="V284">
        <v>34.649194400979397</v>
      </c>
    </row>
    <row r="285" spans="1:22" x14ac:dyDescent="0.25">
      <c r="A285" t="str">
        <f t="shared" si="4"/>
        <v>Cabo Verde2020</v>
      </c>
      <c r="B285" t="s">
        <v>53</v>
      </c>
      <c r="C285" t="s">
        <v>54</v>
      </c>
      <c r="D285">
        <v>2020</v>
      </c>
      <c r="E285">
        <v>3539.2266124829898</v>
      </c>
      <c r="F285">
        <v>-20.8052758990735</v>
      </c>
      <c r="G285">
        <v>0.60579618568990001</v>
      </c>
      <c r="H285">
        <v>10</v>
      </c>
      <c r="I285">
        <v>5.9826552252421203</v>
      </c>
      <c r="J285">
        <v>14.65</v>
      </c>
      <c r="K285">
        <v>30.88206490392</v>
      </c>
      <c r="L285">
        <v>21.567029573542399</v>
      </c>
      <c r="M285">
        <v>0.36616042643109398</v>
      </c>
      <c r="N285">
        <v>52.3882134884024</v>
      </c>
      <c r="O285">
        <v>28.9619236573871</v>
      </c>
      <c r="P285">
        <v>8.2340426636779593</v>
      </c>
      <c r="Q285">
        <v>17.5479776332988</v>
      </c>
      <c r="R285">
        <v>25.2933707721998</v>
      </c>
      <c r="S285">
        <v>-9.2932781057211997</v>
      </c>
      <c r="T285">
        <v>149.097264618011</v>
      </c>
      <c r="U285">
        <v>-1.26237265565041</v>
      </c>
      <c r="V285">
        <v>16.846974979794599</v>
      </c>
    </row>
    <row r="286" spans="1:22" x14ac:dyDescent="0.25">
      <c r="A286" t="str">
        <f t="shared" si="4"/>
        <v>Cabo Verde2021</v>
      </c>
      <c r="B286" t="s">
        <v>53</v>
      </c>
      <c r="C286" t="s">
        <v>54</v>
      </c>
      <c r="D286">
        <v>2021</v>
      </c>
      <c r="E286">
        <v>3971.4440920342299</v>
      </c>
      <c r="F286">
        <v>7.0335301069451397</v>
      </c>
      <c r="G286">
        <v>1.86215256793885</v>
      </c>
      <c r="H286">
        <v>10</v>
      </c>
      <c r="I286">
        <v>6.1361775596197798</v>
      </c>
      <c r="J286">
        <v>13.932</v>
      </c>
      <c r="K286">
        <v>18.669494591341099</v>
      </c>
      <c r="L286">
        <v>19.7921439895619</v>
      </c>
      <c r="M286">
        <v>1.3499011255834401</v>
      </c>
      <c r="N286">
        <v>51.809735371379197</v>
      </c>
      <c r="O286">
        <v>27.749764214094199</v>
      </c>
      <c r="P286">
        <v>7.9117254355631097</v>
      </c>
      <c r="Q286">
        <v>17.573764167286999</v>
      </c>
      <c r="R286">
        <v>23.849798357656301</v>
      </c>
      <c r="S286">
        <v>-7.5121919761217297</v>
      </c>
      <c r="T286">
        <v>149.52210903478701</v>
      </c>
      <c r="U286">
        <v>-0.97506726394377796</v>
      </c>
      <c r="V286">
        <v>22.353421352388199</v>
      </c>
    </row>
    <row r="287" spans="1:22" x14ac:dyDescent="0.25">
      <c r="A287" t="str">
        <f t="shared" si="4"/>
        <v>Cabo Verde2022</v>
      </c>
      <c r="B287" t="s">
        <v>53</v>
      </c>
      <c r="C287" t="s">
        <v>54</v>
      </c>
      <c r="D287">
        <v>2022</v>
      </c>
      <c r="E287">
        <v>4323.3136203270897</v>
      </c>
      <c r="F287">
        <v>15.843675684641999</v>
      </c>
      <c r="G287">
        <v>7.9309292807918901</v>
      </c>
      <c r="H287">
        <v>10</v>
      </c>
      <c r="I287">
        <v>6.32872911700251</v>
      </c>
      <c r="J287">
        <v>12.239000000000001</v>
      </c>
      <c r="K287">
        <v>18.669494591341099</v>
      </c>
      <c r="L287">
        <v>19.7921439895619</v>
      </c>
      <c r="M287">
        <v>6.3431904043866902</v>
      </c>
      <c r="N287">
        <v>50.383234329925799</v>
      </c>
      <c r="O287">
        <v>21.879431302759599</v>
      </c>
      <c r="P287">
        <v>6.4201340438493997</v>
      </c>
      <c r="Q287">
        <v>19.139321144084001</v>
      </c>
      <c r="R287">
        <v>38.684254217013397</v>
      </c>
      <c r="S287">
        <v>-4.25089413409962</v>
      </c>
      <c r="T287">
        <v>127.599394333753</v>
      </c>
      <c r="U287">
        <v>-0.50950102245486095</v>
      </c>
      <c r="V287">
        <v>31.276384915377601</v>
      </c>
    </row>
    <row r="288" spans="1:22" x14ac:dyDescent="0.25">
      <c r="A288" t="str">
        <f t="shared" si="4"/>
        <v>Cabo Verde2023</v>
      </c>
      <c r="B288" t="s">
        <v>53</v>
      </c>
      <c r="C288" t="s">
        <v>54</v>
      </c>
      <c r="D288">
        <v>2023</v>
      </c>
      <c r="E288">
        <v>4794.9012191725897</v>
      </c>
      <c r="F288">
        <v>4.7947613911072997</v>
      </c>
      <c r="G288">
        <v>3.7243753586145401</v>
      </c>
      <c r="H288">
        <v>10</v>
      </c>
      <c r="I288">
        <v>6.5794549619445899</v>
      </c>
      <c r="J288">
        <v>11.882</v>
      </c>
      <c r="K288">
        <v>18.669494591341099</v>
      </c>
      <c r="L288">
        <v>19.7921439895619</v>
      </c>
      <c r="M288">
        <v>3.2590039321017201</v>
      </c>
      <c r="N288">
        <v>49.1432552588223</v>
      </c>
      <c r="O288">
        <v>21.725107146154102</v>
      </c>
      <c r="P288">
        <v>6.7064239029034001</v>
      </c>
      <c r="Q288">
        <v>20.810085805998401</v>
      </c>
      <c r="R288">
        <v>39.280504849549502</v>
      </c>
      <c r="S288">
        <v>-0.277533998248299</v>
      </c>
      <c r="T288">
        <v>117.49076446154901</v>
      </c>
      <c r="U288">
        <v>-0.37447126291182697</v>
      </c>
      <c r="V288">
        <v>33.864342367937802</v>
      </c>
    </row>
    <row r="289" spans="1:22" x14ac:dyDescent="0.25">
      <c r="A289" t="str">
        <f t="shared" si="4"/>
        <v>Cabo Verde2024</v>
      </c>
      <c r="B289" t="s">
        <v>53</v>
      </c>
      <c r="C289" t="s">
        <v>54</v>
      </c>
      <c r="D289">
        <v>2024</v>
      </c>
      <c r="E289">
        <v>5192.4815732587804</v>
      </c>
      <c r="F289">
        <v>7.2438853899094502</v>
      </c>
      <c r="G289">
        <v>1.0481698336865</v>
      </c>
      <c r="H289">
        <v>10</v>
      </c>
      <c r="I289">
        <v>6.8581782017501203</v>
      </c>
      <c r="J289">
        <v>11.882999999999999</v>
      </c>
      <c r="K289">
        <v>18.669494591341099</v>
      </c>
      <c r="L289">
        <v>19.7921439895619</v>
      </c>
      <c r="M289">
        <v>1.5860736504867099</v>
      </c>
      <c r="N289">
        <v>47.941023935420603</v>
      </c>
      <c r="O289">
        <v>16.389538888913101</v>
      </c>
      <c r="P289">
        <v>5.9943268130840996</v>
      </c>
      <c r="Q289">
        <v>20.284445636622099</v>
      </c>
      <c r="R289">
        <v>42.498606357687599</v>
      </c>
      <c r="S289">
        <v>-1.06613847889295</v>
      </c>
      <c r="T289">
        <v>112.846622350169</v>
      </c>
      <c r="U289">
        <v>-0.29421169648383899</v>
      </c>
      <c r="V289">
        <v>35.402583595497497</v>
      </c>
    </row>
    <row r="290" spans="1:22" x14ac:dyDescent="0.25">
      <c r="A290" t="str">
        <f t="shared" si="4"/>
        <v>Cabo Verde2025</v>
      </c>
      <c r="B290" t="s">
        <v>53</v>
      </c>
      <c r="C290" t="s">
        <v>54</v>
      </c>
      <c r="D290">
        <v>2025</v>
      </c>
      <c r="E290">
        <v>3971.4440920342299</v>
      </c>
      <c r="F290">
        <v>3.92471821338283</v>
      </c>
      <c r="G290">
        <v>1.2561518586078499</v>
      </c>
      <c r="H290">
        <v>10</v>
      </c>
      <c r="I290">
        <v>5.4652724837344202</v>
      </c>
      <c r="J290">
        <v>11.939</v>
      </c>
      <c r="K290">
        <v>18.669494591341099</v>
      </c>
      <c r="L290">
        <v>19.7921439895619</v>
      </c>
      <c r="M290">
        <v>1.42476019715654</v>
      </c>
      <c r="N290">
        <v>51.809735371379197</v>
      </c>
      <c r="O290">
        <v>28.9619236573871</v>
      </c>
      <c r="P290">
        <v>5.9943268130840996</v>
      </c>
      <c r="Q290">
        <v>25.590905229065399</v>
      </c>
      <c r="R290">
        <v>38.684254217013397</v>
      </c>
      <c r="S290">
        <v>1.05705326099375</v>
      </c>
      <c r="T290">
        <v>100.995243856776</v>
      </c>
      <c r="U290">
        <v>-0.38255223321783099</v>
      </c>
      <c r="V290">
        <v>33.709463862650402</v>
      </c>
    </row>
    <row r="291" spans="1:22" x14ac:dyDescent="0.25">
      <c r="A291" t="str">
        <f t="shared" si="4"/>
        <v>Cameroon2010</v>
      </c>
      <c r="B291" t="s">
        <v>55</v>
      </c>
      <c r="C291" t="s">
        <v>56</v>
      </c>
      <c r="D291">
        <v>2010</v>
      </c>
      <c r="E291">
        <v>1398.58702025047</v>
      </c>
      <c r="F291">
        <v>2.8990247212201399</v>
      </c>
      <c r="G291">
        <v>1.27538046242338</v>
      </c>
      <c r="H291">
        <v>6</v>
      </c>
      <c r="I291">
        <v>3.0075478697295401</v>
      </c>
      <c r="J291">
        <v>4.1100000000000003</v>
      </c>
      <c r="K291">
        <v>12.372119759056099</v>
      </c>
      <c r="L291">
        <v>14.999221226099699</v>
      </c>
      <c r="M291">
        <v>0.68818708277764495</v>
      </c>
      <c r="N291">
        <v>87.649959408479106</v>
      </c>
      <c r="O291">
        <v>18.228444037737798</v>
      </c>
      <c r="P291">
        <v>6.5147557011329802</v>
      </c>
      <c r="Q291">
        <v>15.298204014543099</v>
      </c>
      <c r="R291">
        <v>22.368890297981999</v>
      </c>
      <c r="S291">
        <v>-0.57124640656163805</v>
      </c>
      <c r="T291">
        <v>13.9891439476913</v>
      </c>
      <c r="U291">
        <v>-0.82190726163095296</v>
      </c>
      <c r="V291">
        <v>25.2888599605959</v>
      </c>
    </row>
    <row r="292" spans="1:22" x14ac:dyDescent="0.25">
      <c r="A292" t="str">
        <f t="shared" si="4"/>
        <v>Cameroon2011</v>
      </c>
      <c r="B292" t="s">
        <v>55</v>
      </c>
      <c r="C292" t="s">
        <v>56</v>
      </c>
      <c r="D292">
        <v>2011</v>
      </c>
      <c r="E292">
        <v>1513.9605699487799</v>
      </c>
      <c r="F292">
        <v>3.3792112850604501</v>
      </c>
      <c r="G292">
        <v>2.9396994630509101</v>
      </c>
      <c r="H292">
        <v>6</v>
      </c>
      <c r="I292">
        <v>2.9791862305742902</v>
      </c>
      <c r="J292">
        <v>3.988</v>
      </c>
      <c r="K292">
        <v>12.372119759056099</v>
      </c>
      <c r="L292">
        <v>14.999221226099699</v>
      </c>
      <c r="M292">
        <v>2.5890442474789399</v>
      </c>
      <c r="N292">
        <v>87.392383214258999</v>
      </c>
      <c r="O292">
        <v>18.732400822037</v>
      </c>
      <c r="P292">
        <v>4.4163936778627297</v>
      </c>
      <c r="Q292">
        <v>15.522766500828601</v>
      </c>
      <c r="R292">
        <v>24.229686622930998</v>
      </c>
      <c r="S292">
        <v>-1.54518901732553</v>
      </c>
      <c r="T292">
        <v>15.8644667609026</v>
      </c>
      <c r="U292">
        <v>-0.87597553492047897</v>
      </c>
      <c r="V292">
        <v>24.252596611833098</v>
      </c>
    </row>
    <row r="293" spans="1:22" x14ac:dyDescent="0.25">
      <c r="A293" t="str">
        <f t="shared" si="4"/>
        <v>Cameroon2012</v>
      </c>
      <c r="B293" t="s">
        <v>55</v>
      </c>
      <c r="C293" t="s">
        <v>56</v>
      </c>
      <c r="D293">
        <v>2012</v>
      </c>
      <c r="E293">
        <v>1449.0987436227899</v>
      </c>
      <c r="F293">
        <v>4.6259787220957103</v>
      </c>
      <c r="G293">
        <v>2.7352967752953901</v>
      </c>
      <c r="H293">
        <v>6</v>
      </c>
      <c r="I293">
        <v>2.9492089897853999</v>
      </c>
      <c r="J293">
        <v>3.8359999999999999</v>
      </c>
      <c r="K293">
        <v>12.7527473631683</v>
      </c>
      <c r="L293">
        <v>15.8693647931459</v>
      </c>
      <c r="M293">
        <v>1.94228536388823</v>
      </c>
      <c r="N293">
        <v>87.115220445781304</v>
      </c>
      <c r="O293">
        <v>18.000738169958201</v>
      </c>
      <c r="P293">
        <v>4.6049024786369204</v>
      </c>
      <c r="Q293">
        <v>15.1163554275669</v>
      </c>
      <c r="R293">
        <v>23.8767238437792</v>
      </c>
      <c r="S293">
        <v>-1.21638233884405</v>
      </c>
      <c r="T293">
        <v>14.874130243110301</v>
      </c>
      <c r="U293">
        <v>-0.82283903699127803</v>
      </c>
      <c r="V293">
        <v>25.271001712191801</v>
      </c>
    </row>
    <row r="294" spans="1:22" x14ac:dyDescent="0.25">
      <c r="A294" t="str">
        <f t="shared" si="4"/>
        <v>Cameroon2013</v>
      </c>
      <c r="B294" t="s">
        <v>55</v>
      </c>
      <c r="C294" t="s">
        <v>56</v>
      </c>
      <c r="D294">
        <v>2013</v>
      </c>
      <c r="E294">
        <v>1575.92882118897</v>
      </c>
      <c r="F294">
        <v>4.9955291613078296</v>
      </c>
      <c r="G294">
        <v>2.0503471800174</v>
      </c>
      <c r="H294">
        <v>6</v>
      </c>
      <c r="I294">
        <v>2.9145478987940399</v>
      </c>
      <c r="J294">
        <v>3.6859999999999999</v>
      </c>
      <c r="K294">
        <v>12.935408968210201</v>
      </c>
      <c r="L294">
        <v>15.818702558009299</v>
      </c>
      <c r="M294">
        <v>3.0534591692503699</v>
      </c>
      <c r="N294">
        <v>86.740105552292803</v>
      </c>
      <c r="O294">
        <v>18.651545969218098</v>
      </c>
      <c r="P294">
        <v>4.3272494950308502</v>
      </c>
      <c r="Q294">
        <v>15.333808411391701</v>
      </c>
      <c r="R294">
        <v>23.639108668029198</v>
      </c>
      <c r="S294">
        <v>-3.54282264912647</v>
      </c>
      <c r="T294">
        <v>17.471505143798701</v>
      </c>
      <c r="U294">
        <v>-0.92930085066352097</v>
      </c>
      <c r="V294">
        <v>23.230572661302801</v>
      </c>
    </row>
    <row r="295" spans="1:22" x14ac:dyDescent="0.25">
      <c r="A295" t="str">
        <f t="shared" si="4"/>
        <v>Cameroon2014</v>
      </c>
      <c r="B295" t="s">
        <v>55</v>
      </c>
      <c r="C295" t="s">
        <v>56</v>
      </c>
      <c r="D295">
        <v>2014</v>
      </c>
      <c r="E295">
        <v>1649.4433905948999</v>
      </c>
      <c r="F295">
        <v>5.7198181450919803</v>
      </c>
      <c r="G295">
        <v>1.8548985036677601</v>
      </c>
      <c r="H295">
        <v>6</v>
      </c>
      <c r="I295">
        <v>2.8771943726109601</v>
      </c>
      <c r="J295">
        <v>3.5339999999999998</v>
      </c>
      <c r="K295">
        <v>12.860314822325799</v>
      </c>
      <c r="L295">
        <v>16.332961616374298</v>
      </c>
      <c r="M295">
        <v>2.0142126302225698</v>
      </c>
      <c r="N295">
        <v>86.004336805740294</v>
      </c>
      <c r="O295">
        <v>19.727834339890201</v>
      </c>
      <c r="P295">
        <v>3.61188832772365</v>
      </c>
      <c r="Q295">
        <v>15.2243858420723</v>
      </c>
      <c r="R295">
        <v>23.6099755336855</v>
      </c>
      <c r="S295">
        <v>-3.3624449445184701</v>
      </c>
      <c r="T295">
        <v>20.7071877692144</v>
      </c>
      <c r="U295">
        <v>-0.92571406222882702</v>
      </c>
      <c r="V295">
        <v>23.299316439650202</v>
      </c>
    </row>
    <row r="296" spans="1:22" x14ac:dyDescent="0.25">
      <c r="A296" t="str">
        <f t="shared" si="4"/>
        <v>Cameroon2015</v>
      </c>
      <c r="B296" t="s">
        <v>55</v>
      </c>
      <c r="C296" t="s">
        <v>56</v>
      </c>
      <c r="D296">
        <v>2015</v>
      </c>
      <c r="E296">
        <v>1415.00009710569</v>
      </c>
      <c r="F296">
        <v>5.6669529870393198</v>
      </c>
      <c r="G296">
        <v>2.6762353141989901</v>
      </c>
      <c r="H296">
        <v>6</v>
      </c>
      <c r="I296">
        <v>2.84572861421998</v>
      </c>
      <c r="J296">
        <v>3.5179999999999998</v>
      </c>
      <c r="K296">
        <v>12.421318766701001</v>
      </c>
      <c r="L296">
        <v>15.4849009804887</v>
      </c>
      <c r="M296">
        <v>0.30979167778053801</v>
      </c>
      <c r="N296">
        <v>85.203228431493997</v>
      </c>
      <c r="O296">
        <v>18.249855488335299</v>
      </c>
      <c r="P296">
        <v>5.0465882857074504</v>
      </c>
      <c r="Q296">
        <v>14.3156939343018</v>
      </c>
      <c r="R296">
        <v>20.9891496295315</v>
      </c>
      <c r="S296">
        <v>-2.8578065321928401</v>
      </c>
      <c r="T296">
        <v>31.620029833035101</v>
      </c>
      <c r="U296">
        <v>-0.93184543031862399</v>
      </c>
      <c r="V296">
        <v>23.1818036795291</v>
      </c>
    </row>
    <row r="297" spans="1:22" x14ac:dyDescent="0.25">
      <c r="A297" t="str">
        <f t="shared" si="4"/>
        <v>Cameroon2016</v>
      </c>
      <c r="B297" t="s">
        <v>55</v>
      </c>
      <c r="C297" t="s">
        <v>56</v>
      </c>
      <c r="D297">
        <v>2016</v>
      </c>
      <c r="E297">
        <v>1441.7201725688001</v>
      </c>
      <c r="F297">
        <v>4.5357942367880097</v>
      </c>
      <c r="G297">
        <v>0.87419038328885601</v>
      </c>
      <c r="H297">
        <v>6</v>
      </c>
      <c r="I297">
        <v>2.8219810799887299</v>
      </c>
      <c r="J297">
        <v>3.5289999999999999</v>
      </c>
      <c r="K297">
        <v>11.9000531275541</v>
      </c>
      <c r="L297">
        <v>14.518004931091401</v>
      </c>
      <c r="M297">
        <v>0.66180897715588605</v>
      </c>
      <c r="N297">
        <v>84.728731649924796</v>
      </c>
      <c r="O297">
        <v>19.818054844842699</v>
      </c>
      <c r="P297">
        <v>3.4087059435709799</v>
      </c>
      <c r="Q297">
        <v>16.4568941322377</v>
      </c>
      <c r="R297">
        <v>18.949978755964899</v>
      </c>
      <c r="S297">
        <v>-5.7857882644895797</v>
      </c>
      <c r="T297">
        <v>32.108196096222699</v>
      </c>
      <c r="U297">
        <v>-1.11012134664739</v>
      </c>
      <c r="V297">
        <v>19.764997726260699</v>
      </c>
    </row>
    <row r="298" spans="1:22" x14ac:dyDescent="0.25">
      <c r="A298" t="str">
        <f t="shared" si="4"/>
        <v>Cameroon2017</v>
      </c>
      <c r="B298" t="s">
        <v>55</v>
      </c>
      <c r="C298" t="s">
        <v>56</v>
      </c>
      <c r="D298">
        <v>2017</v>
      </c>
      <c r="E298">
        <v>1496.08951771242</v>
      </c>
      <c r="F298">
        <v>3.54117654926007</v>
      </c>
      <c r="G298">
        <v>0.64040914988194997</v>
      </c>
      <c r="H298">
        <v>6</v>
      </c>
      <c r="I298">
        <v>2.8036706313805801</v>
      </c>
      <c r="J298">
        <v>3.573</v>
      </c>
      <c r="K298">
        <v>10.5272373062848</v>
      </c>
      <c r="L298">
        <v>14.691664680822999</v>
      </c>
      <c r="M298">
        <v>1.02514116066253</v>
      </c>
      <c r="N298">
        <v>84.452935020338401</v>
      </c>
      <c r="O298">
        <v>19.445137402487902</v>
      </c>
      <c r="P298">
        <v>4.7259809487267503</v>
      </c>
      <c r="Q298">
        <v>16.289383725778698</v>
      </c>
      <c r="R298">
        <v>18.351098583002202</v>
      </c>
      <c r="S298">
        <v>-3.6821953674144599</v>
      </c>
      <c r="T298">
        <v>36.5386575921125</v>
      </c>
      <c r="U298">
        <v>-1.0315109433494201</v>
      </c>
      <c r="V298">
        <v>21.271631373185802</v>
      </c>
    </row>
    <row r="299" spans="1:22" x14ac:dyDescent="0.25">
      <c r="A299" t="str">
        <f t="shared" si="4"/>
        <v>Cameroon2018</v>
      </c>
      <c r="B299" t="s">
        <v>55</v>
      </c>
      <c r="C299" t="s">
        <v>56</v>
      </c>
      <c r="D299">
        <v>2018</v>
      </c>
      <c r="E299">
        <v>1610.6964159101699</v>
      </c>
      <c r="F299">
        <v>3.95551423892049</v>
      </c>
      <c r="G299">
        <v>1.0688581131292001</v>
      </c>
      <c r="H299">
        <v>6</v>
      </c>
      <c r="I299">
        <v>2.7911606460321101</v>
      </c>
      <c r="J299">
        <v>3.6080000000000001</v>
      </c>
      <c r="K299">
        <v>11.367382512434</v>
      </c>
      <c r="L299">
        <v>15.150519920134499</v>
      </c>
      <c r="M299">
        <v>1.8969916226624799</v>
      </c>
      <c r="N299">
        <v>84.122667476597897</v>
      </c>
      <c r="O299">
        <v>19.538029635105602</v>
      </c>
      <c r="P299">
        <v>4.4282280399876504</v>
      </c>
      <c r="Q299">
        <v>15.707849859852701</v>
      </c>
      <c r="R299">
        <v>18.736253469018099</v>
      </c>
      <c r="S299">
        <v>-2.2962021876232099</v>
      </c>
      <c r="T299">
        <v>38.335340387888102</v>
      </c>
      <c r="U299">
        <v>-0.96293732264379595</v>
      </c>
      <c r="V299">
        <v>22.585901748507101</v>
      </c>
    </row>
    <row r="300" spans="1:22" x14ac:dyDescent="0.25">
      <c r="A300" t="str">
        <f t="shared" si="4"/>
        <v>Cameroon2019</v>
      </c>
      <c r="B300" t="s">
        <v>55</v>
      </c>
      <c r="C300" t="s">
        <v>56</v>
      </c>
      <c r="D300">
        <v>2019</v>
      </c>
      <c r="E300">
        <v>1555.2266047647699</v>
      </c>
      <c r="F300">
        <v>3.4750599819498098</v>
      </c>
      <c r="G300">
        <v>2.4528021406273202</v>
      </c>
      <c r="H300">
        <v>6</v>
      </c>
      <c r="I300">
        <v>2.7842992037785499</v>
      </c>
      <c r="J300">
        <v>3.6320000000000001</v>
      </c>
      <c r="K300">
        <v>12.3229207514112</v>
      </c>
      <c r="L300">
        <v>14.847922532064899</v>
      </c>
      <c r="M300">
        <v>1.1697718191154101</v>
      </c>
      <c r="N300">
        <v>83.580641346604295</v>
      </c>
      <c r="O300">
        <v>18.934645496049601</v>
      </c>
      <c r="P300">
        <v>4.3937287007678103</v>
      </c>
      <c r="Q300">
        <v>14.3999211479235</v>
      </c>
      <c r="R300">
        <v>19.8500907473186</v>
      </c>
      <c r="S300">
        <v>-3.6457131199888799</v>
      </c>
      <c r="T300">
        <v>41.597371304908798</v>
      </c>
      <c r="U300">
        <v>-1.0304511356328401</v>
      </c>
      <c r="V300">
        <v>21.291943467998699</v>
      </c>
    </row>
    <row r="301" spans="1:22" x14ac:dyDescent="0.25">
      <c r="A301" t="str">
        <f t="shared" si="4"/>
        <v>Cameroon2020</v>
      </c>
      <c r="B301" t="s">
        <v>55</v>
      </c>
      <c r="C301" t="s">
        <v>56</v>
      </c>
      <c r="D301">
        <v>2020</v>
      </c>
      <c r="E301">
        <v>1555.60370660749</v>
      </c>
      <c r="F301">
        <v>0.25993291590711498</v>
      </c>
      <c r="G301">
        <v>2.4376088218223599</v>
      </c>
      <c r="H301">
        <v>6</v>
      </c>
      <c r="I301">
        <v>2.7768523661342899</v>
      </c>
      <c r="J301">
        <v>3.8809999999999998</v>
      </c>
      <c r="K301">
        <v>12.0602939460197</v>
      </c>
      <c r="L301">
        <v>13.1216430210324</v>
      </c>
      <c r="M301">
        <v>0.70557203762172105</v>
      </c>
      <c r="N301">
        <v>82.884312265686702</v>
      </c>
      <c r="O301">
        <v>17.660543979214399</v>
      </c>
      <c r="P301">
        <v>5.7882625091073203</v>
      </c>
      <c r="Q301">
        <v>13.348618765419699</v>
      </c>
      <c r="R301">
        <v>15.2357369814791</v>
      </c>
      <c r="S301">
        <v>-3.5184546828019299</v>
      </c>
      <c r="T301">
        <v>44.891872804420402</v>
      </c>
      <c r="U301">
        <v>-1.09333629047096</v>
      </c>
      <c r="V301">
        <v>20.0866972639807</v>
      </c>
    </row>
    <row r="302" spans="1:22" x14ac:dyDescent="0.25">
      <c r="A302" t="str">
        <f t="shared" si="4"/>
        <v>Cameroon2021</v>
      </c>
      <c r="B302" t="s">
        <v>55</v>
      </c>
      <c r="C302" t="s">
        <v>56</v>
      </c>
      <c r="D302">
        <v>2021</v>
      </c>
      <c r="E302">
        <v>1672.3265734087199</v>
      </c>
      <c r="F302">
        <v>3.3388574717950501</v>
      </c>
      <c r="G302">
        <v>2.27185762503637</v>
      </c>
      <c r="H302">
        <v>6</v>
      </c>
      <c r="I302">
        <v>2.7661026160566902</v>
      </c>
      <c r="J302">
        <v>3.976</v>
      </c>
      <c r="K302">
        <v>12.4228090170574</v>
      </c>
      <c r="L302">
        <v>13.7428346466617</v>
      </c>
      <c r="M302">
        <v>2.92103933375591</v>
      </c>
      <c r="N302">
        <v>82.089365035767401</v>
      </c>
      <c r="O302">
        <v>18.1266921736343</v>
      </c>
      <c r="P302">
        <v>5.2128407488678397</v>
      </c>
      <c r="Q302">
        <v>13.939628059460199</v>
      </c>
      <c r="R302">
        <v>16.508884036778099</v>
      </c>
      <c r="S302">
        <v>-2.8810910813579498</v>
      </c>
      <c r="T302">
        <v>47.153602978857002</v>
      </c>
      <c r="U302">
        <v>-1.0222977562053801</v>
      </c>
      <c r="V302">
        <v>21.4482097542178</v>
      </c>
    </row>
    <row r="303" spans="1:22" x14ac:dyDescent="0.25">
      <c r="A303" t="str">
        <f t="shared" si="4"/>
        <v>Cameroon2022</v>
      </c>
      <c r="B303" t="s">
        <v>55</v>
      </c>
      <c r="C303" t="s">
        <v>56</v>
      </c>
      <c r="D303">
        <v>2022</v>
      </c>
      <c r="E303">
        <v>1604.8772695489499</v>
      </c>
      <c r="F303">
        <v>3.7367840056412001</v>
      </c>
      <c r="G303">
        <v>6.2476771334386099</v>
      </c>
      <c r="H303">
        <v>6</v>
      </c>
      <c r="I303">
        <v>2.7631719822240801</v>
      </c>
      <c r="J303">
        <v>3.6459999999999999</v>
      </c>
      <c r="K303">
        <v>12.372119759056099</v>
      </c>
      <c r="L303">
        <v>14.999221226099699</v>
      </c>
      <c r="M303">
        <v>6.8310547324867299</v>
      </c>
      <c r="N303">
        <v>81.229586662210394</v>
      </c>
      <c r="O303">
        <v>19.107439809124401</v>
      </c>
      <c r="P303">
        <v>5.5853732157380396</v>
      </c>
      <c r="Q303">
        <v>15.6057888516949</v>
      </c>
      <c r="R303">
        <v>19.321813317909001</v>
      </c>
      <c r="S303">
        <v>-1.1117008174710299</v>
      </c>
      <c r="T303">
        <v>45.579138031126398</v>
      </c>
      <c r="U303">
        <v>-0.88757976946251205</v>
      </c>
      <c r="V303">
        <v>24.0301918222079</v>
      </c>
    </row>
    <row r="304" spans="1:22" x14ac:dyDescent="0.25">
      <c r="A304" t="str">
        <f t="shared" si="4"/>
        <v>Cameroon2023</v>
      </c>
      <c r="B304" t="s">
        <v>55</v>
      </c>
      <c r="C304" t="s">
        <v>56</v>
      </c>
      <c r="D304">
        <v>2023</v>
      </c>
      <c r="E304">
        <v>1720.4751015450599</v>
      </c>
      <c r="F304">
        <v>3.3475629075021902</v>
      </c>
      <c r="G304">
        <v>7.3828138428098304</v>
      </c>
      <c r="H304">
        <v>6</v>
      </c>
      <c r="I304">
        <v>2.7748394080546599</v>
      </c>
      <c r="J304">
        <v>3.6070000000000002</v>
      </c>
      <c r="K304">
        <v>12.372119759056099</v>
      </c>
      <c r="L304">
        <v>14.999221226099699</v>
      </c>
      <c r="M304">
        <v>3.5728174291619199</v>
      </c>
      <c r="N304">
        <v>80.295160407145104</v>
      </c>
      <c r="O304">
        <v>19.2850918964923</v>
      </c>
      <c r="P304">
        <v>5.1050414416663603</v>
      </c>
      <c r="Q304">
        <v>14.941243331936199</v>
      </c>
      <c r="R304">
        <v>16.852756219308699</v>
      </c>
      <c r="S304">
        <v>-0.63993084178694304</v>
      </c>
      <c r="T304">
        <v>43.559124012844499</v>
      </c>
      <c r="U304">
        <v>-0.87971431688233903</v>
      </c>
      <c r="V304">
        <v>24.180939751342301</v>
      </c>
    </row>
    <row r="305" spans="1:22" x14ac:dyDescent="0.25">
      <c r="A305" t="str">
        <f t="shared" si="4"/>
        <v>Cameroon2024</v>
      </c>
      <c r="B305" t="s">
        <v>55</v>
      </c>
      <c r="C305" t="s">
        <v>56</v>
      </c>
      <c r="D305">
        <v>2024</v>
      </c>
      <c r="E305">
        <v>1830.0083368472699</v>
      </c>
      <c r="F305">
        <v>3.5247230805224499</v>
      </c>
      <c r="G305">
        <v>4.53331349711606</v>
      </c>
      <c r="H305">
        <v>6</v>
      </c>
      <c r="I305">
        <v>2.7947986837612402</v>
      </c>
      <c r="J305">
        <v>3.6030000000000002</v>
      </c>
      <c r="K305">
        <v>12.372119759056099</v>
      </c>
      <c r="L305">
        <v>14.999221226099699</v>
      </c>
      <c r="M305">
        <v>5.4257265725534003</v>
      </c>
      <c r="N305">
        <v>79.3304617054918</v>
      </c>
      <c r="O305">
        <v>18.905688168782198</v>
      </c>
      <c r="P305">
        <v>5.2751140316285499</v>
      </c>
      <c r="Q305">
        <v>15.887592315702699</v>
      </c>
      <c r="R305">
        <v>15.6732536622499</v>
      </c>
      <c r="S305">
        <v>-1.5091843610337301</v>
      </c>
      <c r="T305">
        <v>43.413113051163698</v>
      </c>
      <c r="U305">
        <v>-0.89674818879067197</v>
      </c>
      <c r="V305">
        <v>23.8544714535366</v>
      </c>
    </row>
    <row r="306" spans="1:22" x14ac:dyDescent="0.25">
      <c r="A306" t="str">
        <f t="shared" si="4"/>
        <v>Cameroon2025</v>
      </c>
      <c r="B306" t="s">
        <v>55</v>
      </c>
      <c r="C306" t="s">
        <v>56</v>
      </c>
      <c r="D306">
        <v>2025</v>
      </c>
      <c r="E306">
        <v>1555.60370660749</v>
      </c>
      <c r="F306">
        <v>3.54117654926007</v>
      </c>
      <c r="G306">
        <v>2.4376088218223599</v>
      </c>
      <c r="H306">
        <v>6</v>
      </c>
      <c r="I306">
        <v>2.8036706313805801</v>
      </c>
      <c r="J306">
        <v>3.6019999999999999</v>
      </c>
      <c r="K306">
        <v>12.372119759056099</v>
      </c>
      <c r="L306">
        <v>14.999221226099699</v>
      </c>
      <c r="M306">
        <v>1.94228536388823</v>
      </c>
      <c r="N306">
        <v>84.452935020338401</v>
      </c>
      <c r="O306">
        <v>18.905688168782198</v>
      </c>
      <c r="P306">
        <v>4.7259809487267503</v>
      </c>
      <c r="Q306">
        <v>15.298204014543099</v>
      </c>
      <c r="R306">
        <v>19.321813317909001</v>
      </c>
      <c r="S306">
        <v>-2.0096695703989198</v>
      </c>
      <c r="T306">
        <v>40.359314462539203</v>
      </c>
      <c r="U306">
        <v>-0.94953987293520903</v>
      </c>
      <c r="V306">
        <v>22.842674995648899</v>
      </c>
    </row>
    <row r="307" spans="1:22" x14ac:dyDescent="0.25">
      <c r="A307" t="str">
        <f t="shared" si="4"/>
        <v>Canada2010</v>
      </c>
      <c r="B307" t="s">
        <v>57</v>
      </c>
      <c r="C307" t="s">
        <v>58</v>
      </c>
      <c r="D307">
        <v>2010</v>
      </c>
      <c r="E307">
        <v>47560.666600940604</v>
      </c>
      <c r="F307">
        <v>3.09080634469335</v>
      </c>
      <c r="G307">
        <v>1.7768715409262701</v>
      </c>
      <c r="H307">
        <v>10</v>
      </c>
      <c r="I307">
        <v>14.1094023482861</v>
      </c>
      <c r="J307">
        <v>8.1780000000000008</v>
      </c>
      <c r="K307">
        <v>19.084707144940801</v>
      </c>
      <c r="L307">
        <v>16.896172134502901</v>
      </c>
      <c r="M307">
        <v>2.84863779561802</v>
      </c>
      <c r="N307">
        <v>44.242603473242603</v>
      </c>
      <c r="O307">
        <v>23.482004698549702</v>
      </c>
      <c r="P307">
        <v>1.17295270117455</v>
      </c>
      <c r="Q307">
        <v>19.312530097616001</v>
      </c>
      <c r="R307">
        <v>29.167381933031901</v>
      </c>
      <c r="S307">
        <v>-4.7375585817455397</v>
      </c>
      <c r="T307">
        <v>83.974591368315899</v>
      </c>
      <c r="U307">
        <v>-2.8775193213054499E-2</v>
      </c>
      <c r="V307">
        <v>40.489894564174897</v>
      </c>
    </row>
    <row r="308" spans="1:22" x14ac:dyDescent="0.25">
      <c r="A308" t="str">
        <f t="shared" si="4"/>
        <v>Canada2011</v>
      </c>
      <c r="B308" t="s">
        <v>57</v>
      </c>
      <c r="C308" t="s">
        <v>58</v>
      </c>
      <c r="D308">
        <v>2011</v>
      </c>
      <c r="E308">
        <v>52223.858839853099</v>
      </c>
      <c r="F308">
        <v>3.13719442170364</v>
      </c>
      <c r="G308">
        <v>2.91213508872351</v>
      </c>
      <c r="H308">
        <v>10</v>
      </c>
      <c r="I308">
        <v>14.4296808152056</v>
      </c>
      <c r="J308">
        <v>7.6369999999999996</v>
      </c>
      <c r="K308">
        <v>17.8502680006291</v>
      </c>
      <c r="L308">
        <v>16.925498136199199</v>
      </c>
      <c r="M308">
        <v>3.2444551435018498</v>
      </c>
      <c r="N308">
        <v>44.616639292482603</v>
      </c>
      <c r="O308">
        <v>24.151453471494499</v>
      </c>
      <c r="P308">
        <v>1.19116603863505</v>
      </c>
      <c r="Q308">
        <v>20.857109411382499</v>
      </c>
      <c r="R308">
        <v>30.678391917310702</v>
      </c>
      <c r="S308">
        <v>-3.3087325534662502</v>
      </c>
      <c r="T308">
        <v>84.284041773037302</v>
      </c>
      <c r="U308">
        <v>9.1828103071708897E-2</v>
      </c>
      <c r="V308">
        <v>42.801356870556504</v>
      </c>
    </row>
    <row r="309" spans="1:22" x14ac:dyDescent="0.25">
      <c r="A309" t="str">
        <f t="shared" si="4"/>
        <v>Canada2012</v>
      </c>
      <c r="B309" t="s">
        <v>57</v>
      </c>
      <c r="C309" t="s">
        <v>58</v>
      </c>
      <c r="D309">
        <v>2012</v>
      </c>
      <c r="E309">
        <v>52670.344733541497</v>
      </c>
      <c r="F309">
        <v>1.75566129145483</v>
      </c>
      <c r="G309">
        <v>1.51567823124516</v>
      </c>
      <c r="H309">
        <v>10</v>
      </c>
      <c r="I309">
        <v>14.8206990584527</v>
      </c>
      <c r="J309">
        <v>7.3920000000000003</v>
      </c>
      <c r="K309">
        <v>17.5175199279774</v>
      </c>
      <c r="L309">
        <v>16.920323663737801</v>
      </c>
      <c r="M309">
        <v>1.21844374115912</v>
      </c>
      <c r="N309">
        <v>45.2394993555654</v>
      </c>
      <c r="O309">
        <v>24.867543598009</v>
      </c>
      <c r="P309">
        <v>1.1948601422582501</v>
      </c>
      <c r="Q309">
        <v>20.917951228193701</v>
      </c>
      <c r="R309">
        <v>30.353025522587799</v>
      </c>
      <c r="S309">
        <v>-2.5245170071601302</v>
      </c>
      <c r="T309">
        <v>87.014783814150704</v>
      </c>
      <c r="U309">
        <v>0.107228911519229</v>
      </c>
      <c r="V309">
        <v>43.096526151254999</v>
      </c>
    </row>
    <row r="310" spans="1:22" x14ac:dyDescent="0.25">
      <c r="A310" t="str">
        <f t="shared" si="4"/>
        <v>Canada2013</v>
      </c>
      <c r="B310" t="s">
        <v>57</v>
      </c>
      <c r="C310" t="s">
        <v>58</v>
      </c>
      <c r="D310">
        <v>2013</v>
      </c>
      <c r="E310">
        <v>52638.118723523701</v>
      </c>
      <c r="F310">
        <v>2.3258135480642901</v>
      </c>
      <c r="G310">
        <v>0.93829189781531597</v>
      </c>
      <c r="H310">
        <v>10</v>
      </c>
      <c r="I310">
        <v>15.228688793587899</v>
      </c>
      <c r="J310">
        <v>7.1429999999999998</v>
      </c>
      <c r="K310">
        <v>17.084882157908901</v>
      </c>
      <c r="L310">
        <v>16.952617664669599</v>
      </c>
      <c r="M310">
        <v>1.7407379314567799</v>
      </c>
      <c r="N310">
        <v>45.985671919796701</v>
      </c>
      <c r="O310">
        <v>24.907675073031999</v>
      </c>
      <c r="P310">
        <v>1.2551770449071</v>
      </c>
      <c r="Q310">
        <v>21.5972984025064</v>
      </c>
      <c r="R310">
        <v>30.331938668386702</v>
      </c>
      <c r="S310">
        <v>-1.4947059976963999</v>
      </c>
      <c r="T310">
        <v>87.702806207606002</v>
      </c>
      <c r="U310">
        <v>0.16811069545237101</v>
      </c>
      <c r="V310">
        <v>44.263376088544</v>
      </c>
    </row>
    <row r="311" spans="1:22" x14ac:dyDescent="0.25">
      <c r="A311" t="str">
        <f t="shared" si="4"/>
        <v>Canada2014</v>
      </c>
      <c r="B311" t="s">
        <v>57</v>
      </c>
      <c r="C311" t="s">
        <v>58</v>
      </c>
      <c r="D311">
        <v>2014</v>
      </c>
      <c r="E311">
        <v>50960.843117466102</v>
      </c>
      <c r="F311">
        <v>2.87346677785811</v>
      </c>
      <c r="G311">
        <v>1.9066359071786101</v>
      </c>
      <c r="H311">
        <v>10</v>
      </c>
      <c r="I311">
        <v>15.623244184631501</v>
      </c>
      <c r="J311">
        <v>7.0229999999999997</v>
      </c>
      <c r="K311">
        <v>16.4020498301416</v>
      </c>
      <c r="L311">
        <v>16.979222486173501</v>
      </c>
      <c r="M311">
        <v>1.9411989715329601</v>
      </c>
      <c r="N311">
        <v>46.765665033114402</v>
      </c>
      <c r="O311">
        <v>24.870707610468099</v>
      </c>
      <c r="P311">
        <v>1.29918684137955</v>
      </c>
      <c r="Q311">
        <v>22.148493894753599</v>
      </c>
      <c r="R311">
        <v>31.736575873340801</v>
      </c>
      <c r="S311">
        <v>0.17489616010442599</v>
      </c>
      <c r="T311">
        <v>85.755462184031401</v>
      </c>
      <c r="U311">
        <v>0.250061543761882</v>
      </c>
      <c r="V311">
        <v>45.834032137580699</v>
      </c>
    </row>
    <row r="312" spans="1:22" x14ac:dyDescent="0.25">
      <c r="A312" t="str">
        <f t="shared" si="4"/>
        <v>Canada2015</v>
      </c>
      <c r="B312" t="s">
        <v>57</v>
      </c>
      <c r="C312" t="s">
        <v>58</v>
      </c>
      <c r="D312">
        <v>2015</v>
      </c>
      <c r="E312">
        <v>43594.194104539398</v>
      </c>
      <c r="F312">
        <v>0.649971001734855</v>
      </c>
      <c r="G312">
        <v>1.1252413609427701</v>
      </c>
      <c r="H312">
        <v>10</v>
      </c>
      <c r="I312">
        <v>16.010199755665901</v>
      </c>
      <c r="J312">
        <v>6.9450000000000003</v>
      </c>
      <c r="K312">
        <v>17.059778682322801</v>
      </c>
      <c r="L312">
        <v>17.850909496483698</v>
      </c>
      <c r="M312">
        <v>-0.86765132022811997</v>
      </c>
      <c r="N312">
        <v>47.585963160239999</v>
      </c>
      <c r="O312">
        <v>23.821593394833901</v>
      </c>
      <c r="P312">
        <v>1.5439294501743099</v>
      </c>
      <c r="Q312">
        <v>19.569363631568201</v>
      </c>
      <c r="R312">
        <v>31.8499609634443</v>
      </c>
      <c r="S312">
        <v>-6.1845591002194902E-2</v>
      </c>
      <c r="T312">
        <v>92.2826649973548</v>
      </c>
      <c r="U312">
        <v>0.15152330782875401</v>
      </c>
      <c r="V312">
        <v>43.945465032756601</v>
      </c>
    </row>
    <row r="313" spans="1:22" x14ac:dyDescent="0.25">
      <c r="A313" t="str">
        <f t="shared" si="4"/>
        <v>Canada2016</v>
      </c>
      <c r="B313" t="s">
        <v>57</v>
      </c>
      <c r="C313" t="s">
        <v>58</v>
      </c>
      <c r="D313">
        <v>2016</v>
      </c>
      <c r="E313">
        <v>42314.061581721799</v>
      </c>
      <c r="F313">
        <v>1.0385509249085501</v>
      </c>
      <c r="G313">
        <v>1.4287595470108501</v>
      </c>
      <c r="H313">
        <v>10</v>
      </c>
      <c r="I313">
        <v>16.388102189116399</v>
      </c>
      <c r="J313">
        <v>7.0380000000000003</v>
      </c>
      <c r="K313">
        <v>17.498604071126</v>
      </c>
      <c r="L313">
        <v>17.865075513457398</v>
      </c>
      <c r="M313">
        <v>0.71697815063822601</v>
      </c>
      <c r="N313">
        <v>48.389508260583597</v>
      </c>
      <c r="O313">
        <v>22.761120159483902</v>
      </c>
      <c r="P313">
        <v>1.6507959032309301</v>
      </c>
      <c r="Q313">
        <v>19.146454571981199</v>
      </c>
      <c r="R313">
        <v>31.502572409336199</v>
      </c>
      <c r="S313">
        <v>-0.45316422574776499</v>
      </c>
      <c r="T313">
        <v>92.478431624237501</v>
      </c>
      <c r="U313">
        <v>0.13747934995505401</v>
      </c>
      <c r="V313">
        <v>43.676300919855201</v>
      </c>
    </row>
    <row r="314" spans="1:22" x14ac:dyDescent="0.25">
      <c r="A314" t="str">
        <f t="shared" si="4"/>
        <v>Canada2017</v>
      </c>
      <c r="B314" t="s">
        <v>57</v>
      </c>
      <c r="C314" t="s">
        <v>58</v>
      </c>
      <c r="D314">
        <v>2017</v>
      </c>
      <c r="E314">
        <v>45129.628116622996</v>
      </c>
      <c r="F314">
        <v>3.0338349120022201</v>
      </c>
      <c r="G314">
        <v>1.5968841285297599</v>
      </c>
      <c r="H314">
        <v>10</v>
      </c>
      <c r="I314">
        <v>16.7582136912329</v>
      </c>
      <c r="J314">
        <v>6.4260000000000002</v>
      </c>
      <c r="K314">
        <v>17.606595407637201</v>
      </c>
      <c r="L314">
        <v>18.010446403670699</v>
      </c>
      <c r="M314">
        <v>2.5710146449006901</v>
      </c>
      <c r="N314">
        <v>49.098114313569098</v>
      </c>
      <c r="O314">
        <v>23.5504692286096</v>
      </c>
      <c r="P314">
        <v>1.5959135733104299</v>
      </c>
      <c r="Q314">
        <v>19.845280989292</v>
      </c>
      <c r="R314">
        <v>31.454410150978099</v>
      </c>
      <c r="S314">
        <v>-0.112442955170904</v>
      </c>
      <c r="T314">
        <v>90.988633778386898</v>
      </c>
      <c r="U314">
        <v>0.215097764508797</v>
      </c>
      <c r="V314">
        <v>45.163922278880598</v>
      </c>
    </row>
    <row r="315" spans="1:22" x14ac:dyDescent="0.25">
      <c r="A315" t="str">
        <f t="shared" si="4"/>
        <v>Canada2018</v>
      </c>
      <c r="B315" t="s">
        <v>57</v>
      </c>
      <c r="C315" t="s">
        <v>58</v>
      </c>
      <c r="D315">
        <v>2018</v>
      </c>
      <c r="E315">
        <v>46539.1761570405</v>
      </c>
      <c r="F315">
        <v>2.7429634490665502</v>
      </c>
      <c r="G315">
        <v>2.2682256724810301</v>
      </c>
      <c r="H315">
        <v>10</v>
      </c>
      <c r="I315">
        <v>17.129681307188498</v>
      </c>
      <c r="J315">
        <v>5.8369999999999997</v>
      </c>
      <c r="K315">
        <v>17.540900454091702</v>
      </c>
      <c r="L315">
        <v>18.529193906798501</v>
      </c>
      <c r="M315">
        <v>1.6511181804358599</v>
      </c>
      <c r="N315">
        <v>49.733479510056</v>
      </c>
      <c r="O315">
        <v>23.3773111619236</v>
      </c>
      <c r="P315">
        <v>1.4350347814826101</v>
      </c>
      <c r="Q315">
        <v>19.582931230402099</v>
      </c>
      <c r="R315">
        <v>32.325403726485803</v>
      </c>
      <c r="S315">
        <v>0.35989130799422903</v>
      </c>
      <c r="T315">
        <v>90.755856732306796</v>
      </c>
      <c r="U315">
        <v>0.26841802087813599</v>
      </c>
      <c r="V315">
        <v>46.185849262313198</v>
      </c>
    </row>
    <row r="316" spans="1:22" x14ac:dyDescent="0.25">
      <c r="A316" t="str">
        <f t="shared" si="4"/>
        <v>Canada2019</v>
      </c>
      <c r="B316" t="s">
        <v>57</v>
      </c>
      <c r="C316" t="s">
        <v>58</v>
      </c>
      <c r="D316">
        <v>2019</v>
      </c>
      <c r="E316">
        <v>46352.869344521103</v>
      </c>
      <c r="F316">
        <v>1.9084319459061601</v>
      </c>
      <c r="G316">
        <v>1.9492690241159201</v>
      </c>
      <c r="H316">
        <v>10</v>
      </c>
      <c r="I316">
        <v>17.531859522451899</v>
      </c>
      <c r="J316">
        <v>5.69</v>
      </c>
      <c r="K316">
        <v>18.105709678102599</v>
      </c>
      <c r="L316">
        <v>18.2776090385263</v>
      </c>
      <c r="M316">
        <v>1.54607073393581</v>
      </c>
      <c r="N316">
        <v>50.410572918880298</v>
      </c>
      <c r="O316">
        <v>23.0424241743147</v>
      </c>
      <c r="P316">
        <v>1.44775879309168</v>
      </c>
      <c r="Q316">
        <v>20.2616339861192</v>
      </c>
      <c r="R316">
        <v>32.3526958202565</v>
      </c>
      <c r="S316">
        <v>-1.72893498037874E-2</v>
      </c>
      <c r="T316">
        <v>90.110102901887601</v>
      </c>
      <c r="U316">
        <v>0.25953083504801899</v>
      </c>
      <c r="V316">
        <v>46.015518967131101</v>
      </c>
    </row>
    <row r="317" spans="1:22" x14ac:dyDescent="0.25">
      <c r="A317" t="str">
        <f t="shared" si="4"/>
        <v>Canada2020</v>
      </c>
      <c r="B317" t="s">
        <v>57</v>
      </c>
      <c r="C317" t="s">
        <v>58</v>
      </c>
      <c r="D317">
        <v>2020</v>
      </c>
      <c r="E317">
        <v>43537.839298904</v>
      </c>
      <c r="F317">
        <v>-5.0382334346889897</v>
      </c>
      <c r="G317">
        <v>0.71699963230782704</v>
      </c>
      <c r="H317">
        <v>10</v>
      </c>
      <c r="I317">
        <v>17.985408481872302</v>
      </c>
      <c r="J317">
        <v>9.657</v>
      </c>
      <c r="K317">
        <v>28.571473605803298</v>
      </c>
      <c r="L317">
        <v>18.9901852083695</v>
      </c>
      <c r="M317">
        <v>1.07081026105622</v>
      </c>
      <c r="N317">
        <v>51.198350475458902</v>
      </c>
      <c r="O317">
        <v>22.674717611953199</v>
      </c>
      <c r="P317">
        <v>1.7606941060419099</v>
      </c>
      <c r="Q317">
        <v>19.461889002372299</v>
      </c>
      <c r="R317">
        <v>29.473647234934401</v>
      </c>
      <c r="S317">
        <v>-10.949067496139399</v>
      </c>
      <c r="T317">
        <v>118.064225294265</v>
      </c>
      <c r="U317">
        <v>-0.39545880270675499</v>
      </c>
      <c r="V317">
        <v>33.462098742480698</v>
      </c>
    </row>
    <row r="318" spans="1:22" x14ac:dyDescent="0.25">
      <c r="A318" t="str">
        <f t="shared" si="4"/>
        <v>Canada2021</v>
      </c>
      <c r="B318" t="s">
        <v>57</v>
      </c>
      <c r="C318" t="s">
        <v>58</v>
      </c>
      <c r="D318">
        <v>2021</v>
      </c>
      <c r="E318">
        <v>52886.661637270299</v>
      </c>
      <c r="F318">
        <v>5.9505280280438102</v>
      </c>
      <c r="G318">
        <v>3.3951931852752701</v>
      </c>
      <c r="H318">
        <v>10</v>
      </c>
      <c r="I318">
        <v>18.482259232101299</v>
      </c>
      <c r="J318">
        <v>7.5270000000000001</v>
      </c>
      <c r="K318">
        <v>22.4985744222565</v>
      </c>
      <c r="L318">
        <v>19.862379496288</v>
      </c>
      <c r="M318">
        <v>7.7850201107468404</v>
      </c>
      <c r="N318">
        <v>52.034248539825903</v>
      </c>
      <c r="O318">
        <v>24.305055496972599</v>
      </c>
      <c r="P318">
        <v>1.7200390344913199</v>
      </c>
      <c r="Q318">
        <v>23.3033851986679</v>
      </c>
      <c r="R318">
        <v>31.175078298329399</v>
      </c>
      <c r="S318">
        <v>-3.0571200299074999</v>
      </c>
      <c r="T318">
        <v>112.60591256943501</v>
      </c>
      <c r="U318">
        <v>0.197300140500664</v>
      </c>
      <c r="V318">
        <v>44.822816037963101</v>
      </c>
    </row>
    <row r="319" spans="1:22" x14ac:dyDescent="0.25">
      <c r="A319" t="str">
        <f t="shared" si="4"/>
        <v>Canada2022</v>
      </c>
      <c r="B319" t="s">
        <v>57</v>
      </c>
      <c r="C319" t="s">
        <v>58</v>
      </c>
      <c r="D319">
        <v>2022</v>
      </c>
      <c r="E319">
        <v>56256.800726401503</v>
      </c>
      <c r="F319">
        <v>4.1890362810085104</v>
      </c>
      <c r="G319">
        <v>6.8028011534161203</v>
      </c>
      <c r="H319">
        <v>10</v>
      </c>
      <c r="I319">
        <v>18.940747130328798</v>
      </c>
      <c r="J319">
        <v>5.2789999999999999</v>
      </c>
      <c r="K319">
        <v>18.2522606578883</v>
      </c>
      <c r="L319">
        <v>18.991876363585298</v>
      </c>
      <c r="M319">
        <v>7.9067621307732603</v>
      </c>
      <c r="N319">
        <v>52.645316933630497</v>
      </c>
      <c r="O319">
        <v>25.318666825678498</v>
      </c>
      <c r="P319">
        <v>1.4654150258244201</v>
      </c>
      <c r="Q319">
        <v>24.349905925216799</v>
      </c>
      <c r="R319">
        <v>33.943190666937902</v>
      </c>
      <c r="S319">
        <v>0.61665570940719405</v>
      </c>
      <c r="T319">
        <v>103.540585561067</v>
      </c>
      <c r="U319">
        <v>0.40820590557667003</v>
      </c>
      <c r="V319">
        <v>48.865000133998699</v>
      </c>
    </row>
    <row r="320" spans="1:22" x14ac:dyDescent="0.25">
      <c r="A320" t="str">
        <f t="shared" si="4"/>
        <v>Canada2023</v>
      </c>
      <c r="B320" t="s">
        <v>57</v>
      </c>
      <c r="C320" t="s">
        <v>58</v>
      </c>
      <c r="D320">
        <v>2023</v>
      </c>
      <c r="E320">
        <v>54220.328503987497</v>
      </c>
      <c r="F320">
        <v>1.5287455083835799</v>
      </c>
      <c r="G320">
        <v>3.8790015978842498</v>
      </c>
      <c r="H320">
        <v>10</v>
      </c>
      <c r="I320">
        <v>19.358119216177101</v>
      </c>
      <c r="J320">
        <v>5.415</v>
      </c>
      <c r="K320">
        <v>19.260313380893798</v>
      </c>
      <c r="L320">
        <v>19.8170979034089</v>
      </c>
      <c r="M320">
        <v>1.3572659269347001</v>
      </c>
      <c r="N320">
        <v>53.051845510035101</v>
      </c>
      <c r="O320">
        <v>23.894901169469101</v>
      </c>
      <c r="P320">
        <v>1.55714979575801</v>
      </c>
      <c r="Q320">
        <v>21.935329496471301</v>
      </c>
      <c r="R320">
        <v>33.3498760996793</v>
      </c>
      <c r="S320">
        <v>-0.16241732010747301</v>
      </c>
      <c r="T320">
        <v>105.070752370581</v>
      </c>
      <c r="U320">
        <v>0.34038389697766602</v>
      </c>
      <c r="V320">
        <v>47.565135028740499</v>
      </c>
    </row>
    <row r="321" spans="1:22" x14ac:dyDescent="0.25">
      <c r="A321" t="str">
        <f t="shared" si="4"/>
        <v>Canada2024</v>
      </c>
      <c r="B321" t="s">
        <v>57</v>
      </c>
      <c r="C321" t="s">
        <v>58</v>
      </c>
      <c r="D321">
        <v>2024</v>
      </c>
      <c r="E321">
        <v>54340.3477224733</v>
      </c>
      <c r="F321">
        <v>1.5547952104951599</v>
      </c>
      <c r="G321">
        <v>2.3815838328117298</v>
      </c>
      <c r="H321">
        <v>10</v>
      </c>
      <c r="I321">
        <v>19.799590764832399</v>
      </c>
      <c r="J321">
        <v>6.351</v>
      </c>
      <c r="K321">
        <v>17.728431704133101</v>
      </c>
      <c r="L321">
        <v>20.165990419047901</v>
      </c>
      <c r="M321">
        <v>3.1187652257043101</v>
      </c>
      <c r="N321">
        <v>53.635584353912201</v>
      </c>
      <c r="O321">
        <v>23.200349179421799</v>
      </c>
      <c r="P321">
        <v>1.5422071135266899</v>
      </c>
      <c r="Q321">
        <v>21.435065930384201</v>
      </c>
      <c r="R321">
        <v>32.4437742363653</v>
      </c>
      <c r="S321">
        <v>-2.1215672511083099</v>
      </c>
      <c r="T321">
        <v>110.01865499391801</v>
      </c>
      <c r="U321">
        <v>0.22282628924544001</v>
      </c>
      <c r="V321">
        <v>45.312045872206802</v>
      </c>
    </row>
    <row r="322" spans="1:22" x14ac:dyDescent="0.25">
      <c r="A322" t="str">
        <f t="shared" si="4"/>
        <v>Canada2025</v>
      </c>
      <c r="B322" t="s">
        <v>57</v>
      </c>
      <c r="C322" t="s">
        <v>58</v>
      </c>
      <c r="D322">
        <v>2025</v>
      </c>
      <c r="E322">
        <v>50960.843117466102</v>
      </c>
      <c r="F322">
        <v>2.3258135480642901</v>
      </c>
      <c r="G322">
        <v>1.9066359071786101</v>
      </c>
      <c r="H322">
        <v>10</v>
      </c>
      <c r="I322">
        <v>16.7582136912329</v>
      </c>
      <c r="J322">
        <v>6.907</v>
      </c>
      <c r="K322">
        <v>17.728431704133101</v>
      </c>
      <c r="L322">
        <v>18.010446403670699</v>
      </c>
      <c r="M322">
        <v>1.7407379314567799</v>
      </c>
      <c r="N322">
        <v>49.098114313569098</v>
      </c>
      <c r="O322">
        <v>23.821593394833901</v>
      </c>
      <c r="P322">
        <v>1.4654150258244201</v>
      </c>
      <c r="Q322">
        <v>20.857109411382499</v>
      </c>
      <c r="R322">
        <v>31.502572409336199</v>
      </c>
      <c r="S322">
        <v>-1.7654884513938001</v>
      </c>
      <c r="T322">
        <v>113.506265675751</v>
      </c>
      <c r="U322">
        <v>0.12178248056536101</v>
      </c>
      <c r="V322">
        <v>43.37545738539</v>
      </c>
    </row>
    <row r="323" spans="1:22" x14ac:dyDescent="0.25">
      <c r="A323" t="str">
        <f t="shared" si="4"/>
        <v>Chile2010</v>
      </c>
      <c r="B323" t="s">
        <v>59</v>
      </c>
      <c r="C323" t="s">
        <v>60</v>
      </c>
      <c r="D323">
        <v>2010</v>
      </c>
      <c r="E323">
        <v>12632.870472419199</v>
      </c>
      <c r="F323">
        <v>5.8516510222404703</v>
      </c>
      <c r="G323">
        <v>1.4107110795432001</v>
      </c>
      <c r="H323">
        <v>12</v>
      </c>
      <c r="I323">
        <v>9.9976637613651604</v>
      </c>
      <c r="J323">
        <v>8.5470000000000006</v>
      </c>
      <c r="K323">
        <v>20.208183449471601</v>
      </c>
      <c r="L323">
        <v>21.550084613536001</v>
      </c>
      <c r="M323">
        <v>8.8574414894234508</v>
      </c>
      <c r="N323">
        <v>46.072054996628601</v>
      </c>
      <c r="O323">
        <v>24.775467656778002</v>
      </c>
      <c r="P323">
        <v>3.7783892681168898</v>
      </c>
      <c r="Q323">
        <v>25.627693747900398</v>
      </c>
      <c r="R323">
        <v>37.903994318491399</v>
      </c>
      <c r="S323">
        <v>-0.36272010661028498</v>
      </c>
      <c r="T323">
        <v>8.6073274828650206</v>
      </c>
      <c r="U323">
        <v>0.25831656212469301</v>
      </c>
      <c r="V323">
        <v>45.992246418383303</v>
      </c>
    </row>
    <row r="324" spans="1:22" x14ac:dyDescent="0.25">
      <c r="A324" t="str">
        <f t="shared" ref="A324:A387" si="5">C324&amp;D324</f>
        <v>Chile2011</v>
      </c>
      <c r="B324" t="s">
        <v>59</v>
      </c>
      <c r="C324" t="s">
        <v>60</v>
      </c>
      <c r="D324">
        <v>2011</v>
      </c>
      <c r="E324">
        <v>14487.3927832032</v>
      </c>
      <c r="F324">
        <v>6.2238967850913802</v>
      </c>
      <c r="G324">
        <v>3.3412169425930198</v>
      </c>
      <c r="H324">
        <v>12</v>
      </c>
      <c r="I324">
        <v>10.203500031452</v>
      </c>
      <c r="J324">
        <v>7.492</v>
      </c>
      <c r="K324">
        <v>19.494509572962201</v>
      </c>
      <c r="L324">
        <v>22.6609132637705</v>
      </c>
      <c r="M324">
        <v>3.2605148661830401</v>
      </c>
      <c r="N324">
        <v>45.665808601559803</v>
      </c>
      <c r="O324">
        <v>26.646296715941901</v>
      </c>
      <c r="P324">
        <v>4.49169430998686</v>
      </c>
      <c r="Q324">
        <v>21.6861214912972</v>
      </c>
      <c r="R324">
        <v>37.689780274571703</v>
      </c>
      <c r="S324">
        <v>1.42679072465556</v>
      </c>
      <c r="T324">
        <v>11.1268895959125</v>
      </c>
      <c r="U324">
        <v>0.34287250497738597</v>
      </c>
      <c r="V324">
        <v>47.612831267267303</v>
      </c>
    </row>
    <row r="325" spans="1:22" x14ac:dyDescent="0.25">
      <c r="A325" t="str">
        <f t="shared" si="5"/>
        <v>Chile2012</v>
      </c>
      <c r="B325" t="s">
        <v>59</v>
      </c>
      <c r="C325" t="s">
        <v>60</v>
      </c>
      <c r="D325">
        <v>2012</v>
      </c>
      <c r="E325">
        <v>15241.906998111899</v>
      </c>
      <c r="F325">
        <v>6.1553400185549396</v>
      </c>
      <c r="G325">
        <v>3.0074484021304699</v>
      </c>
      <c r="H325">
        <v>12</v>
      </c>
      <c r="I325">
        <v>10.426994074302501</v>
      </c>
      <c r="J325">
        <v>6.79</v>
      </c>
      <c r="K325">
        <v>19.924854522574599</v>
      </c>
      <c r="L325">
        <v>22.104886567858401</v>
      </c>
      <c r="M325">
        <v>0.76346668066304302</v>
      </c>
      <c r="N325">
        <v>45.392164462077503</v>
      </c>
      <c r="O325">
        <v>28.791349466539401</v>
      </c>
      <c r="P325">
        <v>4.4287946091354904</v>
      </c>
      <c r="Q325">
        <v>23.4686620918343</v>
      </c>
      <c r="R325">
        <v>33.8455905043756</v>
      </c>
      <c r="S325">
        <v>0.68234327766496505</v>
      </c>
      <c r="T325">
        <v>11.939072920231601</v>
      </c>
      <c r="U325">
        <v>0.30559714328865401</v>
      </c>
      <c r="V325">
        <v>46.898418011954597</v>
      </c>
    </row>
    <row r="326" spans="1:22" x14ac:dyDescent="0.25">
      <c r="A326" t="str">
        <f t="shared" si="5"/>
        <v>Chile2013</v>
      </c>
      <c r="B326" t="s">
        <v>59</v>
      </c>
      <c r="C326" t="s">
        <v>60</v>
      </c>
      <c r="D326">
        <v>2013</v>
      </c>
      <c r="E326">
        <v>15683.548636915501</v>
      </c>
      <c r="F326">
        <v>3.3085082471008498</v>
      </c>
      <c r="G326">
        <v>1.7895555398459</v>
      </c>
      <c r="H326">
        <v>12</v>
      </c>
      <c r="I326">
        <v>10.678754485672901</v>
      </c>
      <c r="J326">
        <v>6.3609999999999998</v>
      </c>
      <c r="K326">
        <v>20.196301204274398</v>
      </c>
      <c r="L326">
        <v>20.992790606746802</v>
      </c>
      <c r="M326">
        <v>2.26077060922354</v>
      </c>
      <c r="N326">
        <v>45.260264387224801</v>
      </c>
      <c r="O326">
        <v>27.496958797385499</v>
      </c>
      <c r="P326">
        <v>4.4238960063961503</v>
      </c>
      <c r="Q326">
        <v>22.6663181522995</v>
      </c>
      <c r="R326">
        <v>32.087463589174</v>
      </c>
      <c r="S326">
        <v>-0.47027393751614199</v>
      </c>
      <c r="T326">
        <v>12.784063585436799</v>
      </c>
      <c r="U326">
        <v>0.22872075594137301</v>
      </c>
      <c r="V326">
        <v>45.4250182204227</v>
      </c>
    </row>
    <row r="327" spans="1:22" x14ac:dyDescent="0.25">
      <c r="A327" t="str">
        <f t="shared" si="5"/>
        <v>Chile2014</v>
      </c>
      <c r="B327" t="s">
        <v>59</v>
      </c>
      <c r="C327" t="s">
        <v>60</v>
      </c>
      <c r="D327">
        <v>2014</v>
      </c>
      <c r="E327">
        <v>14529.676720633601</v>
      </c>
      <c r="F327">
        <v>1.79264947139259</v>
      </c>
      <c r="G327">
        <v>4.7186752785467103</v>
      </c>
      <c r="H327">
        <v>12</v>
      </c>
      <c r="I327">
        <v>10.954577018443899</v>
      </c>
      <c r="J327">
        <v>6.7610000000000001</v>
      </c>
      <c r="K327">
        <v>20.6752522601778</v>
      </c>
      <c r="L327">
        <v>20.656487697414502</v>
      </c>
      <c r="M327">
        <v>5.8528916256263397</v>
      </c>
      <c r="N327">
        <v>45.251812050239799</v>
      </c>
      <c r="O327">
        <v>25.158093417075499</v>
      </c>
      <c r="P327">
        <v>4.7342659150176498</v>
      </c>
      <c r="Q327">
        <v>21.679479480380401</v>
      </c>
      <c r="R327">
        <v>33.003902966477398</v>
      </c>
      <c r="S327">
        <v>-1.4963697992949501</v>
      </c>
      <c r="T327">
        <v>15.019747841330499</v>
      </c>
      <c r="U327">
        <v>0.171758699052483</v>
      </c>
      <c r="V327">
        <v>44.333293106361602</v>
      </c>
    </row>
    <row r="328" spans="1:22" x14ac:dyDescent="0.25">
      <c r="A328" t="str">
        <f t="shared" si="5"/>
        <v>Chile2015</v>
      </c>
      <c r="B328" t="s">
        <v>59</v>
      </c>
      <c r="C328" t="s">
        <v>60</v>
      </c>
      <c r="D328">
        <v>2015</v>
      </c>
      <c r="E328">
        <v>13433.9202987032</v>
      </c>
      <c r="F328">
        <v>2.1519424998118399</v>
      </c>
      <c r="G328">
        <v>4.3487735321704397</v>
      </c>
      <c r="H328">
        <v>12</v>
      </c>
      <c r="I328">
        <v>11.2496571917453</v>
      </c>
      <c r="J328">
        <v>6.6050000000000004</v>
      </c>
      <c r="K328">
        <v>21.6348148833018</v>
      </c>
      <c r="L328">
        <v>21.142357659725398</v>
      </c>
      <c r="M328">
        <v>4.9543655300257496</v>
      </c>
      <c r="N328">
        <v>45.325405869567703</v>
      </c>
      <c r="O328">
        <v>25.599437946036801</v>
      </c>
      <c r="P328">
        <v>5.4533961928352399</v>
      </c>
      <c r="Q328">
        <v>22.7338614198733</v>
      </c>
      <c r="R328">
        <v>29.191079490332399</v>
      </c>
      <c r="S328">
        <v>-2.08851258671561</v>
      </c>
      <c r="T328">
        <v>17.374659834298999</v>
      </c>
      <c r="U328">
        <v>0.15153256902252399</v>
      </c>
      <c r="V328">
        <v>43.9456425312245</v>
      </c>
    </row>
    <row r="329" spans="1:22" x14ac:dyDescent="0.25">
      <c r="A329" t="str">
        <f t="shared" si="5"/>
        <v>Chile2016</v>
      </c>
      <c r="B329" t="s">
        <v>59</v>
      </c>
      <c r="C329" t="s">
        <v>60</v>
      </c>
      <c r="D329">
        <v>2016</v>
      </c>
      <c r="E329">
        <v>13649.8520452803</v>
      </c>
      <c r="F329">
        <v>1.753038749071</v>
      </c>
      <c r="G329">
        <v>3.7861935589311799</v>
      </c>
      <c r="H329">
        <v>12</v>
      </c>
      <c r="I329">
        <v>11.5448975094543</v>
      </c>
      <c r="J329">
        <v>6.9260000000000002</v>
      </c>
      <c r="K329">
        <v>22.1268634762876</v>
      </c>
      <c r="L329">
        <v>20.8570992758656</v>
      </c>
      <c r="M329">
        <v>4.5606560368475604</v>
      </c>
      <c r="N329">
        <v>45.357905394609297</v>
      </c>
      <c r="O329">
        <v>23.7087902931288</v>
      </c>
      <c r="P329">
        <v>5.7858875505234399</v>
      </c>
      <c r="Q329">
        <v>21.087807034536901</v>
      </c>
      <c r="R329">
        <v>27.923158109822101</v>
      </c>
      <c r="S329">
        <v>-2.6606163907966698</v>
      </c>
      <c r="T329">
        <v>21.1005050292374</v>
      </c>
      <c r="U329">
        <v>0.117753112161663</v>
      </c>
      <c r="V329">
        <v>43.2982311944766</v>
      </c>
    </row>
    <row r="330" spans="1:22" x14ac:dyDescent="0.25">
      <c r="A330" t="str">
        <f t="shared" si="5"/>
        <v>Chile2017</v>
      </c>
      <c r="B330" t="s">
        <v>59</v>
      </c>
      <c r="C330" t="s">
        <v>60</v>
      </c>
      <c r="D330">
        <v>2017</v>
      </c>
      <c r="E330">
        <v>14879.9086227187</v>
      </c>
      <c r="F330">
        <v>1.35769537343957</v>
      </c>
      <c r="G330">
        <v>2.1827184686851901</v>
      </c>
      <c r="H330">
        <v>12</v>
      </c>
      <c r="I330">
        <v>11.8130834222508</v>
      </c>
      <c r="J330">
        <v>7.2569999999999997</v>
      </c>
      <c r="K330">
        <v>22.347256473702899</v>
      </c>
      <c r="L330">
        <v>21.168043216562801</v>
      </c>
      <c r="M330">
        <v>4.8281918862087299</v>
      </c>
      <c r="N330">
        <v>45.241387740817203</v>
      </c>
      <c r="O330">
        <v>22.6366699629063</v>
      </c>
      <c r="P330">
        <v>4.9028193618766496</v>
      </c>
      <c r="Q330">
        <v>19.842125116284599</v>
      </c>
      <c r="R330">
        <v>28.331376834163098</v>
      </c>
      <c r="S330">
        <v>-2.62753109783793</v>
      </c>
      <c r="T330">
        <v>23.651638952055301</v>
      </c>
      <c r="U330">
        <v>0.119411506738336</v>
      </c>
      <c r="V330">
        <v>43.330015703450798</v>
      </c>
    </row>
    <row r="331" spans="1:22" x14ac:dyDescent="0.25">
      <c r="A331" t="str">
        <f t="shared" si="5"/>
        <v>Chile2018</v>
      </c>
      <c r="B331" t="s">
        <v>59</v>
      </c>
      <c r="C331" t="s">
        <v>60</v>
      </c>
      <c r="D331">
        <v>2018</v>
      </c>
      <c r="E331">
        <v>15659.480867562799</v>
      </c>
      <c r="F331">
        <v>3.9900294778997698</v>
      </c>
      <c r="G331">
        <v>2.4348898135305701</v>
      </c>
      <c r="H331">
        <v>12</v>
      </c>
      <c r="I331">
        <v>12.063658277736099</v>
      </c>
      <c r="J331">
        <v>7.6230000000000002</v>
      </c>
      <c r="K331">
        <v>22.617987009152301</v>
      </c>
      <c r="L331">
        <v>22.1740306166793</v>
      </c>
      <c r="M331">
        <v>1.59019973716229</v>
      </c>
      <c r="N331">
        <v>45.0787301205063</v>
      </c>
      <c r="O331">
        <v>24.203078424347002</v>
      </c>
      <c r="P331">
        <v>4.38194459144938</v>
      </c>
      <c r="Q331">
        <v>19.603709062264901</v>
      </c>
      <c r="R331">
        <v>28.5290447397579</v>
      </c>
      <c r="S331">
        <v>-1.4822225218354801</v>
      </c>
      <c r="T331">
        <v>25.7980280036663</v>
      </c>
      <c r="U331">
        <v>0.190478381648502</v>
      </c>
      <c r="V331">
        <v>44.692071365671801</v>
      </c>
    </row>
    <row r="332" spans="1:22" x14ac:dyDescent="0.25">
      <c r="A332" t="str">
        <f t="shared" si="5"/>
        <v>Chile2019</v>
      </c>
      <c r="B332" t="s">
        <v>59</v>
      </c>
      <c r="C332" t="s">
        <v>60</v>
      </c>
      <c r="D332">
        <v>2019</v>
      </c>
      <c r="E332">
        <v>14495.716721687</v>
      </c>
      <c r="F332">
        <v>0.63436753382843802</v>
      </c>
      <c r="G332">
        <v>2.5575447570332601</v>
      </c>
      <c r="H332">
        <v>12</v>
      </c>
      <c r="I332">
        <v>12.326060291250901</v>
      </c>
      <c r="J332">
        <v>7.4930000000000003</v>
      </c>
      <c r="K332">
        <v>23.3151987137799</v>
      </c>
      <c r="L332">
        <v>21.739927149930999</v>
      </c>
      <c r="M332">
        <v>2.56778721379496</v>
      </c>
      <c r="N332">
        <v>44.988462622226599</v>
      </c>
      <c r="O332">
        <v>24.939009891282499</v>
      </c>
      <c r="P332">
        <v>4.6972806794471298</v>
      </c>
      <c r="Q332">
        <v>19.676400632611699</v>
      </c>
      <c r="R332">
        <v>27.874667757051199</v>
      </c>
      <c r="S332">
        <v>-2.7305225336218801</v>
      </c>
      <c r="T332">
        <v>28.3296416220381</v>
      </c>
      <c r="U332">
        <v>8.6230899915446996E-2</v>
      </c>
      <c r="V332">
        <v>42.694081824886801</v>
      </c>
    </row>
    <row r="333" spans="1:22" x14ac:dyDescent="0.25">
      <c r="A333" t="str">
        <f t="shared" si="5"/>
        <v>Chile2020</v>
      </c>
      <c r="B333" t="s">
        <v>59</v>
      </c>
      <c r="C333" t="s">
        <v>60</v>
      </c>
      <c r="D333">
        <v>2020</v>
      </c>
      <c r="E333">
        <v>13114.815470545</v>
      </c>
      <c r="F333">
        <v>-6.1434747922409203</v>
      </c>
      <c r="G333">
        <v>3.0454908480432601</v>
      </c>
      <c r="H333">
        <v>12</v>
      </c>
      <c r="I333">
        <v>12.626815739131599</v>
      </c>
      <c r="J333">
        <v>10.933999999999999</v>
      </c>
      <c r="K333">
        <v>26.242192884338699</v>
      </c>
      <c r="L333">
        <v>19.938266751093298</v>
      </c>
      <c r="M333">
        <v>9.6657226969396106</v>
      </c>
      <c r="N333">
        <v>45.010822684202402</v>
      </c>
      <c r="O333">
        <v>21.058207101199802</v>
      </c>
      <c r="P333">
        <v>5.2871180899011101</v>
      </c>
      <c r="Q333">
        <v>19.0855486773366</v>
      </c>
      <c r="R333">
        <v>31.330390242861199</v>
      </c>
      <c r="S333">
        <v>-7.0952963743442501</v>
      </c>
      <c r="T333">
        <v>32.380101446530603</v>
      </c>
      <c r="U333">
        <v>-0.20964029430221701</v>
      </c>
      <c r="V333">
        <v>37.0234647352557</v>
      </c>
    </row>
    <row r="334" spans="1:22" x14ac:dyDescent="0.25">
      <c r="A334" t="str">
        <f t="shared" si="5"/>
        <v>Chile2021</v>
      </c>
      <c r="B334" t="s">
        <v>59</v>
      </c>
      <c r="C334" t="s">
        <v>60</v>
      </c>
      <c r="D334">
        <v>2021</v>
      </c>
      <c r="E334">
        <v>16206.8325493421</v>
      </c>
      <c r="F334">
        <v>11.314920487904899</v>
      </c>
      <c r="G334">
        <v>4.52456838259143</v>
      </c>
      <c r="H334">
        <v>12</v>
      </c>
      <c r="I334">
        <v>12.9564336220791</v>
      </c>
      <c r="J334">
        <v>9.2810000000000006</v>
      </c>
      <c r="K334">
        <v>30.8172643358219</v>
      </c>
      <c r="L334">
        <v>24.167409547900199</v>
      </c>
      <c r="M334">
        <v>6.8688263705134904</v>
      </c>
      <c r="N334">
        <v>45.038981911811497</v>
      </c>
      <c r="O334">
        <v>24.106117649099499</v>
      </c>
      <c r="P334">
        <v>4.6942397445681801</v>
      </c>
      <c r="Q334">
        <v>16.6584838981132</v>
      </c>
      <c r="R334">
        <v>31.9927952679237</v>
      </c>
      <c r="S334">
        <v>-7.5250361764451403</v>
      </c>
      <c r="T334">
        <v>36.447857222371297</v>
      </c>
      <c r="U334">
        <v>4.3149380951348397E-2</v>
      </c>
      <c r="V334">
        <v>41.868388744723802</v>
      </c>
    </row>
    <row r="335" spans="1:22" x14ac:dyDescent="0.25">
      <c r="A335" t="str">
        <f t="shared" si="5"/>
        <v>Chile2022</v>
      </c>
      <c r="B335" t="s">
        <v>59</v>
      </c>
      <c r="C335" t="s">
        <v>60</v>
      </c>
      <c r="D335">
        <v>2022</v>
      </c>
      <c r="E335">
        <v>15405.6165774073</v>
      </c>
      <c r="F335">
        <v>2.15399356192458</v>
      </c>
      <c r="G335">
        <v>11.6438667110559</v>
      </c>
      <c r="H335">
        <v>12</v>
      </c>
      <c r="I335">
        <v>13.300080015704999</v>
      </c>
      <c r="J335">
        <v>8.2490000000000006</v>
      </c>
      <c r="K335">
        <v>24.1256231102656</v>
      </c>
      <c r="L335">
        <v>26.081242657259899</v>
      </c>
      <c r="M335">
        <v>7.5601573866271004</v>
      </c>
      <c r="N335">
        <v>45.048691333480498</v>
      </c>
      <c r="O335">
        <v>25.798419006445499</v>
      </c>
      <c r="P335">
        <v>3.1814557160836698</v>
      </c>
      <c r="Q335">
        <v>16.888262204096701</v>
      </c>
      <c r="R335">
        <v>35.606628272313699</v>
      </c>
      <c r="S335">
        <v>1.36019451537043</v>
      </c>
      <c r="T335">
        <v>37.907330678576898</v>
      </c>
      <c r="U335">
        <v>0.32080049839849201</v>
      </c>
      <c r="V335">
        <v>47.189802935497198</v>
      </c>
    </row>
    <row r="336" spans="1:22" x14ac:dyDescent="0.25">
      <c r="A336" t="str">
        <f t="shared" si="5"/>
        <v>Chile2023</v>
      </c>
      <c r="B336" t="s">
        <v>59</v>
      </c>
      <c r="C336" t="s">
        <v>60</v>
      </c>
      <c r="D336">
        <v>2023</v>
      </c>
      <c r="E336">
        <v>17067.036479915401</v>
      </c>
      <c r="F336">
        <v>0.52136797724682504</v>
      </c>
      <c r="G336">
        <v>7.5816825140796196</v>
      </c>
      <c r="H336">
        <v>12</v>
      </c>
      <c r="I336">
        <v>13.693319059852699</v>
      </c>
      <c r="J336">
        <v>9.0129999999999999</v>
      </c>
      <c r="K336">
        <v>24.579585902841</v>
      </c>
      <c r="L336">
        <v>22.946531753531499</v>
      </c>
      <c r="M336">
        <v>6.5877716990895703</v>
      </c>
      <c r="N336">
        <v>45.0908347497625</v>
      </c>
      <c r="O336">
        <v>23.362055011374402</v>
      </c>
      <c r="P336">
        <v>4.3785177123218197</v>
      </c>
      <c r="Q336">
        <v>20.165776297540798</v>
      </c>
      <c r="R336">
        <v>30.811062073532199</v>
      </c>
      <c r="S336">
        <v>-2.2739334997773102</v>
      </c>
      <c r="T336">
        <v>39.415190344047801</v>
      </c>
      <c r="U336">
        <v>0.151218634046313</v>
      </c>
      <c r="V336">
        <v>43.939625706755102</v>
      </c>
    </row>
    <row r="337" spans="1:22" x14ac:dyDescent="0.25">
      <c r="A337" t="str">
        <f t="shared" si="5"/>
        <v>Chile2024</v>
      </c>
      <c r="B337" t="s">
        <v>59</v>
      </c>
      <c r="C337" t="s">
        <v>60</v>
      </c>
      <c r="D337">
        <v>2024</v>
      </c>
      <c r="E337">
        <v>16709.889397230701</v>
      </c>
      <c r="F337">
        <v>2.6443115487153799</v>
      </c>
      <c r="G337">
        <v>4.2976389157252397</v>
      </c>
      <c r="H337">
        <v>12</v>
      </c>
      <c r="I337">
        <v>14.1350862568788</v>
      </c>
      <c r="J337">
        <v>8.718</v>
      </c>
      <c r="K337">
        <v>22.237059974995201</v>
      </c>
      <c r="L337">
        <v>21.788446373649201</v>
      </c>
      <c r="M337">
        <v>7.7149596587903604</v>
      </c>
      <c r="N337">
        <v>45.140508515400597</v>
      </c>
      <c r="O337">
        <v>23.2396642941548</v>
      </c>
      <c r="P337">
        <v>4.1513186825607002</v>
      </c>
      <c r="Q337">
        <v>21.759073016288699</v>
      </c>
      <c r="R337">
        <v>33.723321174660803</v>
      </c>
      <c r="S337">
        <v>-2.8151105959329201</v>
      </c>
      <c r="T337">
        <v>41.650147685300901</v>
      </c>
      <c r="U337">
        <v>0.15075338201583999</v>
      </c>
      <c r="V337">
        <v>43.930708765307102</v>
      </c>
    </row>
    <row r="338" spans="1:22" x14ac:dyDescent="0.25">
      <c r="A338" t="str">
        <f t="shared" si="5"/>
        <v>Chile2025</v>
      </c>
      <c r="B338" t="s">
        <v>59</v>
      </c>
      <c r="C338" t="s">
        <v>60</v>
      </c>
      <c r="D338">
        <v>2025</v>
      </c>
      <c r="E338">
        <v>14879.9086227187</v>
      </c>
      <c r="F338">
        <v>2.15399356192458</v>
      </c>
      <c r="G338">
        <v>3.3412169425930198</v>
      </c>
      <c r="H338">
        <v>12</v>
      </c>
      <c r="I338">
        <v>11.8130834222508</v>
      </c>
      <c r="J338">
        <v>8.9740000000000002</v>
      </c>
      <c r="K338">
        <v>22.237059974995201</v>
      </c>
      <c r="L338">
        <v>21.739927149930999</v>
      </c>
      <c r="M338">
        <v>4.9543655300257496</v>
      </c>
      <c r="N338">
        <v>45.241387740817203</v>
      </c>
      <c r="O338">
        <v>24.775467656778002</v>
      </c>
      <c r="P338">
        <v>4.49169430998686</v>
      </c>
      <c r="Q338">
        <v>21.087807034536901</v>
      </c>
      <c r="R338">
        <v>31.9927952679237</v>
      </c>
      <c r="S338">
        <v>-2.7824319391846699</v>
      </c>
      <c r="T338">
        <v>41.7740310131828</v>
      </c>
      <c r="U338">
        <v>4.68926671994567E-2</v>
      </c>
      <c r="V338">
        <v>41.940131933600398</v>
      </c>
    </row>
    <row r="339" spans="1:22" x14ac:dyDescent="0.25">
      <c r="A339" t="str">
        <f t="shared" si="5"/>
        <v>Colombia2010</v>
      </c>
      <c r="B339" t="s">
        <v>61</v>
      </c>
      <c r="C339" t="s">
        <v>62</v>
      </c>
      <c r="D339">
        <v>2010</v>
      </c>
      <c r="E339">
        <v>6398.2958447102001</v>
      </c>
      <c r="F339">
        <v>4.4946589707092199</v>
      </c>
      <c r="G339">
        <v>2.27200227892008</v>
      </c>
      <c r="H339">
        <v>10</v>
      </c>
      <c r="I339">
        <v>5.8418716404168798</v>
      </c>
      <c r="J339">
        <v>11.153</v>
      </c>
      <c r="K339">
        <v>25.404384259089099</v>
      </c>
      <c r="L339">
        <v>21.5744254310186</v>
      </c>
      <c r="M339">
        <v>3.8048602914638301</v>
      </c>
      <c r="N339">
        <v>49.928044960481998</v>
      </c>
      <c r="O339">
        <v>21.888762268867399</v>
      </c>
      <c r="P339">
        <v>5.4392501628930496</v>
      </c>
      <c r="Q339">
        <v>18.455913527744499</v>
      </c>
      <c r="R339">
        <v>16.340844759769102</v>
      </c>
      <c r="S339">
        <v>-3.3027672266519699</v>
      </c>
      <c r="T339">
        <v>36.496972692831498</v>
      </c>
      <c r="U339">
        <v>-0.36449702878034801</v>
      </c>
      <c r="V339">
        <v>34.055506846357197</v>
      </c>
    </row>
    <row r="340" spans="1:22" x14ac:dyDescent="0.25">
      <c r="A340" t="str">
        <f t="shared" si="5"/>
        <v>Colombia2011</v>
      </c>
      <c r="B340" t="s">
        <v>61</v>
      </c>
      <c r="C340" t="s">
        <v>62</v>
      </c>
      <c r="D340">
        <v>2011</v>
      </c>
      <c r="E340">
        <v>7400.9940695669002</v>
      </c>
      <c r="F340">
        <v>6.94789198173555</v>
      </c>
      <c r="G340">
        <v>3.4150334477625002</v>
      </c>
      <c r="H340">
        <v>10</v>
      </c>
      <c r="I340">
        <v>6.0576488787553497</v>
      </c>
      <c r="J340">
        <v>10.288</v>
      </c>
      <c r="K340">
        <v>24.224740276209399</v>
      </c>
      <c r="L340">
        <v>23.492008536031801</v>
      </c>
      <c r="M340">
        <v>6.3868033728525804</v>
      </c>
      <c r="N340">
        <v>49.072686531754201</v>
      </c>
      <c r="O340">
        <v>22.995591440059599</v>
      </c>
      <c r="P340">
        <v>4.6377835264631999</v>
      </c>
      <c r="Q340">
        <v>19.3455564254972</v>
      </c>
      <c r="R340">
        <v>19.2765050733171</v>
      </c>
      <c r="S340">
        <v>-1.9929752394401501</v>
      </c>
      <c r="T340">
        <v>35.783391019962302</v>
      </c>
      <c r="U340">
        <v>-0.22269544432315999</v>
      </c>
      <c r="V340">
        <v>36.7732519458282</v>
      </c>
    </row>
    <row r="341" spans="1:22" x14ac:dyDescent="0.25">
      <c r="A341" t="str">
        <f t="shared" si="5"/>
        <v>Colombia2012</v>
      </c>
      <c r="B341" t="s">
        <v>61</v>
      </c>
      <c r="C341" t="s">
        <v>62</v>
      </c>
      <c r="D341">
        <v>2012</v>
      </c>
      <c r="E341">
        <v>8108.5983824422901</v>
      </c>
      <c r="F341">
        <v>3.91263576716115</v>
      </c>
      <c r="G341">
        <v>3.1693018884005499</v>
      </c>
      <c r="H341">
        <v>10</v>
      </c>
      <c r="I341">
        <v>6.2937920163724499</v>
      </c>
      <c r="J341">
        <v>9.9589999999999996</v>
      </c>
      <c r="K341">
        <v>25.032986300218901</v>
      </c>
      <c r="L341">
        <v>26.3354797473995</v>
      </c>
      <c r="M341">
        <v>3.6166550626844902</v>
      </c>
      <c r="N341">
        <v>48.274206709750402</v>
      </c>
      <c r="O341">
        <v>22.104644062252898</v>
      </c>
      <c r="P341">
        <v>4.9619440353421496</v>
      </c>
      <c r="Q341">
        <v>18.371328426177101</v>
      </c>
      <c r="R341">
        <v>18.811205283665402</v>
      </c>
      <c r="S341">
        <v>0.154783417814639</v>
      </c>
      <c r="T341">
        <v>33.9665267713956</v>
      </c>
      <c r="U341">
        <v>-8.3925833916144402E-2</v>
      </c>
      <c r="V341">
        <v>39.432886745276001</v>
      </c>
    </row>
    <row r="342" spans="1:22" x14ac:dyDescent="0.25">
      <c r="A342" t="str">
        <f t="shared" si="5"/>
        <v>Colombia2013</v>
      </c>
      <c r="B342" t="s">
        <v>61</v>
      </c>
      <c r="C342" t="s">
        <v>62</v>
      </c>
      <c r="D342">
        <v>2013</v>
      </c>
      <c r="E342">
        <v>8279.1025564298106</v>
      </c>
      <c r="F342">
        <v>5.1339935199567197</v>
      </c>
      <c r="G342">
        <v>2.0169922431038301</v>
      </c>
      <c r="H342">
        <v>10</v>
      </c>
      <c r="I342">
        <v>6.5446312032905398</v>
      </c>
      <c r="J342">
        <v>9.2460000000000004</v>
      </c>
      <c r="K342">
        <v>33.285193138708799</v>
      </c>
      <c r="L342">
        <v>24.4985703542816</v>
      </c>
      <c r="M342">
        <v>1.90767643221162</v>
      </c>
      <c r="N342">
        <v>47.499794897628298</v>
      </c>
      <c r="O342">
        <v>22.182544850600699</v>
      </c>
      <c r="P342">
        <v>5.7759937812428204</v>
      </c>
      <c r="Q342">
        <v>18.189799347830402</v>
      </c>
      <c r="R342">
        <v>18.0864397214368</v>
      </c>
      <c r="S342">
        <v>-1.02074306943381</v>
      </c>
      <c r="T342">
        <v>37.592258351390598</v>
      </c>
      <c r="U342">
        <v>-6.9513365816435496E-2</v>
      </c>
      <c r="V342">
        <v>39.7091136626211</v>
      </c>
    </row>
    <row r="343" spans="1:22" x14ac:dyDescent="0.25">
      <c r="A343" t="str">
        <f t="shared" si="5"/>
        <v>Colombia2014</v>
      </c>
      <c r="B343" t="s">
        <v>61</v>
      </c>
      <c r="C343" t="s">
        <v>62</v>
      </c>
      <c r="D343">
        <v>2014</v>
      </c>
      <c r="E343">
        <v>8187.2082489008399</v>
      </c>
      <c r="F343">
        <v>4.4990300011097197</v>
      </c>
      <c r="G343">
        <v>2.8988378776173702</v>
      </c>
      <c r="H343">
        <v>10</v>
      </c>
      <c r="I343">
        <v>6.8187969106737603</v>
      </c>
      <c r="J343">
        <v>8.7989999999999995</v>
      </c>
      <c r="K343">
        <v>30.1625917691368</v>
      </c>
      <c r="L343">
        <v>23.4469943054822</v>
      </c>
      <c r="M343">
        <v>2.2356323764315</v>
      </c>
      <c r="N343">
        <v>46.8044174276503</v>
      </c>
      <c r="O343">
        <v>24.0033136584861</v>
      </c>
      <c r="P343">
        <v>5.9580083293694903</v>
      </c>
      <c r="Q343">
        <v>18.1560951133674</v>
      </c>
      <c r="R343">
        <v>16.634749109650901</v>
      </c>
      <c r="S343">
        <v>-1.74407702900735</v>
      </c>
      <c r="T343">
        <v>43.318836968400497</v>
      </c>
      <c r="U343">
        <v>-0.16175300939871301</v>
      </c>
      <c r="V343">
        <v>37.9412643097222</v>
      </c>
    </row>
    <row r="344" spans="1:22" x14ac:dyDescent="0.25">
      <c r="A344" t="str">
        <f t="shared" si="5"/>
        <v>Colombia2015</v>
      </c>
      <c r="B344" t="s">
        <v>61</v>
      </c>
      <c r="C344" t="s">
        <v>62</v>
      </c>
      <c r="D344">
        <v>2015</v>
      </c>
      <c r="E344">
        <v>6248.5149053451196</v>
      </c>
      <c r="F344">
        <v>2.9559013752752299</v>
      </c>
      <c r="G344">
        <v>4.9898311584952904</v>
      </c>
      <c r="H344">
        <v>12</v>
      </c>
      <c r="I344">
        <v>7.1091275919329702</v>
      </c>
      <c r="J344">
        <v>8.5719999999999992</v>
      </c>
      <c r="K344">
        <v>26.815677055221698</v>
      </c>
      <c r="L344">
        <v>24.1024162766989</v>
      </c>
      <c r="M344">
        <v>2.4493284205200299</v>
      </c>
      <c r="N344">
        <v>46.195867852710798</v>
      </c>
      <c r="O344">
        <v>23.7736922946916</v>
      </c>
      <c r="P344">
        <v>7.2930480030196598</v>
      </c>
      <c r="Q344">
        <v>17.369867274138201</v>
      </c>
      <c r="R344">
        <v>15.650211509496801</v>
      </c>
      <c r="S344">
        <v>-3.5202227246898099</v>
      </c>
      <c r="T344">
        <v>50.374760083361402</v>
      </c>
      <c r="U344">
        <v>-0.17744858569104699</v>
      </c>
      <c r="V344">
        <v>37.640445558541401</v>
      </c>
    </row>
    <row r="345" spans="1:22" x14ac:dyDescent="0.25">
      <c r="A345" t="str">
        <f t="shared" si="5"/>
        <v>Colombia2016</v>
      </c>
      <c r="B345" t="s">
        <v>61</v>
      </c>
      <c r="C345" t="s">
        <v>62</v>
      </c>
      <c r="D345">
        <v>2016</v>
      </c>
      <c r="E345">
        <v>5959.8425036757399</v>
      </c>
      <c r="F345">
        <v>2.0873825016279399</v>
      </c>
      <c r="G345">
        <v>7.5134602462767397</v>
      </c>
      <c r="H345">
        <v>12</v>
      </c>
      <c r="I345">
        <v>7.3885767870793897</v>
      </c>
      <c r="J345">
        <v>8.9220000000000006</v>
      </c>
      <c r="K345">
        <v>28.6308350994839</v>
      </c>
      <c r="L345">
        <v>24.223421278058801</v>
      </c>
      <c r="M345">
        <v>5.1483343051458901</v>
      </c>
      <c r="N345">
        <v>45.569796953847401</v>
      </c>
      <c r="O345">
        <v>23.167419557249399</v>
      </c>
      <c r="P345">
        <v>8.3288346816175896</v>
      </c>
      <c r="Q345">
        <v>17.477857283163399</v>
      </c>
      <c r="R345">
        <v>14.7171392781975</v>
      </c>
      <c r="S345">
        <v>-2.2739543634089801</v>
      </c>
      <c r="T345">
        <v>49.9040186427668</v>
      </c>
      <c r="U345">
        <v>-0.101560493678508</v>
      </c>
      <c r="V345">
        <v>39.094903849432697</v>
      </c>
    </row>
    <row r="346" spans="1:22" x14ac:dyDescent="0.25">
      <c r="A346" t="str">
        <f t="shared" si="5"/>
        <v>Colombia2017</v>
      </c>
      <c r="B346" t="s">
        <v>61</v>
      </c>
      <c r="C346" t="s">
        <v>62</v>
      </c>
      <c r="D346">
        <v>2017</v>
      </c>
      <c r="E346">
        <v>6479.5323129242897</v>
      </c>
      <c r="F346">
        <v>1.35936086788746</v>
      </c>
      <c r="G346">
        <v>4.3143132569500997</v>
      </c>
      <c r="H346">
        <v>12</v>
      </c>
      <c r="I346">
        <v>7.6524849495371798</v>
      </c>
      <c r="J346">
        <v>9.0860000000000003</v>
      </c>
      <c r="K346">
        <v>27.504963907447301</v>
      </c>
      <c r="L346">
        <v>22.584286199958399</v>
      </c>
      <c r="M346">
        <v>5.1337358996334599</v>
      </c>
      <c r="N346">
        <v>44.839475837898497</v>
      </c>
      <c r="O346">
        <v>21.599376840769601</v>
      </c>
      <c r="P346">
        <v>7.8873943136366398</v>
      </c>
      <c r="Q346">
        <v>17.102127632402901</v>
      </c>
      <c r="R346">
        <v>15.145289748400501</v>
      </c>
      <c r="S346">
        <v>-2.4955185342335602</v>
      </c>
      <c r="T346">
        <v>49.448556519354398</v>
      </c>
      <c r="U346">
        <v>-0.123125336919042</v>
      </c>
      <c r="V346">
        <v>38.681595724123902</v>
      </c>
    </row>
    <row r="347" spans="1:22" x14ac:dyDescent="0.25">
      <c r="A347" t="str">
        <f t="shared" si="5"/>
        <v>Colombia2018</v>
      </c>
      <c r="B347" t="s">
        <v>61</v>
      </c>
      <c r="C347" t="s">
        <v>62</v>
      </c>
      <c r="D347">
        <v>2018</v>
      </c>
      <c r="E347">
        <v>6816.9681830954396</v>
      </c>
      <c r="F347">
        <v>2.5643242827770401</v>
      </c>
      <c r="G347">
        <v>3.2405693293056901</v>
      </c>
      <c r="H347">
        <v>12</v>
      </c>
      <c r="I347">
        <v>7.9133529767907396</v>
      </c>
      <c r="J347">
        <v>9.36</v>
      </c>
      <c r="K347">
        <v>29.971790721942899</v>
      </c>
      <c r="L347">
        <v>23.475187172239799</v>
      </c>
      <c r="M347">
        <v>4.6305796732782598</v>
      </c>
      <c r="N347">
        <v>44.086602209802699</v>
      </c>
      <c r="O347">
        <v>21.1954755611258</v>
      </c>
      <c r="P347">
        <v>7.0165362839910097</v>
      </c>
      <c r="Q347">
        <v>16.365582464015102</v>
      </c>
      <c r="R347">
        <v>15.8997196775431</v>
      </c>
      <c r="S347">
        <v>-4.6676520377459401</v>
      </c>
      <c r="T347">
        <v>51.761258848461601</v>
      </c>
      <c r="U347">
        <v>-0.180526826668475</v>
      </c>
      <c r="V347">
        <v>37.581448514443302</v>
      </c>
    </row>
    <row r="348" spans="1:22" x14ac:dyDescent="0.25">
      <c r="A348" t="str">
        <f t="shared" si="5"/>
        <v>Colombia2019</v>
      </c>
      <c r="B348" t="s">
        <v>61</v>
      </c>
      <c r="C348" t="s">
        <v>62</v>
      </c>
      <c r="D348">
        <v>2019</v>
      </c>
      <c r="E348">
        <v>6472.5454492470499</v>
      </c>
      <c r="F348">
        <v>3.18685539245533</v>
      </c>
      <c r="G348">
        <v>3.5230193274144601</v>
      </c>
      <c r="H348">
        <v>12</v>
      </c>
      <c r="I348">
        <v>8.1903226507742204</v>
      </c>
      <c r="J348">
        <v>10.28</v>
      </c>
      <c r="K348">
        <v>31.304706564757598</v>
      </c>
      <c r="L348">
        <v>25.575368512731</v>
      </c>
      <c r="M348">
        <v>4.0026205429363797</v>
      </c>
      <c r="N348">
        <v>43.498925684164703</v>
      </c>
      <c r="O348">
        <v>21.380609545802699</v>
      </c>
      <c r="P348">
        <v>7.68978168444084</v>
      </c>
      <c r="Q348">
        <v>16.1789059058448</v>
      </c>
      <c r="R348">
        <v>15.868038654124099</v>
      </c>
      <c r="S348">
        <v>-3.4817741432343499</v>
      </c>
      <c r="T348">
        <v>50.971455826124803</v>
      </c>
      <c r="U348">
        <v>-8.9592667859352298E-2</v>
      </c>
      <c r="V348">
        <v>39.324277167762297</v>
      </c>
    </row>
    <row r="349" spans="1:22" x14ac:dyDescent="0.25">
      <c r="A349" t="str">
        <f t="shared" si="5"/>
        <v>Colombia2020</v>
      </c>
      <c r="B349" t="s">
        <v>61</v>
      </c>
      <c r="C349" t="s">
        <v>62</v>
      </c>
      <c r="D349">
        <v>2020</v>
      </c>
      <c r="E349">
        <v>5339.6871135794299</v>
      </c>
      <c r="F349">
        <v>-7.1859141376085898</v>
      </c>
      <c r="G349">
        <v>2.5266350008470599</v>
      </c>
      <c r="H349">
        <v>12</v>
      </c>
      <c r="I349">
        <v>8.4641254426291503</v>
      </c>
      <c r="J349">
        <v>15.983000000000001</v>
      </c>
      <c r="K349">
        <v>36.554393483974401</v>
      </c>
      <c r="L349">
        <v>23.6871303712315</v>
      </c>
      <c r="M349">
        <v>1.4817246203755301</v>
      </c>
      <c r="N349">
        <v>43.120547111185203</v>
      </c>
      <c r="O349">
        <v>19.128146936666202</v>
      </c>
      <c r="P349">
        <v>11.5419853283327</v>
      </c>
      <c r="Q349">
        <v>14.4374602199092</v>
      </c>
      <c r="R349">
        <v>13.5222755593302</v>
      </c>
      <c r="S349">
        <v>-7.12493912581066</v>
      </c>
      <c r="T349">
        <v>65.274227173058506</v>
      </c>
      <c r="U349">
        <v>-0.46352989760346303</v>
      </c>
      <c r="V349">
        <v>32.157459691518604</v>
      </c>
    </row>
    <row r="350" spans="1:22" x14ac:dyDescent="0.25">
      <c r="A350" t="str">
        <f t="shared" si="5"/>
        <v>Colombia2021</v>
      </c>
      <c r="B350" t="s">
        <v>61</v>
      </c>
      <c r="C350" t="s">
        <v>62</v>
      </c>
      <c r="D350">
        <v>2021</v>
      </c>
      <c r="E350">
        <v>6222.6216439761401</v>
      </c>
      <c r="F350">
        <v>10.801198190487799</v>
      </c>
      <c r="G350">
        <v>3.49505757399448</v>
      </c>
      <c r="H350">
        <v>12</v>
      </c>
      <c r="I350">
        <v>8.7135498202529096</v>
      </c>
      <c r="J350">
        <v>13.898</v>
      </c>
      <c r="K350">
        <v>35.663548655890501</v>
      </c>
      <c r="L350">
        <v>24.1312117221098</v>
      </c>
      <c r="M350">
        <v>7.8021130954588402</v>
      </c>
      <c r="N350">
        <v>42.881634934637098</v>
      </c>
      <c r="O350">
        <v>18.9169518896828</v>
      </c>
      <c r="P350">
        <v>8.1363444522353596</v>
      </c>
      <c r="Q350">
        <v>13.730573686459101</v>
      </c>
      <c r="R350">
        <v>16.1970059548864</v>
      </c>
      <c r="S350">
        <v>-7.2763408835647896</v>
      </c>
      <c r="T350">
        <v>64.416546832044006</v>
      </c>
      <c r="U350">
        <v>-0.24893461468283301</v>
      </c>
      <c r="V350">
        <v>36.270356460335798</v>
      </c>
    </row>
    <row r="351" spans="1:22" x14ac:dyDescent="0.25">
      <c r="A351" t="str">
        <f t="shared" si="5"/>
        <v>Colombia2022</v>
      </c>
      <c r="B351" t="s">
        <v>61</v>
      </c>
      <c r="C351" t="s">
        <v>62</v>
      </c>
      <c r="D351">
        <v>2022</v>
      </c>
      <c r="E351">
        <v>6680.4450685448101</v>
      </c>
      <c r="F351">
        <v>7.3282772942797898</v>
      </c>
      <c r="G351">
        <v>10.1772313546166</v>
      </c>
      <c r="H351">
        <v>12</v>
      </c>
      <c r="I351">
        <v>9.0065562810783106</v>
      </c>
      <c r="J351">
        <v>10.541</v>
      </c>
      <c r="K351">
        <v>32.390961006216202</v>
      </c>
      <c r="L351">
        <v>25.407470720670599</v>
      </c>
      <c r="M351">
        <v>14.925036680697801</v>
      </c>
      <c r="N351">
        <v>42.7752257754018</v>
      </c>
      <c r="O351">
        <v>19.7872446007318</v>
      </c>
      <c r="P351">
        <v>5.9879204160081203</v>
      </c>
      <c r="Q351">
        <v>12.384340178830399</v>
      </c>
      <c r="R351">
        <v>20.3883679938331</v>
      </c>
      <c r="S351">
        <v>-6.3579281558447898</v>
      </c>
      <c r="T351">
        <v>61.299781857336797</v>
      </c>
      <c r="U351">
        <v>-0.186324335151865</v>
      </c>
      <c r="V351">
        <v>37.470334450872102</v>
      </c>
    </row>
    <row r="352" spans="1:22" x14ac:dyDescent="0.25">
      <c r="A352" t="str">
        <f t="shared" si="5"/>
        <v>Colombia2023</v>
      </c>
      <c r="B352" t="s">
        <v>61</v>
      </c>
      <c r="C352" t="s">
        <v>62</v>
      </c>
      <c r="D352">
        <v>2023</v>
      </c>
      <c r="E352">
        <v>7000.8366050104596</v>
      </c>
      <c r="F352">
        <v>0.71238003197433397</v>
      </c>
      <c r="G352">
        <v>11.735904494868899</v>
      </c>
      <c r="H352">
        <v>12</v>
      </c>
      <c r="I352">
        <v>9.3754280355349593</v>
      </c>
      <c r="J352">
        <v>9.5909999999999993</v>
      </c>
      <c r="K352">
        <v>33.335890347204298</v>
      </c>
      <c r="L352">
        <v>28.413691495988601</v>
      </c>
      <c r="M352">
        <v>6.9523623210511003</v>
      </c>
      <c r="N352">
        <v>42.802619846343198</v>
      </c>
      <c r="O352">
        <v>16.439684909773199</v>
      </c>
      <c r="P352">
        <v>7.1661637402161</v>
      </c>
      <c r="Q352">
        <v>12.6680553213097</v>
      </c>
      <c r="R352">
        <v>17.831678407029798</v>
      </c>
      <c r="S352">
        <v>-2.9203487747118002</v>
      </c>
      <c r="T352">
        <v>55.3644312158319</v>
      </c>
      <c r="U352">
        <v>2.47724377183592E-2</v>
      </c>
      <c r="V352">
        <v>41.516179369871701</v>
      </c>
    </row>
    <row r="353" spans="1:22" x14ac:dyDescent="0.25">
      <c r="A353" t="str">
        <f t="shared" si="5"/>
        <v>Colombia2024</v>
      </c>
      <c r="B353" t="s">
        <v>61</v>
      </c>
      <c r="C353" t="s">
        <v>62</v>
      </c>
      <c r="D353">
        <v>2024</v>
      </c>
      <c r="E353">
        <v>7919.2088682534504</v>
      </c>
      <c r="F353">
        <v>1.5983315366523001</v>
      </c>
      <c r="G353">
        <v>6.6090859372822797</v>
      </c>
      <c r="H353">
        <v>12</v>
      </c>
      <c r="I353">
        <v>9.7784356075077792</v>
      </c>
      <c r="J353">
        <v>9.6189999999999998</v>
      </c>
      <c r="K353">
        <v>30.067191245539799</v>
      </c>
      <c r="L353">
        <v>25.952779947813202</v>
      </c>
      <c r="M353">
        <v>5.99783417221356</v>
      </c>
      <c r="N353">
        <v>42.960376978568902</v>
      </c>
      <c r="O353">
        <v>16.822028460303802</v>
      </c>
      <c r="P353">
        <v>7.34464091398545</v>
      </c>
      <c r="Q353">
        <v>13.641377800616199</v>
      </c>
      <c r="R353">
        <v>16.099298718331099</v>
      </c>
      <c r="S353">
        <v>-6.0374863815687201</v>
      </c>
      <c r="T353">
        <v>61.008206771064998</v>
      </c>
      <c r="U353">
        <v>-0.15875523012057799</v>
      </c>
      <c r="V353">
        <v>37.998719238548503</v>
      </c>
    </row>
    <row r="354" spans="1:22" x14ac:dyDescent="0.25">
      <c r="A354" t="str">
        <f t="shared" si="5"/>
        <v>Colombia2025</v>
      </c>
      <c r="B354" t="s">
        <v>61</v>
      </c>
      <c r="C354" t="s">
        <v>62</v>
      </c>
      <c r="D354">
        <v>2025</v>
      </c>
      <c r="E354">
        <v>6680.4450685448101</v>
      </c>
      <c r="F354">
        <v>3.18685539245533</v>
      </c>
      <c r="G354">
        <v>3.49505757399448</v>
      </c>
      <c r="H354">
        <v>12</v>
      </c>
      <c r="I354">
        <v>7.6524849495371798</v>
      </c>
      <c r="J354">
        <v>8.2899999999999991</v>
      </c>
      <c r="K354">
        <v>30.067191245539799</v>
      </c>
      <c r="L354">
        <v>24.1312117221098</v>
      </c>
      <c r="M354">
        <v>4.6305796732782598</v>
      </c>
      <c r="N354">
        <v>44.839475837898497</v>
      </c>
      <c r="O354">
        <v>21.599376840769601</v>
      </c>
      <c r="P354">
        <v>7.1661637402161</v>
      </c>
      <c r="Q354">
        <v>17.102127632402901</v>
      </c>
      <c r="R354">
        <v>16.1970059548864</v>
      </c>
      <c r="S354">
        <v>-5.7471305502155401</v>
      </c>
      <c r="T354">
        <v>59.867894700293803</v>
      </c>
      <c r="U354">
        <v>-0.21917060417758299</v>
      </c>
      <c r="V354">
        <v>36.8408084337809</v>
      </c>
    </row>
    <row r="355" spans="1:22" x14ac:dyDescent="0.25">
      <c r="A355" t="str">
        <f t="shared" si="5"/>
        <v>Congo, Dem. Rep.2010</v>
      </c>
      <c r="B355" t="s">
        <v>63</v>
      </c>
      <c r="C355" t="s">
        <v>64</v>
      </c>
      <c r="D355">
        <v>2010</v>
      </c>
      <c r="E355">
        <v>352.40039875469199</v>
      </c>
      <c r="F355">
        <v>7.8430078219124901</v>
      </c>
      <c r="G355">
        <v>7.10000000000037</v>
      </c>
      <c r="H355">
        <v>6</v>
      </c>
      <c r="I355">
        <v>3.11379145067778</v>
      </c>
      <c r="J355">
        <v>4.0979999999999999</v>
      </c>
      <c r="K355">
        <v>7.4705014653559996</v>
      </c>
      <c r="L355">
        <v>12.732934006244699</v>
      </c>
      <c r="M355">
        <v>34.700303616899397</v>
      </c>
      <c r="N355">
        <v>96.756225906429606</v>
      </c>
      <c r="O355">
        <v>24.028927597762699</v>
      </c>
      <c r="P355">
        <v>1.30716825849861</v>
      </c>
      <c r="Q355">
        <v>16.137690391679101</v>
      </c>
      <c r="R355">
        <v>36.694024816274499</v>
      </c>
      <c r="S355">
        <v>-0.80280254372438398</v>
      </c>
      <c r="T355">
        <v>31.796115378820101</v>
      </c>
      <c r="U355">
        <v>-1.01109337032859</v>
      </c>
      <c r="V355">
        <v>21.662951112192101</v>
      </c>
    </row>
    <row r="356" spans="1:22" x14ac:dyDescent="0.25">
      <c r="A356" t="str">
        <f t="shared" si="5"/>
        <v>Congo, Dem. Rep.2011</v>
      </c>
      <c r="B356" t="s">
        <v>63</v>
      </c>
      <c r="C356" t="s">
        <v>64</v>
      </c>
      <c r="D356">
        <v>2011</v>
      </c>
      <c r="E356">
        <v>372.514273875789</v>
      </c>
      <c r="F356">
        <v>7.5933172129495903</v>
      </c>
      <c r="G356">
        <v>15.316515913949001</v>
      </c>
      <c r="H356">
        <v>6</v>
      </c>
      <c r="I356">
        <v>3.1275519170006301</v>
      </c>
      <c r="J356">
        <v>4.3170000000000002</v>
      </c>
      <c r="K356">
        <v>10.7809311424034</v>
      </c>
      <c r="L356">
        <v>10.023965302322299</v>
      </c>
      <c r="M356">
        <v>3.0451892669745702</v>
      </c>
      <c r="N356">
        <v>96.514394313170399</v>
      </c>
      <c r="O356">
        <v>25.2869778606739</v>
      </c>
      <c r="P356">
        <v>1.16364130735892</v>
      </c>
      <c r="Q356">
        <v>19.6836373065853</v>
      </c>
      <c r="R356">
        <v>38.688177380501301</v>
      </c>
      <c r="S356">
        <v>-0.70587483878300505</v>
      </c>
      <c r="T356">
        <v>7.8135536302777204</v>
      </c>
      <c r="U356">
        <v>-0.94971574193206698</v>
      </c>
      <c r="V356">
        <v>22.8393043203057</v>
      </c>
    </row>
    <row r="357" spans="1:22" x14ac:dyDescent="0.25">
      <c r="A357" t="str">
        <f t="shared" si="5"/>
        <v>Congo, Dem. Rep.2012</v>
      </c>
      <c r="B357" t="s">
        <v>63</v>
      </c>
      <c r="C357" t="s">
        <v>64</v>
      </c>
      <c r="D357">
        <v>2012</v>
      </c>
      <c r="E357">
        <v>409.931424783784</v>
      </c>
      <c r="F357">
        <v>8.6685936053192201</v>
      </c>
      <c r="G357">
        <v>9.7218280627336409</v>
      </c>
      <c r="H357">
        <v>6</v>
      </c>
      <c r="I357">
        <v>3.1382854038070001</v>
      </c>
      <c r="J357">
        <v>4.4850000000000003</v>
      </c>
      <c r="K357">
        <v>13.877126252888401</v>
      </c>
      <c r="L357">
        <v>12.246028973946</v>
      </c>
      <c r="M357">
        <v>4.7341144294635198</v>
      </c>
      <c r="N357">
        <v>96.431442441238204</v>
      </c>
      <c r="O357">
        <v>26.112188442536599</v>
      </c>
      <c r="P357">
        <v>1.6224631901067801</v>
      </c>
      <c r="Q357">
        <v>20.0907337633213</v>
      </c>
      <c r="R357">
        <v>30.061307427291698</v>
      </c>
      <c r="S357">
        <v>1.92582336058912</v>
      </c>
      <c r="T357">
        <v>7.58369497599839</v>
      </c>
      <c r="U357">
        <v>-0.80823399037463906</v>
      </c>
      <c r="V357">
        <v>25.550919556705701</v>
      </c>
    </row>
    <row r="358" spans="1:22" x14ac:dyDescent="0.25">
      <c r="A358" t="str">
        <f t="shared" si="5"/>
        <v>Congo, Dem. Rep.2013</v>
      </c>
      <c r="B358" t="s">
        <v>63</v>
      </c>
      <c r="C358" t="s">
        <v>64</v>
      </c>
      <c r="D358">
        <v>2013</v>
      </c>
      <c r="E358">
        <v>460.37033493010699</v>
      </c>
      <c r="F358">
        <v>9.6244887921687905</v>
      </c>
      <c r="G358">
        <v>0.80822310148710996</v>
      </c>
      <c r="H358">
        <v>6</v>
      </c>
      <c r="I358">
        <v>3.1417020811420899</v>
      </c>
      <c r="J358">
        <v>4.4690000000000003</v>
      </c>
      <c r="K358">
        <v>12.2649104883301</v>
      </c>
      <c r="L358">
        <v>10.568555492618501</v>
      </c>
      <c r="M358">
        <v>5.9674945251852698</v>
      </c>
      <c r="N358">
        <v>96.454874921867102</v>
      </c>
      <c r="O358">
        <v>28.101667729393998</v>
      </c>
      <c r="P358">
        <v>1.2260230788808899</v>
      </c>
      <c r="Q358">
        <v>19.388641224975199</v>
      </c>
      <c r="R358">
        <v>34.135976376629699</v>
      </c>
      <c r="S358">
        <v>3.4965197602876898</v>
      </c>
      <c r="T358">
        <v>8.2604757099837105</v>
      </c>
      <c r="U358">
        <v>-0.77285208332823896</v>
      </c>
      <c r="V358">
        <v>26.229043181722901</v>
      </c>
    </row>
    <row r="359" spans="1:22" x14ac:dyDescent="0.25">
      <c r="A359" t="str">
        <f t="shared" si="5"/>
        <v>Congo, Dem. Rep.2014</v>
      </c>
      <c r="B359" t="s">
        <v>63</v>
      </c>
      <c r="C359" t="s">
        <v>64</v>
      </c>
      <c r="D359">
        <v>2014</v>
      </c>
      <c r="E359">
        <v>489.175952097319</v>
      </c>
      <c r="F359">
        <v>7.3022775087026304</v>
      </c>
      <c r="G359">
        <v>1.24303889760802</v>
      </c>
      <c r="H359">
        <v>6</v>
      </c>
      <c r="I359">
        <v>3.13660116248764</v>
      </c>
      <c r="J359">
        <v>4.4359999999999999</v>
      </c>
      <c r="K359">
        <v>11.485068268998299</v>
      </c>
      <c r="L359">
        <v>10.3524509553027</v>
      </c>
      <c r="M359">
        <v>3.0717165524694301</v>
      </c>
      <c r="N359">
        <v>96.484966689908106</v>
      </c>
      <c r="O359">
        <v>31.994143950184899</v>
      </c>
      <c r="P359">
        <v>1.13228605984966</v>
      </c>
      <c r="Q359">
        <v>21.148711046241001</v>
      </c>
      <c r="R359">
        <v>32.946717875370901</v>
      </c>
      <c r="S359">
        <v>3.8714329401843801</v>
      </c>
      <c r="T359">
        <v>8.7414539984658202</v>
      </c>
      <c r="U359">
        <v>-0.82168390913941802</v>
      </c>
      <c r="V359">
        <v>25.2931406965386</v>
      </c>
    </row>
    <row r="360" spans="1:22" x14ac:dyDescent="0.25">
      <c r="A360" t="str">
        <f t="shared" si="5"/>
        <v>Congo, Dem. Rep.2015</v>
      </c>
      <c r="B360" t="s">
        <v>63</v>
      </c>
      <c r="C360" t="s">
        <v>64</v>
      </c>
      <c r="D360">
        <v>2015</v>
      </c>
      <c r="E360">
        <v>495.82663301488299</v>
      </c>
      <c r="F360">
        <v>6.3597375616482896</v>
      </c>
      <c r="G360">
        <v>0.74419899478147</v>
      </c>
      <c r="H360">
        <v>6</v>
      </c>
      <c r="I360">
        <v>3.1269795714672401</v>
      </c>
      <c r="J360">
        <v>4.4409999999999998</v>
      </c>
      <c r="K360">
        <v>11.842036491252699</v>
      </c>
      <c r="L360">
        <v>10.150423342420201</v>
      </c>
      <c r="M360">
        <v>-1.4208820605930901</v>
      </c>
      <c r="N360">
        <v>96.527818719962497</v>
      </c>
      <c r="O360">
        <v>28.2489760430453</v>
      </c>
      <c r="P360">
        <v>1.0430266435877</v>
      </c>
      <c r="Q360">
        <v>20.304079876821302</v>
      </c>
      <c r="R360">
        <v>26.007121905455499</v>
      </c>
      <c r="S360">
        <v>-1.1992331885429801</v>
      </c>
      <c r="T360">
        <v>10.212182915431599</v>
      </c>
      <c r="U360">
        <v>-1.05959848145964</v>
      </c>
      <c r="V360">
        <v>20.733310385113299</v>
      </c>
    </row>
    <row r="361" spans="1:22" x14ac:dyDescent="0.25">
      <c r="A361" t="str">
        <f t="shared" si="5"/>
        <v>Congo, Dem. Rep.2016</v>
      </c>
      <c r="B361" t="s">
        <v>63</v>
      </c>
      <c r="C361" t="s">
        <v>64</v>
      </c>
      <c r="D361">
        <v>2016</v>
      </c>
      <c r="E361">
        <v>459.76503659038798</v>
      </c>
      <c r="F361">
        <v>0.39383279815456301</v>
      </c>
      <c r="G361">
        <v>2.8858510728998801</v>
      </c>
      <c r="H361">
        <v>6</v>
      </c>
      <c r="I361">
        <v>3.1153086991625401</v>
      </c>
      <c r="J361">
        <v>4.5279999999999996</v>
      </c>
      <c r="K361">
        <v>11.8809318137627</v>
      </c>
      <c r="L361">
        <v>8.9102231569232</v>
      </c>
      <c r="M361">
        <v>4.4059054459047404</v>
      </c>
      <c r="N361">
        <v>96.197893605584895</v>
      </c>
      <c r="O361">
        <v>25.730139110082</v>
      </c>
      <c r="P361">
        <v>0.57154452690598601</v>
      </c>
      <c r="Q361">
        <v>21.3776391938827</v>
      </c>
      <c r="R361">
        <v>31.1223783108872</v>
      </c>
      <c r="S361">
        <v>-0.908737238238014</v>
      </c>
      <c r="T361">
        <v>10.580195240661601</v>
      </c>
      <c r="U361">
        <v>-1.07356195230861</v>
      </c>
      <c r="V361">
        <v>20.4656888728667</v>
      </c>
    </row>
    <row r="362" spans="1:22" x14ac:dyDescent="0.25">
      <c r="A362" t="str">
        <f t="shared" si="5"/>
        <v>Congo, Dem. Rep.2017</v>
      </c>
      <c r="B362" t="s">
        <v>63</v>
      </c>
      <c r="C362" t="s">
        <v>64</v>
      </c>
      <c r="D362">
        <v>2017</v>
      </c>
      <c r="E362">
        <v>431.052559128788</v>
      </c>
      <c r="F362">
        <v>4.2412104727271904</v>
      </c>
      <c r="G362">
        <v>2.8858510728998801</v>
      </c>
      <c r="H362">
        <v>6</v>
      </c>
      <c r="I362">
        <v>3.1042242977243499</v>
      </c>
      <c r="J362">
        <v>4.6130000000000004</v>
      </c>
      <c r="K362">
        <v>7.8363017349841302</v>
      </c>
      <c r="L362">
        <v>8.0791261671840005</v>
      </c>
      <c r="M362">
        <v>35.222767986449803</v>
      </c>
      <c r="N362">
        <v>95.797631300821294</v>
      </c>
      <c r="O362">
        <v>27.5611277266771</v>
      </c>
      <c r="P362">
        <v>0.58950064275132896</v>
      </c>
      <c r="Q362">
        <v>24.269131114707399</v>
      </c>
      <c r="R362">
        <v>31.084022602610698</v>
      </c>
      <c r="S362">
        <v>-1.43847791186435E-2</v>
      </c>
      <c r="T362">
        <v>8.4214051944880595</v>
      </c>
      <c r="U362">
        <v>-1.0175289084879799</v>
      </c>
      <c r="V362">
        <v>21.5396086801445</v>
      </c>
    </row>
    <row r="363" spans="1:22" x14ac:dyDescent="0.25">
      <c r="A363" t="str">
        <f t="shared" si="5"/>
        <v>Congo, Dem. Rep.2018</v>
      </c>
      <c r="B363" t="s">
        <v>63</v>
      </c>
      <c r="C363" t="s">
        <v>64</v>
      </c>
      <c r="D363">
        <v>2018</v>
      </c>
      <c r="E363">
        <v>518.16962687537102</v>
      </c>
      <c r="F363">
        <v>6.0716887064661504</v>
      </c>
      <c r="G363">
        <v>2.8858510728998801</v>
      </c>
      <c r="H363">
        <v>6</v>
      </c>
      <c r="I363">
        <v>3.09687504482002</v>
      </c>
      <c r="J363">
        <v>4.6319999999999997</v>
      </c>
      <c r="K363">
        <v>10.076794015808501</v>
      </c>
      <c r="L363">
        <v>8.8883597317586602</v>
      </c>
      <c r="M363">
        <v>29.839007594082101</v>
      </c>
      <c r="N363">
        <v>95.941538741201597</v>
      </c>
      <c r="O363">
        <v>28.674344923754099</v>
      </c>
      <c r="P363">
        <v>0.40822928255594498</v>
      </c>
      <c r="Q363">
        <v>25.100765198639699</v>
      </c>
      <c r="R363">
        <v>34.465624150436199</v>
      </c>
      <c r="S363">
        <v>-1.34873531002374</v>
      </c>
      <c r="T363">
        <v>9.1912261747628108</v>
      </c>
      <c r="U363">
        <v>-1.0262260248575299</v>
      </c>
      <c r="V363">
        <v>21.3729212239828</v>
      </c>
    </row>
    <row r="364" spans="1:22" x14ac:dyDescent="0.25">
      <c r="A364" t="str">
        <f t="shared" si="5"/>
        <v>Congo, Dem. Rep.2019</v>
      </c>
      <c r="B364" t="s">
        <v>63</v>
      </c>
      <c r="C364" t="s">
        <v>64</v>
      </c>
      <c r="D364">
        <v>2019</v>
      </c>
      <c r="E364">
        <v>504.00419142286</v>
      </c>
      <c r="F364">
        <v>0.55538429458081895</v>
      </c>
      <c r="G364">
        <v>2.8858510728998801</v>
      </c>
      <c r="H364">
        <v>6</v>
      </c>
      <c r="I364">
        <v>3.09329491821841</v>
      </c>
      <c r="J364">
        <v>4.6050000000000004</v>
      </c>
      <c r="K364">
        <v>8.8220637577733996</v>
      </c>
      <c r="L364">
        <v>8.5174039673108393</v>
      </c>
      <c r="M364">
        <v>1.3969627316508599</v>
      </c>
      <c r="N364">
        <v>96.351797317965605</v>
      </c>
      <c r="O364">
        <v>22.3026244777218</v>
      </c>
      <c r="P364">
        <v>0.77878679461987499</v>
      </c>
      <c r="Q364">
        <v>15.4383729087464</v>
      </c>
      <c r="R364">
        <v>28.4657291929772</v>
      </c>
      <c r="S364">
        <v>-3.4120145045815198</v>
      </c>
      <c r="T364">
        <v>9.7210418175570297</v>
      </c>
      <c r="U364">
        <v>-1.23304547614862</v>
      </c>
      <c r="V364">
        <v>17.409054724371501</v>
      </c>
    </row>
    <row r="365" spans="1:22" x14ac:dyDescent="0.25">
      <c r="A365" t="str">
        <f t="shared" si="5"/>
        <v>Congo, Dem. Rep.2020</v>
      </c>
      <c r="B365" t="s">
        <v>63</v>
      </c>
      <c r="C365" t="s">
        <v>64</v>
      </c>
      <c r="D365">
        <v>2020</v>
      </c>
      <c r="E365">
        <v>486.42557268225602</v>
      </c>
      <c r="F365">
        <v>0.77542799235462201</v>
      </c>
      <c r="G365">
        <v>2.8858510728998801</v>
      </c>
      <c r="H365">
        <v>6</v>
      </c>
      <c r="I365">
        <v>3.08607621806597</v>
      </c>
      <c r="J365">
        <v>5.3550000000000004</v>
      </c>
      <c r="K365">
        <v>9.4723428837223604</v>
      </c>
      <c r="L365">
        <v>8.0650160704411693</v>
      </c>
      <c r="M365">
        <v>11.111044660918299</v>
      </c>
      <c r="N365">
        <v>96.613020607949395</v>
      </c>
      <c r="O365">
        <v>21.848825739462001</v>
      </c>
      <c r="P365">
        <v>0.56013368762434601</v>
      </c>
      <c r="Q365">
        <v>19.594625128983399</v>
      </c>
      <c r="R365">
        <v>29.845511833331901</v>
      </c>
      <c r="S365">
        <v>-3.4887759349852798</v>
      </c>
      <c r="T365">
        <v>11.5509339891292</v>
      </c>
      <c r="U365">
        <v>-1.2141879296301099</v>
      </c>
      <c r="V365">
        <v>17.770475260220401</v>
      </c>
    </row>
    <row r="366" spans="1:22" x14ac:dyDescent="0.25">
      <c r="A366" t="str">
        <f t="shared" si="5"/>
        <v>Congo, Dem. Rep.2021</v>
      </c>
      <c r="B366" t="s">
        <v>63</v>
      </c>
      <c r="C366" t="s">
        <v>64</v>
      </c>
      <c r="D366">
        <v>2021</v>
      </c>
      <c r="E366">
        <v>595.74307440356699</v>
      </c>
      <c r="F366">
        <v>6.4296100564735497</v>
      </c>
      <c r="G366">
        <v>2.8858510728998801</v>
      </c>
      <c r="H366">
        <v>6</v>
      </c>
      <c r="I366">
        <v>3.07362816575775</v>
      </c>
      <c r="J366">
        <v>5.2889999999999997</v>
      </c>
      <c r="K366">
        <v>8.6467832858157401</v>
      </c>
      <c r="L366">
        <v>9.8975072622245701</v>
      </c>
      <c r="M366">
        <v>27.792048507500599</v>
      </c>
      <c r="N366">
        <v>96.726229952483394</v>
      </c>
      <c r="O366">
        <v>32.561311758107799</v>
      </c>
      <c r="P366">
        <v>1.7098043778173699</v>
      </c>
      <c r="Q366">
        <v>31.5663048195029</v>
      </c>
      <c r="R366">
        <v>37.829511069311003</v>
      </c>
      <c r="S366">
        <v>-1.5789386001629599</v>
      </c>
      <c r="T366">
        <v>13.9672915207884</v>
      </c>
      <c r="U366">
        <v>-1.02012297369969</v>
      </c>
      <c r="V366">
        <v>21.4898912665921</v>
      </c>
    </row>
    <row r="367" spans="1:22" x14ac:dyDescent="0.25">
      <c r="A367" t="str">
        <f t="shared" si="5"/>
        <v>Congo, Dem. Rep.2022</v>
      </c>
      <c r="B367" t="s">
        <v>63</v>
      </c>
      <c r="C367" t="s">
        <v>64</v>
      </c>
      <c r="D367">
        <v>2022</v>
      </c>
      <c r="E367">
        <v>687.73858755468495</v>
      </c>
      <c r="F367">
        <v>9.3111694406491807</v>
      </c>
      <c r="G367">
        <v>2.8858510728998801</v>
      </c>
      <c r="H367">
        <v>6</v>
      </c>
      <c r="I367">
        <v>3.0660468384181101</v>
      </c>
      <c r="J367">
        <v>4.54</v>
      </c>
      <c r="K367">
        <v>12.448761740096399</v>
      </c>
      <c r="L367">
        <v>13.2352471174197</v>
      </c>
      <c r="M367">
        <v>9.9890768252065794</v>
      </c>
      <c r="N367">
        <v>96.765812157643296</v>
      </c>
      <c r="O367">
        <v>36.685840484825597</v>
      </c>
      <c r="P367">
        <v>1.5317903896834399</v>
      </c>
      <c r="Q367">
        <v>30.801853487473</v>
      </c>
      <c r="R367">
        <v>40.820324611059803</v>
      </c>
      <c r="S367">
        <v>-0.867816702176475</v>
      </c>
      <c r="T367">
        <v>14.650485215701201</v>
      </c>
      <c r="U367">
        <v>-0.91313549162297103</v>
      </c>
      <c r="V367">
        <v>23.540395188898799</v>
      </c>
    </row>
    <row r="368" spans="1:22" x14ac:dyDescent="0.25">
      <c r="A368" t="str">
        <f t="shared" si="5"/>
        <v>Congo, Dem. Rep.2023</v>
      </c>
      <c r="B368" t="s">
        <v>63</v>
      </c>
      <c r="C368" t="s">
        <v>64</v>
      </c>
      <c r="D368">
        <v>2023</v>
      </c>
      <c r="E368">
        <v>660.21205238997004</v>
      </c>
      <c r="F368">
        <v>8.5334898318451007</v>
      </c>
      <c r="G368">
        <v>2.8858510728998801</v>
      </c>
      <c r="H368">
        <v>6</v>
      </c>
      <c r="I368">
        <v>3.0683564028140098</v>
      </c>
      <c r="J368">
        <v>4.4690000000000003</v>
      </c>
      <c r="K368">
        <v>10.7809311424034</v>
      </c>
      <c r="L368">
        <v>10.023965302322299</v>
      </c>
      <c r="M368">
        <v>11.286027486778799</v>
      </c>
      <c r="N368">
        <v>96.682534117088295</v>
      </c>
      <c r="O368">
        <v>34.078127316497202</v>
      </c>
      <c r="P368">
        <v>1.69039445082268</v>
      </c>
      <c r="Q368">
        <v>31.656786547456299</v>
      </c>
      <c r="R368">
        <v>42.0539835211192</v>
      </c>
      <c r="S368">
        <v>-1.5941350815911099</v>
      </c>
      <c r="T368">
        <v>15.6851366576958</v>
      </c>
      <c r="U368">
        <v>-0.96826945576134005</v>
      </c>
      <c r="V368">
        <v>22.483706990208798</v>
      </c>
    </row>
    <row r="369" spans="1:22" x14ac:dyDescent="0.25">
      <c r="A369" t="str">
        <f t="shared" si="5"/>
        <v>Congo, Dem. Rep.2024</v>
      </c>
      <c r="B369" t="s">
        <v>63</v>
      </c>
      <c r="C369" t="s">
        <v>64</v>
      </c>
      <c r="D369">
        <v>2024</v>
      </c>
      <c r="E369">
        <v>649.38333855672499</v>
      </c>
      <c r="F369">
        <v>6.1267555177921196</v>
      </c>
      <c r="G369">
        <v>2.8858510728998801</v>
      </c>
      <c r="H369">
        <v>6</v>
      </c>
      <c r="I369">
        <v>3.0755777710538399</v>
      </c>
      <c r="J369">
        <v>4.4210000000000003</v>
      </c>
      <c r="K369">
        <v>10.7809311424034</v>
      </c>
      <c r="L369">
        <v>10.023965302322299</v>
      </c>
      <c r="M369">
        <v>10.568841532485299</v>
      </c>
      <c r="N369">
        <v>96.496656664498701</v>
      </c>
      <c r="O369">
        <v>32.544648683045203</v>
      </c>
      <c r="P369">
        <v>1.1479636836042899</v>
      </c>
      <c r="Q369">
        <v>28.294287787862</v>
      </c>
      <c r="R369">
        <v>48.754267255671202</v>
      </c>
      <c r="S369">
        <v>-1.66066760847589</v>
      </c>
      <c r="T369">
        <v>15.841123577353899</v>
      </c>
      <c r="U369">
        <v>-0.98208543400262005</v>
      </c>
      <c r="V369">
        <v>22.218912296247002</v>
      </c>
    </row>
    <row r="370" spans="1:22" x14ac:dyDescent="0.25">
      <c r="A370" t="str">
        <f t="shared" si="5"/>
        <v>Congo, Dem. Rep.2025</v>
      </c>
      <c r="B370" t="s">
        <v>63</v>
      </c>
      <c r="C370" t="s">
        <v>64</v>
      </c>
      <c r="D370">
        <v>2025</v>
      </c>
      <c r="E370">
        <v>489.175952097319</v>
      </c>
      <c r="F370">
        <v>6.4296100564735497</v>
      </c>
      <c r="G370">
        <v>2.8858510728998801</v>
      </c>
      <c r="H370">
        <v>6</v>
      </c>
      <c r="I370">
        <v>3.1042242977243499</v>
      </c>
      <c r="J370">
        <v>4.4340000000000002</v>
      </c>
      <c r="K370">
        <v>10.7809311424034</v>
      </c>
      <c r="L370">
        <v>10.023965302322299</v>
      </c>
      <c r="M370">
        <v>9.9890768252065794</v>
      </c>
      <c r="N370">
        <v>96.496656664498701</v>
      </c>
      <c r="O370">
        <v>28.101667729393998</v>
      </c>
      <c r="P370">
        <v>1.1479636836042899</v>
      </c>
      <c r="Q370">
        <v>21.148711046241001</v>
      </c>
      <c r="R370">
        <v>34.135976376629699</v>
      </c>
      <c r="S370">
        <v>-2.7524271998558598</v>
      </c>
      <c r="T370">
        <v>20.2064755199135</v>
      </c>
      <c r="U370">
        <v>-1.1159025947150001</v>
      </c>
      <c r="V370">
        <v>19.654195307058501</v>
      </c>
    </row>
    <row r="371" spans="1:22" x14ac:dyDescent="0.25">
      <c r="A371" t="str">
        <f t="shared" si="5"/>
        <v>Congo, Rep.2010</v>
      </c>
      <c r="B371" t="s">
        <v>65</v>
      </c>
      <c r="C371" t="s">
        <v>66</v>
      </c>
      <c r="D371">
        <v>2010</v>
      </c>
      <c r="E371">
        <v>2946.5579806770802</v>
      </c>
      <c r="F371">
        <v>9.9312654309557793</v>
      </c>
      <c r="G371">
        <v>0.39152501122761202</v>
      </c>
      <c r="H371">
        <v>10</v>
      </c>
      <c r="I371">
        <v>2.7527009674404801</v>
      </c>
      <c r="J371">
        <v>19.3</v>
      </c>
      <c r="K371">
        <v>10.7590345834017</v>
      </c>
      <c r="L371">
        <v>34.597081874175601</v>
      </c>
      <c r="M371">
        <v>29.4176837966296</v>
      </c>
      <c r="N371">
        <v>75.997920661728102</v>
      </c>
      <c r="O371">
        <v>47.190170665923098</v>
      </c>
      <c r="P371">
        <v>6.4553617001832304</v>
      </c>
      <c r="Q371">
        <v>54.044306337166397</v>
      </c>
      <c r="R371">
        <v>68.528091530093903</v>
      </c>
      <c r="S371">
        <v>15.5171074250232</v>
      </c>
      <c r="T371">
        <v>43.487010209379903</v>
      </c>
      <c r="U371">
        <v>0.37396749899743298</v>
      </c>
      <c r="V371">
        <v>48.208792644846802</v>
      </c>
    </row>
    <row r="372" spans="1:22" x14ac:dyDescent="0.25">
      <c r="A372" t="str">
        <f t="shared" si="5"/>
        <v>Congo, Rep.2011</v>
      </c>
      <c r="B372" t="s">
        <v>65</v>
      </c>
      <c r="C372" t="s">
        <v>66</v>
      </c>
      <c r="D372">
        <v>2011</v>
      </c>
      <c r="E372">
        <v>3396.1650581795202</v>
      </c>
      <c r="F372">
        <v>2.20591936286718</v>
      </c>
      <c r="G372">
        <v>1.75958704273803</v>
      </c>
      <c r="H372">
        <v>10</v>
      </c>
      <c r="I372">
        <v>2.7164858460072701</v>
      </c>
      <c r="J372">
        <v>19.434999999999999</v>
      </c>
      <c r="K372">
        <v>10.1766500054625</v>
      </c>
      <c r="L372">
        <v>38.747296192544503</v>
      </c>
      <c r="M372">
        <v>10.953325511461999</v>
      </c>
      <c r="N372">
        <v>76.541585300140497</v>
      </c>
      <c r="O372">
        <v>36.8419012310002</v>
      </c>
      <c r="P372">
        <v>7.0360887226884401</v>
      </c>
      <c r="Q372">
        <v>50.089826227891699</v>
      </c>
      <c r="R372">
        <v>73.611732739389495</v>
      </c>
      <c r="S372">
        <v>16.065095031463901</v>
      </c>
      <c r="T372">
        <v>34.389938001294297</v>
      </c>
      <c r="U372">
        <v>0.48781029827623401</v>
      </c>
      <c r="V372">
        <v>50.3906844130832</v>
      </c>
    </row>
    <row r="373" spans="1:22" x14ac:dyDescent="0.25">
      <c r="A373" t="str">
        <f t="shared" si="5"/>
        <v>Congo, Rep.2012</v>
      </c>
      <c r="B373" t="s">
        <v>65</v>
      </c>
      <c r="C373" t="s">
        <v>66</v>
      </c>
      <c r="D373">
        <v>2012</v>
      </c>
      <c r="E373">
        <v>3732.3273732038901</v>
      </c>
      <c r="F373">
        <v>9.9471531425756403</v>
      </c>
      <c r="G373">
        <v>5.0101877313447103</v>
      </c>
      <c r="H373">
        <v>10</v>
      </c>
      <c r="I373">
        <v>2.6924975477011701</v>
      </c>
      <c r="J373">
        <v>19.491</v>
      </c>
      <c r="K373">
        <v>11.654666988832799</v>
      </c>
      <c r="L373">
        <v>32.829085596001804</v>
      </c>
      <c r="M373">
        <v>11.3640902368718</v>
      </c>
      <c r="N373">
        <v>77.455522422029901</v>
      </c>
      <c r="O373">
        <v>43.816828270027102</v>
      </c>
      <c r="P373">
        <v>8.3301426095278899</v>
      </c>
      <c r="Q373">
        <v>57.501725850052502</v>
      </c>
      <c r="R373">
        <v>58.0820278199554</v>
      </c>
      <c r="S373">
        <v>7.23599584628783</v>
      </c>
      <c r="T373">
        <v>30.1975808796299</v>
      </c>
      <c r="U373">
        <v>4.5347808011705799E-2</v>
      </c>
      <c r="V373">
        <v>41.910523424619697</v>
      </c>
    </row>
    <row r="374" spans="1:22" x14ac:dyDescent="0.25">
      <c r="A374" t="str">
        <f t="shared" si="5"/>
        <v>Congo, Rep.2013</v>
      </c>
      <c r="B374" t="s">
        <v>65</v>
      </c>
      <c r="C374" t="s">
        <v>66</v>
      </c>
      <c r="D374">
        <v>2013</v>
      </c>
      <c r="E374">
        <v>3697.41705884249</v>
      </c>
      <c r="F374">
        <v>-0.71243445187644705</v>
      </c>
      <c r="G374">
        <v>4.6316161972946102</v>
      </c>
      <c r="H374">
        <v>10</v>
      </c>
      <c r="I374">
        <v>2.67643299014494</v>
      </c>
      <c r="J374">
        <v>19.844999999999999</v>
      </c>
      <c r="K374">
        <v>10.8769536250591</v>
      </c>
      <c r="L374">
        <v>34.910242548790499</v>
      </c>
      <c r="M374">
        <v>-1.10456218926858</v>
      </c>
      <c r="N374">
        <v>78.605471607015701</v>
      </c>
      <c r="O374">
        <v>47.064482380002197</v>
      </c>
      <c r="P374">
        <v>8.1656615772191898</v>
      </c>
      <c r="Q374">
        <v>57.850180121683202</v>
      </c>
      <c r="R374">
        <v>52.934340584028199</v>
      </c>
      <c r="S374">
        <v>-2.8492737044723699</v>
      </c>
      <c r="T374">
        <v>33.936933094216798</v>
      </c>
      <c r="U374">
        <v>-0.56976709353916799</v>
      </c>
      <c r="V374">
        <v>30.121335626043301</v>
      </c>
    </row>
    <row r="375" spans="1:22" x14ac:dyDescent="0.25">
      <c r="A375" t="str">
        <f t="shared" si="5"/>
        <v>Congo, Rep.2014</v>
      </c>
      <c r="B375" t="s">
        <v>65</v>
      </c>
      <c r="C375" t="s">
        <v>66</v>
      </c>
      <c r="D375">
        <v>2014</v>
      </c>
      <c r="E375">
        <v>3601.2365808718</v>
      </c>
      <c r="F375">
        <v>6.6460654092844704</v>
      </c>
      <c r="G375">
        <v>0.91213954545009701</v>
      </c>
      <c r="H375">
        <v>10</v>
      </c>
      <c r="I375">
        <v>2.6646341953584098</v>
      </c>
      <c r="J375">
        <v>19.696000000000002</v>
      </c>
      <c r="K375">
        <v>12.764755103563999</v>
      </c>
      <c r="L375">
        <v>31.6545368473144</v>
      </c>
      <c r="M375">
        <v>-6.4645633129211904</v>
      </c>
      <c r="N375">
        <v>79.598413172215402</v>
      </c>
      <c r="O375">
        <v>52.844617245090099</v>
      </c>
      <c r="P375">
        <v>6.6186558931361503</v>
      </c>
      <c r="Q375">
        <v>56.638173583188099</v>
      </c>
      <c r="R375">
        <v>53.1336383710482</v>
      </c>
      <c r="S375">
        <v>-10.7322065828732</v>
      </c>
      <c r="T375">
        <v>42.322970444284501</v>
      </c>
      <c r="U375">
        <v>-0.98280044293087698</v>
      </c>
      <c r="V375">
        <v>22.205208556487701</v>
      </c>
    </row>
    <row r="376" spans="1:22" x14ac:dyDescent="0.25">
      <c r="A376" t="str">
        <f t="shared" si="5"/>
        <v>Congo, Rep.2015</v>
      </c>
      <c r="B376" t="s">
        <v>65</v>
      </c>
      <c r="C376" t="s">
        <v>66</v>
      </c>
      <c r="D376">
        <v>2015</v>
      </c>
      <c r="E376">
        <v>2439.3518940369599</v>
      </c>
      <c r="F376">
        <v>0.41519306129376299</v>
      </c>
      <c r="G376">
        <v>3.1690979675082902</v>
      </c>
      <c r="H376">
        <v>10</v>
      </c>
      <c r="I376">
        <v>2.6610957884823998</v>
      </c>
      <c r="J376">
        <v>20.02</v>
      </c>
      <c r="K376">
        <v>14.8958714742342</v>
      </c>
      <c r="L376">
        <v>19.945714923140699</v>
      </c>
      <c r="M376">
        <v>-17.253987544945801</v>
      </c>
      <c r="N376">
        <v>80.400871006339301</v>
      </c>
      <c r="O376">
        <v>76.782324678068505</v>
      </c>
      <c r="P376">
        <v>2.76745313851707</v>
      </c>
      <c r="Q376">
        <v>39.543491727729098</v>
      </c>
      <c r="R376">
        <v>40.857048793450197</v>
      </c>
      <c r="S376">
        <v>-17.805147850017601</v>
      </c>
      <c r="T376">
        <v>74.184097099622704</v>
      </c>
      <c r="U376">
        <v>-2.0885869829956101</v>
      </c>
      <c r="V376">
        <v>1.0118914167257</v>
      </c>
    </row>
    <row r="377" spans="1:22" x14ac:dyDescent="0.25">
      <c r="A377" t="str">
        <f t="shared" si="5"/>
        <v>Congo, Rep.2016</v>
      </c>
      <c r="B377" t="s">
        <v>65</v>
      </c>
      <c r="C377" t="s">
        <v>66</v>
      </c>
      <c r="D377">
        <v>2016</v>
      </c>
      <c r="E377">
        <v>2093.1072855884299</v>
      </c>
      <c r="F377">
        <v>-8.6852434391378601</v>
      </c>
      <c r="G377">
        <v>3.1905617972377298</v>
      </c>
      <c r="H377">
        <v>10</v>
      </c>
      <c r="I377">
        <v>2.6678514039922399</v>
      </c>
      <c r="J377">
        <v>20.297999999999998</v>
      </c>
      <c r="K377">
        <v>17.151274400945798</v>
      </c>
      <c r="L377">
        <v>19.485290814322799</v>
      </c>
      <c r="M377">
        <v>-3.5024872890262899</v>
      </c>
      <c r="N377">
        <v>80.900411781495293</v>
      </c>
      <c r="O377">
        <v>71.266855758204997</v>
      </c>
      <c r="P377">
        <v>1.11391426492275</v>
      </c>
      <c r="Q377">
        <v>24.869539787774201</v>
      </c>
      <c r="R377">
        <v>42.068526050080997</v>
      </c>
      <c r="S377">
        <v>-14.5422526763455</v>
      </c>
      <c r="T377">
        <v>84.453331741026005</v>
      </c>
      <c r="U377">
        <v>-2.1413836217305202</v>
      </c>
      <c r="V377">
        <v>0</v>
      </c>
    </row>
    <row r="378" spans="1:22" x14ac:dyDescent="0.25">
      <c r="A378" t="str">
        <f t="shared" si="5"/>
        <v>Congo, Rep.2017</v>
      </c>
      <c r="B378" t="s">
        <v>65</v>
      </c>
      <c r="C378" t="s">
        <v>66</v>
      </c>
      <c r="D378">
        <v>2017</v>
      </c>
      <c r="E378">
        <v>2211.6330987479701</v>
      </c>
      <c r="F378">
        <v>-5.5947737191554703</v>
      </c>
      <c r="G378">
        <v>0.45006382328554601</v>
      </c>
      <c r="H378">
        <v>10</v>
      </c>
      <c r="I378">
        <v>2.6820165385569199</v>
      </c>
      <c r="J378">
        <v>20.736999999999998</v>
      </c>
      <c r="K378">
        <v>16.039661641592701</v>
      </c>
      <c r="L378">
        <v>16.3081736484861</v>
      </c>
      <c r="M378">
        <v>12.365676852804199</v>
      </c>
      <c r="N378">
        <v>81.061040555762503</v>
      </c>
      <c r="O378">
        <v>45.894486225360502</v>
      </c>
      <c r="P378">
        <v>5.2593064932629998</v>
      </c>
      <c r="Q378">
        <v>44.816658977810398</v>
      </c>
      <c r="R378">
        <v>47.962731658839402</v>
      </c>
      <c r="S378">
        <v>-5.5709961066885301</v>
      </c>
      <c r="T378">
        <v>88.478872624527497</v>
      </c>
      <c r="U378">
        <v>-1.28911587526588</v>
      </c>
      <c r="V378">
        <v>16.334418971818799</v>
      </c>
    </row>
    <row r="379" spans="1:22" x14ac:dyDescent="0.25">
      <c r="A379" t="str">
        <f t="shared" si="5"/>
        <v>Congo, Rep.2018</v>
      </c>
      <c r="B379" t="s">
        <v>65</v>
      </c>
      <c r="C379" t="s">
        <v>66</v>
      </c>
      <c r="D379">
        <v>2018</v>
      </c>
      <c r="E379">
        <v>2694.43413191427</v>
      </c>
      <c r="F379">
        <v>-2.3043178012584198</v>
      </c>
      <c r="G379">
        <v>1.1527789637552299</v>
      </c>
      <c r="H379">
        <v>10</v>
      </c>
      <c r="I379">
        <v>2.70147386942977</v>
      </c>
      <c r="J379">
        <v>20.84</v>
      </c>
      <c r="K379">
        <v>16.4220244342388</v>
      </c>
      <c r="L379">
        <v>23.031057525002399</v>
      </c>
      <c r="M379">
        <v>22.234441292158401</v>
      </c>
      <c r="N379">
        <v>81.004658219524202</v>
      </c>
      <c r="O379">
        <v>29.5270088622039</v>
      </c>
      <c r="P379">
        <v>5.2593064932629998</v>
      </c>
      <c r="Q379">
        <v>44.816658977810398</v>
      </c>
      <c r="R379">
        <v>62.210592295054802</v>
      </c>
      <c r="S379">
        <v>5.2218739822333902</v>
      </c>
      <c r="T379">
        <v>71.223091997962598</v>
      </c>
      <c r="U379">
        <v>-0.40691523073005398</v>
      </c>
      <c r="V379">
        <v>33.242526787506101</v>
      </c>
    </row>
    <row r="380" spans="1:22" x14ac:dyDescent="0.25">
      <c r="A380" t="str">
        <f t="shared" si="5"/>
        <v>Congo, Rep.2019</v>
      </c>
      <c r="B380" t="s">
        <v>65</v>
      </c>
      <c r="C380" t="s">
        <v>66</v>
      </c>
      <c r="D380">
        <v>2019</v>
      </c>
      <c r="E380">
        <v>2488.4246672491599</v>
      </c>
      <c r="F380">
        <v>1.12447391976529</v>
      </c>
      <c r="G380">
        <v>2.2060730578152499</v>
      </c>
      <c r="H380">
        <v>10</v>
      </c>
      <c r="I380">
        <v>2.7277505265138799</v>
      </c>
      <c r="J380">
        <v>20.494</v>
      </c>
      <c r="K380">
        <v>16.227108172189599</v>
      </c>
      <c r="L380">
        <v>23.638146136384801</v>
      </c>
      <c r="M380">
        <v>-1.31736650195613</v>
      </c>
      <c r="N380">
        <v>80.733344788728402</v>
      </c>
      <c r="O380">
        <v>25.900096543366502</v>
      </c>
      <c r="P380">
        <v>1.84721342330911</v>
      </c>
      <c r="Q380">
        <v>37.579401606684698</v>
      </c>
      <c r="R380">
        <v>56.1988143702835</v>
      </c>
      <c r="S380">
        <v>4.3038323580881501</v>
      </c>
      <c r="T380">
        <v>77.604700162749793</v>
      </c>
      <c r="U380">
        <v>-0.49865881717914801</v>
      </c>
      <c r="V380">
        <v>31.4841847814251</v>
      </c>
    </row>
    <row r="381" spans="1:22" x14ac:dyDescent="0.25">
      <c r="A381" t="str">
        <f t="shared" si="5"/>
        <v>Congo, Rep.2020</v>
      </c>
      <c r="B381" t="s">
        <v>65</v>
      </c>
      <c r="C381" t="s">
        <v>66</v>
      </c>
      <c r="D381">
        <v>2020</v>
      </c>
      <c r="E381">
        <v>1993.586671931</v>
      </c>
      <c r="F381">
        <v>-6.2677722796322497</v>
      </c>
      <c r="G381">
        <v>1.79537147083107</v>
      </c>
      <c r="H381">
        <v>10</v>
      </c>
      <c r="I381">
        <v>2.7591740043375501</v>
      </c>
      <c r="J381">
        <v>22.286000000000001</v>
      </c>
      <c r="K381">
        <v>17.795001375625301</v>
      </c>
      <c r="L381">
        <v>18.744871434959901</v>
      </c>
      <c r="M381">
        <v>-13.999567895000901</v>
      </c>
      <c r="N381">
        <v>80.262585622340495</v>
      </c>
      <c r="O381">
        <v>23.731567032498301</v>
      </c>
      <c r="P381">
        <v>4.0632512863427799</v>
      </c>
      <c r="Q381">
        <v>36.292995109610203</v>
      </c>
      <c r="R381">
        <v>40.719043279298802</v>
      </c>
      <c r="S381">
        <v>-1.10488544181339</v>
      </c>
      <c r="T381">
        <v>102.513645229397</v>
      </c>
      <c r="U381">
        <v>-1.0042307171885101</v>
      </c>
      <c r="V381">
        <v>21.794479557464399</v>
      </c>
    </row>
    <row r="382" spans="1:22" x14ac:dyDescent="0.25">
      <c r="A382" t="str">
        <f t="shared" si="5"/>
        <v>Congo, Rep.2021</v>
      </c>
      <c r="B382" t="s">
        <v>65</v>
      </c>
      <c r="C382" t="s">
        <v>66</v>
      </c>
      <c r="D382">
        <v>2021</v>
      </c>
      <c r="E382">
        <v>2516.1625514543198</v>
      </c>
      <c r="F382">
        <v>1.01507036990908</v>
      </c>
      <c r="G382">
        <v>1.7156427545126001</v>
      </c>
      <c r="H382">
        <v>10</v>
      </c>
      <c r="I382">
        <v>2.7975624653884599</v>
      </c>
      <c r="J382">
        <v>21.998000000000001</v>
      </c>
      <c r="K382">
        <v>16.132138958121001</v>
      </c>
      <c r="L382">
        <v>20.051413679016701</v>
      </c>
      <c r="M382">
        <v>23.2907180099124</v>
      </c>
      <c r="N382">
        <v>79.6660972740506</v>
      </c>
      <c r="O382">
        <v>21.976901463272199</v>
      </c>
      <c r="P382">
        <v>1.60424664602081</v>
      </c>
      <c r="Q382">
        <v>31.6560276354911</v>
      </c>
      <c r="R382">
        <v>52.836570858623297</v>
      </c>
      <c r="S382">
        <v>1.62939487752172</v>
      </c>
      <c r="T382">
        <v>97.764421307980001</v>
      </c>
      <c r="U382">
        <v>-0.75987256460024899</v>
      </c>
      <c r="V382">
        <v>26.4778064346268</v>
      </c>
    </row>
    <row r="383" spans="1:22" x14ac:dyDescent="0.25">
      <c r="A383" t="str">
        <f t="shared" si="5"/>
        <v>Congo, Rep.2022</v>
      </c>
      <c r="B383" t="s">
        <v>65</v>
      </c>
      <c r="C383" t="s">
        <v>66</v>
      </c>
      <c r="D383">
        <v>2022</v>
      </c>
      <c r="E383">
        <v>2620.83804267402</v>
      </c>
      <c r="F383">
        <v>1.47535613247133</v>
      </c>
      <c r="G383">
        <v>3.0434433469847701</v>
      </c>
      <c r="H383">
        <v>10</v>
      </c>
      <c r="I383">
        <v>2.8498597538667099</v>
      </c>
      <c r="J383">
        <v>20.131</v>
      </c>
      <c r="K383">
        <v>15.4677665579134</v>
      </c>
      <c r="L383">
        <v>23.3346018306936</v>
      </c>
      <c r="M383">
        <v>18.260898780846599</v>
      </c>
      <c r="N383">
        <v>78.910983018127396</v>
      </c>
      <c r="O383">
        <v>20.979206825524301</v>
      </c>
      <c r="P383">
        <v>5.2593064932629998</v>
      </c>
      <c r="Q383">
        <v>44.816658977810398</v>
      </c>
      <c r="R383">
        <v>63.8121468562925</v>
      </c>
      <c r="S383">
        <v>8.9441223398432506</v>
      </c>
      <c r="T383">
        <v>93.515417712574902</v>
      </c>
      <c r="U383">
        <v>-0.13389968605177099</v>
      </c>
      <c r="V383">
        <v>38.475096377395502</v>
      </c>
    </row>
    <row r="384" spans="1:22" x14ac:dyDescent="0.25">
      <c r="A384" t="str">
        <f t="shared" si="5"/>
        <v>Congo, Rep.2023</v>
      </c>
      <c r="B384" t="s">
        <v>65</v>
      </c>
      <c r="C384" t="s">
        <v>66</v>
      </c>
      <c r="D384">
        <v>2023</v>
      </c>
      <c r="E384">
        <v>2477.97845544866</v>
      </c>
      <c r="F384">
        <v>1.9068642634675399</v>
      </c>
      <c r="G384">
        <v>4.3017456359101596</v>
      </c>
      <c r="H384">
        <v>10</v>
      </c>
      <c r="I384">
        <v>2.9146102507162901</v>
      </c>
      <c r="J384">
        <v>19.919</v>
      </c>
      <c r="K384">
        <v>15.4677665579134</v>
      </c>
      <c r="L384">
        <v>23.3346018306936</v>
      </c>
      <c r="M384">
        <v>-7.56770228699291</v>
      </c>
      <c r="N384">
        <v>77.930585348699196</v>
      </c>
      <c r="O384">
        <v>25.210955992006699</v>
      </c>
      <c r="P384">
        <v>5.2593064932629998</v>
      </c>
      <c r="Q384">
        <v>44.816658977810398</v>
      </c>
      <c r="R384">
        <v>56.895927803385902</v>
      </c>
      <c r="S384">
        <v>5.8053409532520304</v>
      </c>
      <c r="T384">
        <v>102.908636914906</v>
      </c>
      <c r="U384">
        <v>-0.35653785083517098</v>
      </c>
      <c r="V384">
        <v>34.208051099929001</v>
      </c>
    </row>
    <row r="385" spans="1:22" x14ac:dyDescent="0.25">
      <c r="A385" t="str">
        <f t="shared" si="5"/>
        <v>Congo, Rep.2024</v>
      </c>
      <c r="B385" t="s">
        <v>65</v>
      </c>
      <c r="C385" t="s">
        <v>66</v>
      </c>
      <c r="D385">
        <v>2024</v>
      </c>
      <c r="E385">
        <v>2482.2489948456</v>
      </c>
      <c r="F385">
        <v>2.5796694392172101</v>
      </c>
      <c r="G385">
        <v>3.0914363091916601</v>
      </c>
      <c r="H385">
        <v>10</v>
      </c>
      <c r="I385">
        <v>2.98559394254915</v>
      </c>
      <c r="J385">
        <v>19.895</v>
      </c>
      <c r="K385">
        <v>15.4677665579134</v>
      </c>
      <c r="L385">
        <v>23.3346018306936</v>
      </c>
      <c r="M385">
        <v>-1.3484639060166601E-2</v>
      </c>
      <c r="N385">
        <v>76.776484814379401</v>
      </c>
      <c r="O385">
        <v>26.8446298603412</v>
      </c>
      <c r="P385">
        <v>5.2593064932629998</v>
      </c>
      <c r="Q385">
        <v>44.816658977810398</v>
      </c>
      <c r="R385">
        <v>52.779643053058102</v>
      </c>
      <c r="S385">
        <v>3.6154025813681301</v>
      </c>
      <c r="T385">
        <v>98.028355089226906</v>
      </c>
      <c r="U385">
        <v>-0.45528073965298999</v>
      </c>
      <c r="V385">
        <v>32.315561652653102</v>
      </c>
    </row>
    <row r="386" spans="1:22" x14ac:dyDescent="0.25">
      <c r="A386" t="str">
        <f t="shared" si="5"/>
        <v>Congo, Rep.2025</v>
      </c>
      <c r="B386" t="s">
        <v>65</v>
      </c>
      <c r="C386" t="s">
        <v>66</v>
      </c>
      <c r="D386">
        <v>2025</v>
      </c>
      <c r="E386">
        <v>2516.1625514543198</v>
      </c>
      <c r="F386">
        <v>1.12447391976529</v>
      </c>
      <c r="G386">
        <v>2.2060730578152499</v>
      </c>
      <c r="H386">
        <v>10</v>
      </c>
      <c r="I386">
        <v>2.7164858460072701</v>
      </c>
      <c r="J386">
        <v>19.876000000000001</v>
      </c>
      <c r="K386">
        <v>15.4677665579134</v>
      </c>
      <c r="L386">
        <v>23.3346018306936</v>
      </c>
      <c r="M386">
        <v>-1.3484639060166601E-2</v>
      </c>
      <c r="N386">
        <v>79.598413172215402</v>
      </c>
      <c r="O386">
        <v>36.8419012310002</v>
      </c>
      <c r="P386">
        <v>5.2593064932629998</v>
      </c>
      <c r="Q386">
        <v>44.816658977810398</v>
      </c>
      <c r="R386">
        <v>53.1336383710482</v>
      </c>
      <c r="S386">
        <v>0.27951155422523699</v>
      </c>
      <c r="T386">
        <v>96.840368232815507</v>
      </c>
      <c r="U386">
        <v>-0.744162017431237</v>
      </c>
      <c r="V386">
        <v>26.7789121150889</v>
      </c>
    </row>
    <row r="387" spans="1:22" x14ac:dyDescent="0.25">
      <c r="A387" t="str">
        <f t="shared" si="5"/>
        <v>Costa Rica2010</v>
      </c>
      <c r="B387" t="s">
        <v>67</v>
      </c>
      <c r="C387" t="s">
        <v>68</v>
      </c>
      <c r="D387">
        <v>2010</v>
      </c>
      <c r="E387">
        <v>8265.7882027558207</v>
      </c>
      <c r="F387">
        <v>5.3603435263411097</v>
      </c>
      <c r="G387">
        <v>5.6627570842002104</v>
      </c>
      <c r="H387">
        <v>11</v>
      </c>
      <c r="I387">
        <v>7.3701339036629401</v>
      </c>
      <c r="J387">
        <v>7.1710000000000003</v>
      </c>
      <c r="K387">
        <v>25.613628333695399</v>
      </c>
      <c r="L387">
        <v>22.867583198054401</v>
      </c>
      <c r="M387">
        <v>6.6288448617527003</v>
      </c>
      <c r="N387">
        <v>47.538107312523699</v>
      </c>
      <c r="O387">
        <v>19.833918521121699</v>
      </c>
      <c r="P387">
        <v>3.8593640859773499</v>
      </c>
      <c r="Q387">
        <v>15.8017129039533</v>
      </c>
      <c r="R387">
        <v>32.829411346727298</v>
      </c>
      <c r="S387">
        <v>-4.9563048573758399</v>
      </c>
      <c r="T387">
        <v>28.089771999822801</v>
      </c>
      <c r="U387">
        <v>-0.128933787997074</v>
      </c>
      <c r="V387">
        <v>38.570271936641099</v>
      </c>
    </row>
    <row r="388" spans="1:22" x14ac:dyDescent="0.25">
      <c r="A388" t="str">
        <f t="shared" ref="A388:A451" si="6">C388&amp;D388</f>
        <v>Costa Rica2011</v>
      </c>
      <c r="B388" t="s">
        <v>67</v>
      </c>
      <c r="C388" t="s">
        <v>68</v>
      </c>
      <c r="D388">
        <v>2011</v>
      </c>
      <c r="E388">
        <v>9276.3910751134699</v>
      </c>
      <c r="F388">
        <v>4.4031592397043102</v>
      </c>
      <c r="G388">
        <v>4.8779983097070199</v>
      </c>
      <c r="H388">
        <v>13</v>
      </c>
      <c r="I388">
        <v>7.6126835831146202</v>
      </c>
      <c r="J388">
        <v>9.5180000000000007</v>
      </c>
      <c r="K388">
        <v>25.378520708322199</v>
      </c>
      <c r="L388">
        <v>23.297663607355901</v>
      </c>
      <c r="M388">
        <v>4.5932251410207003</v>
      </c>
      <c r="N388">
        <v>46.959674215969002</v>
      </c>
      <c r="O388">
        <v>20.048179597515599</v>
      </c>
      <c r="P388">
        <v>3.3587093311392699</v>
      </c>
      <c r="Q388">
        <v>13.799046133675899</v>
      </c>
      <c r="R388">
        <v>32.472470877044401</v>
      </c>
      <c r="S388">
        <v>-3.90969056360409</v>
      </c>
      <c r="T388">
        <v>29.513101594772699</v>
      </c>
      <c r="U388">
        <v>-4.0414157895977298E-2</v>
      </c>
      <c r="V388">
        <v>40.266824142564197</v>
      </c>
    </row>
    <row r="389" spans="1:22" x14ac:dyDescent="0.25">
      <c r="A389" t="str">
        <f t="shared" si="6"/>
        <v>Costa Rica2012</v>
      </c>
      <c r="B389" t="s">
        <v>67</v>
      </c>
      <c r="C389" t="s">
        <v>68</v>
      </c>
      <c r="D389">
        <v>2012</v>
      </c>
      <c r="E389">
        <v>10126.9991024177</v>
      </c>
      <c r="F389">
        <v>4.8825924102573897</v>
      </c>
      <c r="G389">
        <v>4.4954531435460501</v>
      </c>
      <c r="H389">
        <v>13</v>
      </c>
      <c r="I389">
        <v>7.8715744982212996</v>
      </c>
      <c r="J389">
        <v>9.11</v>
      </c>
      <c r="K389">
        <v>25.944683161807198</v>
      </c>
      <c r="L389">
        <v>23.3615138350075</v>
      </c>
      <c r="M389">
        <v>4.7336329722233197</v>
      </c>
      <c r="N389">
        <v>46.5299034880831</v>
      </c>
      <c r="O389">
        <v>19.8541955079701</v>
      </c>
      <c r="P389">
        <v>4.50750813990794</v>
      </c>
      <c r="Q389">
        <v>13.8379894188873</v>
      </c>
      <c r="R389">
        <v>31.651317335696302</v>
      </c>
      <c r="S389">
        <v>-4.2152759679874201</v>
      </c>
      <c r="T389">
        <v>33.741213374428199</v>
      </c>
      <c r="U389">
        <v>-1.9671737518572499E-2</v>
      </c>
      <c r="V389">
        <v>40.664369850869598</v>
      </c>
    </row>
    <row r="390" spans="1:22" x14ac:dyDescent="0.25">
      <c r="A390" t="str">
        <f t="shared" si="6"/>
        <v>Costa Rica2013</v>
      </c>
      <c r="B390" t="s">
        <v>67</v>
      </c>
      <c r="C390" t="s">
        <v>68</v>
      </c>
      <c r="D390">
        <v>2013</v>
      </c>
      <c r="E390">
        <v>10803.240196217301</v>
      </c>
      <c r="F390">
        <v>2.4947661120995401</v>
      </c>
      <c r="G390">
        <v>5.2313361417442801</v>
      </c>
      <c r="H390">
        <v>13</v>
      </c>
      <c r="I390">
        <v>8.15266148404619</v>
      </c>
      <c r="J390">
        <v>8.218</v>
      </c>
      <c r="K390">
        <v>26.517739577448801</v>
      </c>
      <c r="L390">
        <v>23.588693496940301</v>
      </c>
      <c r="M390">
        <v>4.5902116748114397</v>
      </c>
      <c r="N390">
        <v>46.147810484758203</v>
      </c>
      <c r="O390">
        <v>19.590460162000799</v>
      </c>
      <c r="P390">
        <v>4.6583555426227798</v>
      </c>
      <c r="Q390">
        <v>13.834531958830301</v>
      </c>
      <c r="R390">
        <v>30.591649361252401</v>
      </c>
      <c r="S390">
        <v>-5.2462600939078303</v>
      </c>
      <c r="T390">
        <v>35.076223433250703</v>
      </c>
      <c r="U390">
        <v>-5.3556250183907403E-2</v>
      </c>
      <c r="V390">
        <v>40.014945032404498</v>
      </c>
    </row>
    <row r="391" spans="1:22" x14ac:dyDescent="0.25">
      <c r="A391" t="str">
        <f t="shared" si="6"/>
        <v>Costa Rica2014</v>
      </c>
      <c r="B391" t="s">
        <v>67</v>
      </c>
      <c r="C391" t="s">
        <v>68</v>
      </c>
      <c r="D391">
        <v>2014</v>
      </c>
      <c r="E391">
        <v>10911.497878333999</v>
      </c>
      <c r="F391">
        <v>3.5421098776597701</v>
      </c>
      <c r="G391">
        <v>4.5192009851695296</v>
      </c>
      <c r="H391">
        <v>13</v>
      </c>
      <c r="I391">
        <v>8.4512784346268699</v>
      </c>
      <c r="J391">
        <v>8.4990000000000006</v>
      </c>
      <c r="K391">
        <v>26.735858109409399</v>
      </c>
      <c r="L391">
        <v>23.0707492376911</v>
      </c>
      <c r="M391">
        <v>6.2069204200814898</v>
      </c>
      <c r="N391">
        <v>45.805616327619198</v>
      </c>
      <c r="O391">
        <v>19.223153289200699</v>
      </c>
      <c r="P391">
        <v>4.3684446642764296</v>
      </c>
      <c r="Q391">
        <v>13.495780810863801</v>
      </c>
      <c r="R391">
        <v>31.362915283597498</v>
      </c>
      <c r="S391">
        <v>-5.4535863469235197</v>
      </c>
      <c r="T391">
        <v>37.436458306565399</v>
      </c>
      <c r="U391">
        <v>-5.6600895768716401E-2</v>
      </c>
      <c r="V391">
        <v>39.956591871899199</v>
      </c>
    </row>
    <row r="392" spans="1:22" x14ac:dyDescent="0.25">
      <c r="A392" t="str">
        <f t="shared" si="6"/>
        <v>Costa Rica2015</v>
      </c>
      <c r="B392" t="s">
        <v>67</v>
      </c>
      <c r="C392" t="s">
        <v>68</v>
      </c>
      <c r="D392">
        <v>2015</v>
      </c>
      <c r="E392">
        <v>11714.710598073199</v>
      </c>
      <c r="F392">
        <v>3.6520809680288302</v>
      </c>
      <c r="G392">
        <v>0.80198200509962303</v>
      </c>
      <c r="H392">
        <v>13</v>
      </c>
      <c r="I392">
        <v>8.7589690285787505</v>
      </c>
      <c r="J392">
        <v>8.4149999999999991</v>
      </c>
      <c r="K392">
        <v>28.5548940715519</v>
      </c>
      <c r="L392">
        <v>23.457208058344101</v>
      </c>
      <c r="M392">
        <v>3.95521539698855</v>
      </c>
      <c r="N392">
        <v>45.536550900851601</v>
      </c>
      <c r="O392">
        <v>18.8537264424501</v>
      </c>
      <c r="P392">
        <v>4.73758461985227</v>
      </c>
      <c r="Q392">
        <v>14.622545444603301</v>
      </c>
      <c r="R392">
        <v>29.9956578647983</v>
      </c>
      <c r="S392">
        <v>-5.5221998835351496</v>
      </c>
      <c r="T392">
        <v>39.785706371229502</v>
      </c>
      <c r="U392">
        <v>-1.7099895850619301E-2</v>
      </c>
      <c r="V392">
        <v>40.713661331754402</v>
      </c>
    </row>
    <row r="393" spans="1:22" x14ac:dyDescent="0.25">
      <c r="A393" t="str">
        <f t="shared" si="6"/>
        <v>Costa Rica2016</v>
      </c>
      <c r="B393" t="s">
        <v>67</v>
      </c>
      <c r="C393" t="s">
        <v>68</v>
      </c>
      <c r="D393">
        <v>2016</v>
      </c>
      <c r="E393">
        <v>12091.030160615401</v>
      </c>
      <c r="F393">
        <v>4.2043232517589901</v>
      </c>
      <c r="G393">
        <v>-1.7478850590821701E-2</v>
      </c>
      <c r="H393">
        <v>13</v>
      </c>
      <c r="I393">
        <v>9.0748762455702892</v>
      </c>
      <c r="J393">
        <v>8.0850000000000009</v>
      </c>
      <c r="K393">
        <v>27.146733417133099</v>
      </c>
      <c r="L393">
        <v>24.007993460094799</v>
      </c>
      <c r="M393">
        <v>1.95876480203574</v>
      </c>
      <c r="N393">
        <v>45.339315331198797</v>
      </c>
      <c r="O393">
        <v>18.888940977992998</v>
      </c>
      <c r="P393">
        <v>4.3743553009699498</v>
      </c>
      <c r="Q393">
        <v>15.880737054030799</v>
      </c>
      <c r="R393">
        <v>31.2600963003845</v>
      </c>
      <c r="S393">
        <v>-5.0940520522435202</v>
      </c>
      <c r="T393">
        <v>44.055500704616797</v>
      </c>
      <c r="U393">
        <v>2.5196629198477899E-2</v>
      </c>
      <c r="V393">
        <v>41.524309351780801</v>
      </c>
    </row>
    <row r="394" spans="1:22" x14ac:dyDescent="0.25">
      <c r="A394" t="str">
        <f t="shared" si="6"/>
        <v>Costa Rica2017</v>
      </c>
      <c r="B394" t="s">
        <v>67</v>
      </c>
      <c r="C394" t="s">
        <v>68</v>
      </c>
      <c r="D394">
        <v>2017</v>
      </c>
      <c r="E394">
        <v>12317.090277130401</v>
      </c>
      <c r="F394">
        <v>4.1576989627609002</v>
      </c>
      <c r="G394">
        <v>1.6259069299173099</v>
      </c>
      <c r="H394">
        <v>13</v>
      </c>
      <c r="I394">
        <v>9.4000277213705097</v>
      </c>
      <c r="J394">
        <v>7.7290000000000001</v>
      </c>
      <c r="K394">
        <v>25.396728375290099</v>
      </c>
      <c r="L394">
        <v>23.318596661977299</v>
      </c>
      <c r="M394">
        <v>2.8588837280198001</v>
      </c>
      <c r="N394">
        <v>45.261749943011999</v>
      </c>
      <c r="O394">
        <v>18.064874242415701</v>
      </c>
      <c r="P394">
        <v>3.80306697765494</v>
      </c>
      <c r="Q394">
        <v>14.2437090329611</v>
      </c>
      <c r="R394">
        <v>32.762683147986301</v>
      </c>
      <c r="S394">
        <v>-5.8790005832822203</v>
      </c>
      <c r="T394">
        <v>47.063975167870197</v>
      </c>
      <c r="U394">
        <v>-2.6380163920209899E-2</v>
      </c>
      <c r="V394">
        <v>40.535797289088997</v>
      </c>
    </row>
    <row r="395" spans="1:22" x14ac:dyDescent="0.25">
      <c r="A395" t="str">
        <f t="shared" si="6"/>
        <v>Costa Rica2018</v>
      </c>
      <c r="B395" t="s">
        <v>67</v>
      </c>
      <c r="C395" t="s">
        <v>68</v>
      </c>
      <c r="D395">
        <v>2018</v>
      </c>
      <c r="E395">
        <v>12590.249378161399</v>
      </c>
      <c r="F395">
        <v>2.6159044043379001</v>
      </c>
      <c r="G395">
        <v>2.2211146152658001</v>
      </c>
      <c r="H395">
        <v>13</v>
      </c>
      <c r="I395">
        <v>9.7422192585528595</v>
      </c>
      <c r="J395">
        <v>9.01</v>
      </c>
      <c r="K395">
        <v>28.9192248274544</v>
      </c>
      <c r="L395">
        <v>24.316778270178201</v>
      </c>
      <c r="M395">
        <v>2.1924784279376399</v>
      </c>
      <c r="N395">
        <v>45.325680055505998</v>
      </c>
      <c r="O395">
        <v>18.369860566009098</v>
      </c>
      <c r="P395">
        <v>3.68115753123254</v>
      </c>
      <c r="Q395">
        <v>14.383642945827001</v>
      </c>
      <c r="R395">
        <v>33.738510776153603</v>
      </c>
      <c r="S395">
        <v>-5.6469348559472197</v>
      </c>
      <c r="T395">
        <v>51.717157041393598</v>
      </c>
      <c r="U395">
        <v>-2.19698173845034E-2</v>
      </c>
      <c r="V395">
        <v>40.620325242216403</v>
      </c>
    </row>
    <row r="396" spans="1:22" x14ac:dyDescent="0.25">
      <c r="A396" t="str">
        <f t="shared" si="6"/>
        <v>Costa Rica2019</v>
      </c>
      <c r="B396" t="s">
        <v>67</v>
      </c>
      <c r="C396" t="s">
        <v>68</v>
      </c>
      <c r="D396">
        <v>2019</v>
      </c>
      <c r="E396">
        <v>12884.685995198901</v>
      </c>
      <c r="F396">
        <v>2.41751181762513</v>
      </c>
      <c r="G396">
        <v>2.0960463532780702</v>
      </c>
      <c r="H396">
        <v>13</v>
      </c>
      <c r="I396">
        <v>10.105472418687</v>
      </c>
      <c r="J396">
        <v>10.807</v>
      </c>
      <c r="K396">
        <v>29.457124751669799</v>
      </c>
      <c r="L396">
        <v>27.5354175556737</v>
      </c>
      <c r="M396">
        <v>2.5667921174658899</v>
      </c>
      <c r="N396">
        <v>45.422348705756001</v>
      </c>
      <c r="O396">
        <v>16.064085199446399</v>
      </c>
      <c r="P396">
        <v>4.3487464363018304</v>
      </c>
      <c r="Q396">
        <v>13.8909906477968</v>
      </c>
      <c r="R396">
        <v>34.325321559330803</v>
      </c>
      <c r="S396">
        <v>-6.6495592790504903</v>
      </c>
      <c r="T396">
        <v>56.138075661718197</v>
      </c>
      <c r="U396">
        <v>-2.9636776610333398E-2</v>
      </c>
      <c r="V396">
        <v>40.473381603020798</v>
      </c>
    </row>
    <row r="397" spans="1:22" x14ac:dyDescent="0.25">
      <c r="A397" t="str">
        <f t="shared" si="6"/>
        <v>Costa Rica2020</v>
      </c>
      <c r="B397" t="s">
        <v>67</v>
      </c>
      <c r="C397" t="s">
        <v>68</v>
      </c>
      <c r="D397">
        <v>2020</v>
      </c>
      <c r="E397">
        <v>12394.0493969492</v>
      </c>
      <c r="F397">
        <v>-4.2733543216146197</v>
      </c>
      <c r="G397">
        <v>0.72491147813137502</v>
      </c>
      <c r="H397">
        <v>13</v>
      </c>
      <c r="I397">
        <v>10.4850903399069</v>
      </c>
      <c r="J397">
        <v>16.431999999999999</v>
      </c>
      <c r="K397">
        <v>31.889641650974699</v>
      </c>
      <c r="L397">
        <v>27.1843242899476</v>
      </c>
      <c r="M397">
        <v>0.77259324706221799</v>
      </c>
      <c r="N397">
        <v>45.394011787891898</v>
      </c>
      <c r="O397">
        <v>16.163054669034501</v>
      </c>
      <c r="P397">
        <v>4.0364598829564802</v>
      </c>
      <c r="Q397">
        <v>14.8846090228003</v>
      </c>
      <c r="R397">
        <v>31.9064976578059</v>
      </c>
      <c r="S397">
        <v>-8.3247714274811706</v>
      </c>
      <c r="T397">
        <v>66.473679549566796</v>
      </c>
      <c r="U397">
        <v>-0.30359507436142102</v>
      </c>
      <c r="V397">
        <v>35.222743367753203</v>
      </c>
    </row>
    <row r="398" spans="1:22" x14ac:dyDescent="0.25">
      <c r="A398" t="str">
        <f t="shared" si="6"/>
        <v>Costa Rica2021</v>
      </c>
      <c r="B398" t="s">
        <v>67</v>
      </c>
      <c r="C398" t="s">
        <v>68</v>
      </c>
      <c r="D398">
        <v>2021</v>
      </c>
      <c r="E398">
        <v>12838.1185358931</v>
      </c>
      <c r="F398">
        <v>7.9357622474314704</v>
      </c>
      <c r="G398">
        <v>1.72647755109241</v>
      </c>
      <c r="H398">
        <v>13</v>
      </c>
      <c r="I398">
        <v>10.8653726911381</v>
      </c>
      <c r="J398">
        <v>15.138999999999999</v>
      </c>
      <c r="K398">
        <v>30.8245979700277</v>
      </c>
      <c r="L398">
        <v>28.206135524831801</v>
      </c>
      <c r="M398">
        <v>2.3741308258053899</v>
      </c>
      <c r="N398">
        <v>45.269778910973798</v>
      </c>
      <c r="O398">
        <v>18.5817848852788</v>
      </c>
      <c r="P398">
        <v>3.1383250045020699</v>
      </c>
      <c r="Q398">
        <v>14.5296479486579</v>
      </c>
      <c r="R398">
        <v>36.176357026965398</v>
      </c>
      <c r="S398">
        <v>-5.03692256571117</v>
      </c>
      <c r="T398">
        <v>66.980005775852007</v>
      </c>
      <c r="U398">
        <v>-5.0534486753934897E-3</v>
      </c>
      <c r="V398">
        <v>40.944541493649801</v>
      </c>
    </row>
    <row r="399" spans="1:22" x14ac:dyDescent="0.25">
      <c r="A399" t="str">
        <f t="shared" si="6"/>
        <v>Costa Rica2022</v>
      </c>
      <c r="B399" t="s">
        <v>67</v>
      </c>
      <c r="C399" t="s">
        <v>68</v>
      </c>
      <c r="D399">
        <v>2022</v>
      </c>
      <c r="E399">
        <v>13625.9008491328</v>
      </c>
      <c r="F399">
        <v>4.55149177958398</v>
      </c>
      <c r="G399">
        <v>8.2747749023265396</v>
      </c>
      <c r="H399">
        <v>13</v>
      </c>
      <c r="I399">
        <v>11.262062616242799</v>
      </c>
      <c r="J399">
        <v>11.324999999999999</v>
      </c>
      <c r="K399">
        <v>28.7616125185152</v>
      </c>
      <c r="L399">
        <v>28.891425832471398</v>
      </c>
      <c r="M399">
        <v>6.2803851368028099</v>
      </c>
      <c r="N399">
        <v>45.1414780435559</v>
      </c>
      <c r="O399">
        <v>17.697333649620699</v>
      </c>
      <c r="P399">
        <v>3.1480151657131801</v>
      </c>
      <c r="Q399">
        <v>13.7610268756933</v>
      </c>
      <c r="R399">
        <v>42.405196114439399</v>
      </c>
      <c r="S399">
        <v>-2.7357913148147999</v>
      </c>
      <c r="T399">
        <v>61.425674891699799</v>
      </c>
      <c r="U399">
        <v>0.19303696666397599</v>
      </c>
      <c r="V399">
        <v>44.741108771805202</v>
      </c>
    </row>
    <row r="400" spans="1:22" x14ac:dyDescent="0.25">
      <c r="A400" t="str">
        <f t="shared" si="6"/>
        <v>Costa Rica2023</v>
      </c>
      <c r="B400" t="s">
        <v>67</v>
      </c>
      <c r="C400" t="s">
        <v>68</v>
      </c>
      <c r="D400">
        <v>2023</v>
      </c>
      <c r="E400">
        <v>16942.0268119375</v>
      </c>
      <c r="F400">
        <v>5.1119218322459803</v>
      </c>
      <c r="G400">
        <v>0.52519350869345505</v>
      </c>
      <c r="H400">
        <v>13</v>
      </c>
      <c r="I400">
        <v>11.718842653905099</v>
      </c>
      <c r="J400">
        <v>8.3249999999999993</v>
      </c>
      <c r="K400">
        <v>28.908924395310699</v>
      </c>
      <c r="L400">
        <v>29.339040286447901</v>
      </c>
      <c r="M400">
        <v>-8.7922596921004001E-2</v>
      </c>
      <c r="N400">
        <v>45.032253226174802</v>
      </c>
      <c r="O400">
        <v>15.256593722993699</v>
      </c>
      <c r="P400">
        <v>4.2614962821104703</v>
      </c>
      <c r="Q400">
        <v>14.2658322296072</v>
      </c>
      <c r="R400">
        <v>38.915632035149102</v>
      </c>
      <c r="S400">
        <v>-3.2138190807236402</v>
      </c>
      <c r="T400">
        <v>60.410596872866797</v>
      </c>
      <c r="U400">
        <v>0.31483854148097801</v>
      </c>
      <c r="V400">
        <v>47.075537081149697</v>
      </c>
    </row>
    <row r="401" spans="1:22" x14ac:dyDescent="0.25">
      <c r="A401" t="str">
        <f t="shared" si="6"/>
        <v>Costa Rica2024</v>
      </c>
      <c r="B401" t="s">
        <v>67</v>
      </c>
      <c r="C401" t="s">
        <v>68</v>
      </c>
      <c r="D401">
        <v>2024</v>
      </c>
      <c r="E401">
        <v>18587.153220348198</v>
      </c>
      <c r="F401">
        <v>4.32122429646145</v>
      </c>
      <c r="G401">
        <v>-0.41285300104706901</v>
      </c>
      <c r="H401">
        <v>13</v>
      </c>
      <c r="I401">
        <v>12.2251559968888</v>
      </c>
      <c r="J401">
        <v>6.9359999999999999</v>
      </c>
      <c r="K401">
        <v>27.850813744342499</v>
      </c>
      <c r="L401">
        <v>23.798343478517499</v>
      </c>
      <c r="M401">
        <v>4.7106446788376402E-2</v>
      </c>
      <c r="N401">
        <v>44.978853346936503</v>
      </c>
      <c r="O401">
        <v>15.669024509728001</v>
      </c>
      <c r="P401">
        <v>4.2212741761453101</v>
      </c>
      <c r="Q401">
        <v>14.681323336630101</v>
      </c>
      <c r="R401">
        <v>38.531794050914101</v>
      </c>
      <c r="S401">
        <v>-3.72942425260959</v>
      </c>
      <c r="T401">
        <v>58.909924763394997</v>
      </c>
      <c r="U401">
        <v>0.256078369261243</v>
      </c>
      <c r="V401">
        <v>45.949349593854897</v>
      </c>
    </row>
    <row r="402" spans="1:22" x14ac:dyDescent="0.25">
      <c r="A402" t="str">
        <f t="shared" si="6"/>
        <v>Costa Rica2025</v>
      </c>
      <c r="B402" t="s">
        <v>67</v>
      </c>
      <c r="C402" t="s">
        <v>68</v>
      </c>
      <c r="D402">
        <v>2025</v>
      </c>
      <c r="E402">
        <v>12317.090277130401</v>
      </c>
      <c r="F402">
        <v>4.2043232517589901</v>
      </c>
      <c r="G402">
        <v>2.0960463532780702</v>
      </c>
      <c r="H402">
        <v>13</v>
      </c>
      <c r="I402">
        <v>9.4000277213705097</v>
      </c>
      <c r="J402">
        <v>6.843</v>
      </c>
      <c r="K402">
        <v>27.850813744342499</v>
      </c>
      <c r="L402">
        <v>23.798343478517499</v>
      </c>
      <c r="M402">
        <v>2.8588837280198001</v>
      </c>
      <c r="N402">
        <v>45.394011787891898</v>
      </c>
      <c r="O402">
        <v>18.5817848852788</v>
      </c>
      <c r="P402">
        <v>4.2212741761453101</v>
      </c>
      <c r="Q402">
        <v>14.2658322296072</v>
      </c>
      <c r="R402">
        <v>32.762683147986301</v>
      </c>
      <c r="S402">
        <v>-3.3502911217099798</v>
      </c>
      <c r="T402">
        <v>60.411707051417999</v>
      </c>
      <c r="U402">
        <v>9.1329784046592005E-2</v>
      </c>
      <c r="V402">
        <v>42.791806172701698</v>
      </c>
    </row>
    <row r="403" spans="1:22" x14ac:dyDescent="0.25">
      <c r="A403" t="str">
        <f t="shared" si="6"/>
        <v>Croatia2010</v>
      </c>
      <c r="B403" t="s">
        <v>69</v>
      </c>
      <c r="C403" t="s">
        <v>70</v>
      </c>
      <c r="D403">
        <v>2010</v>
      </c>
      <c r="E403">
        <v>13729.765496502199</v>
      </c>
      <c r="F403">
        <v>-1.33604672354973</v>
      </c>
      <c r="G403">
        <v>1.0305550533357399</v>
      </c>
      <c r="H403">
        <v>8</v>
      </c>
      <c r="I403">
        <v>17.877551456931599</v>
      </c>
      <c r="J403">
        <v>11.62</v>
      </c>
      <c r="K403">
        <v>41.149295782753001</v>
      </c>
      <c r="L403">
        <v>34.694464618679802</v>
      </c>
      <c r="M403">
        <v>0.92008598612231696</v>
      </c>
      <c r="N403">
        <v>49.635841031816803</v>
      </c>
      <c r="O403">
        <v>20.3670619597928</v>
      </c>
      <c r="P403">
        <v>6.5527213849083603</v>
      </c>
      <c r="Q403">
        <v>18.1434685019018</v>
      </c>
      <c r="R403">
        <v>35.503387252172601</v>
      </c>
      <c r="S403">
        <v>-6.4510328395783203</v>
      </c>
      <c r="T403">
        <v>56.808649329047597</v>
      </c>
      <c r="U403">
        <v>2.7766991825547901E-4</v>
      </c>
      <c r="V403">
        <v>41.046716807755402</v>
      </c>
    </row>
    <row r="404" spans="1:22" x14ac:dyDescent="0.25">
      <c r="A404" t="str">
        <f t="shared" si="6"/>
        <v>Croatia2011</v>
      </c>
      <c r="B404" t="s">
        <v>69</v>
      </c>
      <c r="C404" t="s">
        <v>70</v>
      </c>
      <c r="D404">
        <v>2011</v>
      </c>
      <c r="E404">
        <v>14691.558296292</v>
      </c>
      <c r="F404">
        <v>-0.110906722446629</v>
      </c>
      <c r="G404">
        <v>2.2727272727273</v>
      </c>
      <c r="H404">
        <v>8</v>
      </c>
      <c r="I404">
        <v>17.9482034299939</v>
      </c>
      <c r="J404">
        <v>13.678000000000001</v>
      </c>
      <c r="K404">
        <v>42.0273650283508</v>
      </c>
      <c r="L404">
        <v>34.479814692067798</v>
      </c>
      <c r="M404">
        <v>1.67018653442798</v>
      </c>
      <c r="N404">
        <v>49.454448329617897</v>
      </c>
      <c r="O404">
        <v>19.000392995427902</v>
      </c>
      <c r="P404">
        <v>6.0459293772203102</v>
      </c>
      <c r="Q404">
        <v>17.207157656919399</v>
      </c>
      <c r="R404">
        <v>38.051831946999897</v>
      </c>
      <c r="S404">
        <v>-7.51317012705299</v>
      </c>
      <c r="T404">
        <v>63.149541812386502</v>
      </c>
      <c r="U404">
        <v>-6.5656190362802805E-2</v>
      </c>
      <c r="V404">
        <v>39.7830396326802</v>
      </c>
    </row>
    <row r="405" spans="1:22" x14ac:dyDescent="0.25">
      <c r="A405" t="str">
        <f t="shared" si="6"/>
        <v>Croatia2012</v>
      </c>
      <c r="B405" t="s">
        <v>69</v>
      </c>
      <c r="C405" t="s">
        <v>70</v>
      </c>
      <c r="D405">
        <v>2012</v>
      </c>
      <c r="E405">
        <v>13507.780526099101</v>
      </c>
      <c r="F405">
        <v>-2.2374336011977101</v>
      </c>
      <c r="G405">
        <v>3.4120734908135799</v>
      </c>
      <c r="H405">
        <v>8</v>
      </c>
      <c r="I405">
        <v>18.200468558155901</v>
      </c>
      <c r="J405">
        <v>16.045999999999999</v>
      </c>
      <c r="K405">
        <v>40.230193228745698</v>
      </c>
      <c r="L405">
        <v>34.7204403544347</v>
      </c>
      <c r="M405">
        <v>1.4115029633194101</v>
      </c>
      <c r="N405">
        <v>49.603602255939798</v>
      </c>
      <c r="O405">
        <v>18.024299780601599</v>
      </c>
      <c r="P405">
        <v>6.7286126315484998</v>
      </c>
      <c r="Q405">
        <v>15.812991517927101</v>
      </c>
      <c r="R405">
        <v>38.703805709704298</v>
      </c>
      <c r="S405">
        <v>-5.45665617395575</v>
      </c>
      <c r="T405">
        <v>68.851829526935006</v>
      </c>
      <c r="U405">
        <v>-6.6682233374652594E-2</v>
      </c>
      <c r="V405">
        <v>39.7633746664672</v>
      </c>
    </row>
    <row r="406" spans="1:22" x14ac:dyDescent="0.25">
      <c r="A406" t="str">
        <f t="shared" si="6"/>
        <v>Croatia2013</v>
      </c>
      <c r="B406" t="s">
        <v>69</v>
      </c>
      <c r="C406" t="s">
        <v>70</v>
      </c>
      <c r="D406">
        <v>2013</v>
      </c>
      <c r="E406">
        <v>14134.947498288901</v>
      </c>
      <c r="F406">
        <v>-0.13364573653060999</v>
      </c>
      <c r="G406">
        <v>2.21658206429779</v>
      </c>
      <c r="H406">
        <v>8</v>
      </c>
      <c r="I406">
        <v>18.476592539949401</v>
      </c>
      <c r="J406">
        <v>17.231000000000002</v>
      </c>
      <c r="K406">
        <v>40.281131419538603</v>
      </c>
      <c r="L406">
        <v>35.2267108038724</v>
      </c>
      <c r="M406">
        <v>0.73756305206727302</v>
      </c>
      <c r="N406">
        <v>49.894073872145199</v>
      </c>
      <c r="O406">
        <v>18.7245951617912</v>
      </c>
      <c r="P406">
        <v>7.8678809886579399</v>
      </c>
      <c r="Q406">
        <v>17.839926792156099</v>
      </c>
      <c r="R406">
        <v>39.469362752381102</v>
      </c>
      <c r="S406">
        <v>-5.5144252108299998</v>
      </c>
      <c r="T406">
        <v>79.490457168220104</v>
      </c>
      <c r="U406">
        <v>-5.7657889338995801E-2</v>
      </c>
      <c r="V406">
        <v>39.936333712536602</v>
      </c>
    </row>
    <row r="407" spans="1:22" x14ac:dyDescent="0.25">
      <c r="A407" t="str">
        <f t="shared" si="6"/>
        <v>Croatia2014</v>
      </c>
      <c r="B407" t="s">
        <v>69</v>
      </c>
      <c r="C407" t="s">
        <v>70</v>
      </c>
      <c r="D407">
        <v>2014</v>
      </c>
      <c r="E407">
        <v>14186.7295493276</v>
      </c>
      <c r="F407">
        <v>-0.55769291361458795</v>
      </c>
      <c r="G407">
        <v>-0.215196159576268</v>
      </c>
      <c r="H407">
        <v>8</v>
      </c>
      <c r="I407">
        <v>18.812239615364799</v>
      </c>
      <c r="J407">
        <v>17.209</v>
      </c>
      <c r="K407">
        <v>42.132155500982797</v>
      </c>
      <c r="L407">
        <v>36.5350542774395</v>
      </c>
      <c r="M407">
        <v>0.12860596499066901</v>
      </c>
      <c r="N407">
        <v>50.404990401009798</v>
      </c>
      <c r="O407">
        <v>18.058510522235999</v>
      </c>
      <c r="P407">
        <v>6.7230019465979201</v>
      </c>
      <c r="Q407">
        <v>18.469724136200099</v>
      </c>
      <c r="R407">
        <v>42.417199799120397</v>
      </c>
      <c r="S407">
        <v>-5.1930106088972101</v>
      </c>
      <c r="T407">
        <v>83.231033253097905</v>
      </c>
      <c r="U407">
        <v>-7.9744154242966901E-3</v>
      </c>
      <c r="V407">
        <v>40.888558740721201</v>
      </c>
    </row>
    <row r="408" spans="1:22" x14ac:dyDescent="0.25">
      <c r="A408" t="str">
        <f t="shared" si="6"/>
        <v>Croatia2015</v>
      </c>
      <c r="B408" t="s">
        <v>69</v>
      </c>
      <c r="C408" t="s">
        <v>70</v>
      </c>
      <c r="D408">
        <v>2015</v>
      </c>
      <c r="E408">
        <v>12283.784062005299</v>
      </c>
      <c r="F408">
        <v>2.31998692708386</v>
      </c>
      <c r="G408">
        <v>-0.46449900464491101</v>
      </c>
      <c r="H408">
        <v>8</v>
      </c>
      <c r="I408">
        <v>19.231123625732401</v>
      </c>
      <c r="J408">
        <v>16.149999999999999</v>
      </c>
      <c r="K408">
        <v>41.539271199754502</v>
      </c>
      <c r="L408">
        <v>37.800393056907197</v>
      </c>
      <c r="M408">
        <v>0.123860190567626</v>
      </c>
      <c r="N408">
        <v>51.180116895606297</v>
      </c>
      <c r="O408">
        <v>19.478853513504198</v>
      </c>
      <c r="P408">
        <v>7.3476931265849101</v>
      </c>
      <c r="Q408">
        <v>22.2443896566073</v>
      </c>
      <c r="R408">
        <v>45.4311091839526</v>
      </c>
      <c r="S408">
        <v>-3.5310881956228499</v>
      </c>
      <c r="T408">
        <v>82.779010573032195</v>
      </c>
      <c r="U408">
        <v>0.15431465105351599</v>
      </c>
      <c r="V408">
        <v>43.998963443222699</v>
      </c>
    </row>
    <row r="409" spans="1:22" x14ac:dyDescent="0.25">
      <c r="A409" t="str">
        <f t="shared" si="6"/>
        <v>Croatia2016</v>
      </c>
      <c r="B409" t="s">
        <v>69</v>
      </c>
      <c r="C409" t="s">
        <v>70</v>
      </c>
      <c r="D409">
        <v>2016</v>
      </c>
      <c r="E409">
        <v>12820.165389300801</v>
      </c>
      <c r="F409">
        <v>3.46646114288178</v>
      </c>
      <c r="G409">
        <v>-1.12500000000002</v>
      </c>
      <c r="H409">
        <v>8</v>
      </c>
      <c r="I409">
        <v>19.658119348179198</v>
      </c>
      <c r="J409">
        <v>13.015000000000001</v>
      </c>
      <c r="K409">
        <v>40.0887872684171</v>
      </c>
      <c r="L409">
        <v>38.608946202044102</v>
      </c>
      <c r="M409">
        <v>1.44609115417182E-2</v>
      </c>
      <c r="N409">
        <v>52.059891396026799</v>
      </c>
      <c r="O409">
        <v>19.896846184751901</v>
      </c>
      <c r="P409">
        <v>6.4214620948320897</v>
      </c>
      <c r="Q409">
        <v>22.1820052708884</v>
      </c>
      <c r="R409">
        <v>46.620215186508702</v>
      </c>
      <c r="S409">
        <v>-1.03561367363242</v>
      </c>
      <c r="T409">
        <v>79.261447252238995</v>
      </c>
      <c r="U409">
        <v>0.34857110804548902</v>
      </c>
      <c r="V409">
        <v>47.722049726436502</v>
      </c>
    </row>
    <row r="410" spans="1:22" x14ac:dyDescent="0.25">
      <c r="A410" t="str">
        <f t="shared" si="6"/>
        <v>Croatia2017</v>
      </c>
      <c r="B410" t="s">
        <v>69</v>
      </c>
      <c r="C410" t="s">
        <v>70</v>
      </c>
      <c r="D410">
        <v>2017</v>
      </c>
      <c r="E410">
        <v>13901.7878144679</v>
      </c>
      <c r="F410">
        <v>3.28396321643012</v>
      </c>
      <c r="G410">
        <v>1.12937210282347</v>
      </c>
      <c r="H410">
        <v>8</v>
      </c>
      <c r="I410">
        <v>20.135443224161602</v>
      </c>
      <c r="J410">
        <v>11.077999999999999</v>
      </c>
      <c r="K410">
        <v>39.048313553793598</v>
      </c>
      <c r="L410">
        <v>38.666470644589701</v>
      </c>
      <c r="M410">
        <v>1.2305158778690399</v>
      </c>
      <c r="N410">
        <v>53.153968092157498</v>
      </c>
      <c r="O410">
        <v>20.8394179953997</v>
      </c>
      <c r="P410">
        <v>7.5144692884905604</v>
      </c>
      <c r="Q410">
        <v>24.416685827903201</v>
      </c>
      <c r="R410">
        <v>48.916277443438503</v>
      </c>
      <c r="S410">
        <v>0.80749587807133905</v>
      </c>
      <c r="T410">
        <v>76.174448063698804</v>
      </c>
      <c r="U410">
        <v>0.50841610257331604</v>
      </c>
      <c r="V410">
        <v>50.785611760781201</v>
      </c>
    </row>
    <row r="411" spans="1:22" x14ac:dyDescent="0.25">
      <c r="A411" t="str">
        <f t="shared" si="6"/>
        <v>Croatia2018</v>
      </c>
      <c r="B411" t="s">
        <v>69</v>
      </c>
      <c r="C411" t="s">
        <v>70</v>
      </c>
      <c r="D411">
        <v>2018</v>
      </c>
      <c r="E411">
        <v>15460.366959549099</v>
      </c>
      <c r="F411">
        <v>2.91107593407843</v>
      </c>
      <c r="G411">
        <v>1.5001250104175601</v>
      </c>
      <c r="H411">
        <v>8</v>
      </c>
      <c r="I411">
        <v>20.668280301366401</v>
      </c>
      <c r="J411">
        <v>8.3219999999999992</v>
      </c>
      <c r="K411">
        <v>38.293688385012601</v>
      </c>
      <c r="L411">
        <v>37.877921007607199</v>
      </c>
      <c r="M411">
        <v>2.0251072802093302</v>
      </c>
      <c r="N411">
        <v>54.404174761828997</v>
      </c>
      <c r="O411">
        <v>22.4897435588565</v>
      </c>
      <c r="P411">
        <v>6.8936046630976398</v>
      </c>
      <c r="Q411">
        <v>23.873315459668799</v>
      </c>
      <c r="R411">
        <v>49.111117690530399</v>
      </c>
      <c r="S411">
        <v>0.22080931497405001</v>
      </c>
      <c r="T411">
        <v>72.846965547618595</v>
      </c>
      <c r="U411">
        <v>0.51533717796268996</v>
      </c>
      <c r="V411">
        <v>50.9182599169675</v>
      </c>
    </row>
    <row r="412" spans="1:22" x14ac:dyDescent="0.25">
      <c r="A412" t="str">
        <f t="shared" si="6"/>
        <v>Croatia2019</v>
      </c>
      <c r="B412" t="s">
        <v>69</v>
      </c>
      <c r="C412" t="s">
        <v>70</v>
      </c>
      <c r="D412">
        <v>2019</v>
      </c>
      <c r="E412">
        <v>15563.598729502901</v>
      </c>
      <c r="F412">
        <v>3.10152683894853</v>
      </c>
      <c r="G412">
        <v>0.77182034649801901</v>
      </c>
      <c r="H412">
        <v>8</v>
      </c>
      <c r="I412">
        <v>21.182216394534901</v>
      </c>
      <c r="J412">
        <v>6.5510000000000002</v>
      </c>
      <c r="K412">
        <v>38.468811445042803</v>
      </c>
      <c r="L412">
        <v>39.0773113102886</v>
      </c>
      <c r="M412">
        <v>1.9862161321651399</v>
      </c>
      <c r="N412">
        <v>55.562636827639103</v>
      </c>
      <c r="O412">
        <v>21.966542615685199</v>
      </c>
      <c r="P412">
        <v>7.0832480200682904</v>
      </c>
      <c r="Q412">
        <v>24.663526152986901</v>
      </c>
      <c r="R412">
        <v>50.4918641373337</v>
      </c>
      <c r="S412">
        <v>2.31518749886171</v>
      </c>
      <c r="T412">
        <v>70.881126268053194</v>
      </c>
      <c r="U412">
        <v>0.69136721384667099</v>
      </c>
      <c r="V412">
        <v>54.2920217068285</v>
      </c>
    </row>
    <row r="413" spans="1:22" x14ac:dyDescent="0.25">
      <c r="A413" t="str">
        <f t="shared" si="6"/>
        <v>Croatia2020</v>
      </c>
      <c r="B413" t="s">
        <v>69</v>
      </c>
      <c r="C413" t="s">
        <v>70</v>
      </c>
      <c r="D413">
        <v>2020</v>
      </c>
      <c r="E413">
        <v>14807.560854326501</v>
      </c>
      <c r="F413">
        <v>-8.3108640150118909</v>
      </c>
      <c r="G413">
        <v>0.154811374562106</v>
      </c>
      <c r="H413">
        <v>8</v>
      </c>
      <c r="I413">
        <v>21.6661760190675</v>
      </c>
      <c r="J413">
        <v>7.3890000000000002</v>
      </c>
      <c r="K413">
        <v>44.896721607390099</v>
      </c>
      <c r="L413">
        <v>39.206395581978498</v>
      </c>
      <c r="M413">
        <v>0.79778147091347795</v>
      </c>
      <c r="N413">
        <v>56.5384976854398</v>
      </c>
      <c r="O413">
        <v>23.544366271878602</v>
      </c>
      <c r="P413">
        <v>9.1930285821422899</v>
      </c>
      <c r="Q413">
        <v>22.580937816287999</v>
      </c>
      <c r="R413">
        <v>41.280318113720298</v>
      </c>
      <c r="S413">
        <v>-7.2405163070253202</v>
      </c>
      <c r="T413">
        <v>86.475514829047199</v>
      </c>
      <c r="U413">
        <v>8.5461584196596094E-2</v>
      </c>
      <c r="V413">
        <v>42.6793372503966</v>
      </c>
    </row>
    <row r="414" spans="1:22" x14ac:dyDescent="0.25">
      <c r="A414" t="str">
        <f t="shared" si="6"/>
        <v>Croatia2021</v>
      </c>
      <c r="B414" t="s">
        <v>69</v>
      </c>
      <c r="C414" t="s">
        <v>70</v>
      </c>
      <c r="D414">
        <v>2021</v>
      </c>
      <c r="E414">
        <v>17788.786581665801</v>
      </c>
      <c r="F414">
        <v>12.6322190351024</v>
      </c>
      <c r="G414">
        <v>2.5545069964204101</v>
      </c>
      <c r="H414">
        <v>8</v>
      </c>
      <c r="I414">
        <v>22.1006673274542</v>
      </c>
      <c r="J414">
        <v>7.4829999999999997</v>
      </c>
      <c r="K414">
        <v>40.660858554367699</v>
      </c>
      <c r="L414">
        <v>38.9641708158643</v>
      </c>
      <c r="M414">
        <v>2.0802956968903499</v>
      </c>
      <c r="N414">
        <v>57.432502361093199</v>
      </c>
      <c r="O414">
        <v>21.793052780333898</v>
      </c>
      <c r="P414">
        <v>8.3893720059091805</v>
      </c>
      <c r="Q414">
        <v>22.582909141059599</v>
      </c>
      <c r="R414">
        <v>49.786943223580003</v>
      </c>
      <c r="S414">
        <v>-2.56993006993007</v>
      </c>
      <c r="T414">
        <v>78.204956807897901</v>
      </c>
      <c r="U414">
        <v>0.56853004327871803</v>
      </c>
      <c r="V414">
        <v>51.937745345094797</v>
      </c>
    </row>
    <row r="415" spans="1:22" x14ac:dyDescent="0.25">
      <c r="A415" t="str">
        <f t="shared" si="6"/>
        <v>Croatia2022</v>
      </c>
      <c r="B415" t="s">
        <v>69</v>
      </c>
      <c r="C415" t="s">
        <v>70</v>
      </c>
      <c r="D415">
        <v>2022</v>
      </c>
      <c r="E415">
        <v>18465.5414420364</v>
      </c>
      <c r="F415">
        <v>7.2944534364266804</v>
      </c>
      <c r="G415">
        <v>10.780580675868601</v>
      </c>
      <c r="H415">
        <v>8</v>
      </c>
      <c r="I415">
        <v>22.484705122334699</v>
      </c>
      <c r="J415">
        <v>6.8109999999999999</v>
      </c>
      <c r="K415">
        <v>37.838560911252699</v>
      </c>
      <c r="L415">
        <v>38.257415047466502</v>
      </c>
      <c r="M415">
        <v>8.0099501946329106</v>
      </c>
      <c r="N415">
        <v>58.191890351652802</v>
      </c>
      <c r="O415">
        <v>26.227961526324901</v>
      </c>
      <c r="P415">
        <v>6.9688549417434498</v>
      </c>
      <c r="Q415">
        <v>22.9906936916856</v>
      </c>
      <c r="R415">
        <v>59.512044692742101</v>
      </c>
      <c r="S415">
        <v>0.140651344396131</v>
      </c>
      <c r="T415">
        <v>68.546750672937506</v>
      </c>
      <c r="U415">
        <v>0.63320580282619499</v>
      </c>
      <c r="V415">
        <v>53.177309975049901</v>
      </c>
    </row>
    <row r="416" spans="1:22" x14ac:dyDescent="0.25">
      <c r="A416" t="str">
        <f t="shared" si="6"/>
        <v>Croatia2023</v>
      </c>
      <c r="B416" t="s">
        <v>69</v>
      </c>
      <c r="C416" t="s">
        <v>70</v>
      </c>
      <c r="D416">
        <v>2023</v>
      </c>
      <c r="E416">
        <v>22184.227930484201</v>
      </c>
      <c r="F416">
        <v>3.7616454070345902</v>
      </c>
      <c r="G416">
        <v>7.9412817758683003</v>
      </c>
      <c r="H416">
        <v>8</v>
      </c>
      <c r="I416">
        <v>22.815365461732998</v>
      </c>
      <c r="J416">
        <v>6.1210000000000004</v>
      </c>
      <c r="K416">
        <v>38.125105347254099</v>
      </c>
      <c r="L416">
        <v>35.080295746043397</v>
      </c>
      <c r="M416">
        <v>12.8711445045919</v>
      </c>
      <c r="N416">
        <v>58.614125778084102</v>
      </c>
      <c r="O416">
        <v>24.665931641659</v>
      </c>
      <c r="P416">
        <v>0.72273294656964204</v>
      </c>
      <c r="Q416">
        <v>25.3026815518297</v>
      </c>
      <c r="R416">
        <v>52.567667969997302</v>
      </c>
      <c r="S416">
        <v>-0.78548246555621504</v>
      </c>
      <c r="T416">
        <v>60.9492719764607</v>
      </c>
      <c r="U416">
        <v>0.52708350867454701</v>
      </c>
      <c r="V416">
        <v>51.143388097665401</v>
      </c>
    </row>
    <row r="417" spans="1:22" x14ac:dyDescent="0.25">
      <c r="A417" t="str">
        <f t="shared" si="6"/>
        <v>Croatia2024</v>
      </c>
      <c r="B417" t="s">
        <v>69</v>
      </c>
      <c r="C417" t="s">
        <v>70</v>
      </c>
      <c r="D417">
        <v>2024</v>
      </c>
      <c r="E417">
        <v>24050.439793313501</v>
      </c>
      <c r="F417">
        <v>3.82688702890739</v>
      </c>
      <c r="G417">
        <v>2.9720047764361799</v>
      </c>
      <c r="H417">
        <v>8</v>
      </c>
      <c r="I417">
        <v>23.187771348209498</v>
      </c>
      <c r="J417">
        <v>5</v>
      </c>
      <c r="K417">
        <v>40.255662324142101</v>
      </c>
      <c r="L417">
        <v>37.839157032257198</v>
      </c>
      <c r="M417">
        <v>4.4863508104107304</v>
      </c>
      <c r="N417">
        <v>59.010288247789902</v>
      </c>
      <c r="O417">
        <v>24.409099144064001</v>
      </c>
      <c r="P417">
        <v>0.69340082120255397</v>
      </c>
      <c r="Q417">
        <v>22.303171489702599</v>
      </c>
      <c r="R417">
        <v>50.141089194988901</v>
      </c>
      <c r="S417">
        <v>-1.9470032672732001</v>
      </c>
      <c r="T417">
        <v>57.369430242910703</v>
      </c>
      <c r="U417">
        <v>0.54940276653788001</v>
      </c>
      <c r="V417">
        <v>51.571155205586599</v>
      </c>
    </row>
    <row r="418" spans="1:22" x14ac:dyDescent="0.25">
      <c r="A418" t="str">
        <f t="shared" si="6"/>
        <v>Croatia2025</v>
      </c>
      <c r="B418" t="s">
        <v>69</v>
      </c>
      <c r="C418" t="s">
        <v>70</v>
      </c>
      <c r="D418">
        <v>2025</v>
      </c>
      <c r="E418">
        <v>14691.558296292</v>
      </c>
      <c r="F418">
        <v>2.91107593407843</v>
      </c>
      <c r="G418">
        <v>1.5001250104175601</v>
      </c>
      <c r="H418">
        <v>8</v>
      </c>
      <c r="I418">
        <v>20.135443224161602</v>
      </c>
      <c r="J418">
        <v>5.0019999999999998</v>
      </c>
      <c r="K418">
        <v>40.255662324142101</v>
      </c>
      <c r="L418">
        <v>37.839157032257198</v>
      </c>
      <c r="M418">
        <v>1.4115029633194101</v>
      </c>
      <c r="N418">
        <v>53.153968092157498</v>
      </c>
      <c r="O418">
        <v>20.8394179953997</v>
      </c>
      <c r="P418">
        <v>6.8936046630976398</v>
      </c>
      <c r="Q418">
        <v>22.303171489702599</v>
      </c>
      <c r="R418">
        <v>46.620215186508702</v>
      </c>
      <c r="S418">
        <v>-2.8935678393004598</v>
      </c>
      <c r="T418">
        <v>55.874405911997997</v>
      </c>
      <c r="U418">
        <v>0.48680774426329199</v>
      </c>
      <c r="V418">
        <v>50.371469633036497</v>
      </c>
    </row>
    <row r="419" spans="1:22" x14ac:dyDescent="0.25">
      <c r="A419" t="str">
        <f t="shared" si="6"/>
        <v>Cyprus2010</v>
      </c>
      <c r="B419" t="s">
        <v>71</v>
      </c>
      <c r="C419" t="s">
        <v>72</v>
      </c>
      <c r="D419">
        <v>2010</v>
      </c>
      <c r="E419">
        <v>31105.02734375</v>
      </c>
      <c r="F419">
        <v>2.2826710011978801</v>
      </c>
      <c r="G419">
        <v>2.43004084102254</v>
      </c>
      <c r="H419">
        <v>10</v>
      </c>
      <c r="I419">
        <v>11.318286263767201</v>
      </c>
      <c r="J419">
        <v>6.359</v>
      </c>
      <c r="K419">
        <v>40.606589741693803</v>
      </c>
      <c r="L419">
        <v>37.842618261522098</v>
      </c>
      <c r="M419">
        <v>1.8813820394331799</v>
      </c>
      <c r="N419">
        <v>39.479685575348597</v>
      </c>
      <c r="O419">
        <v>23.686726878664299</v>
      </c>
      <c r="P419">
        <v>0.42143623638385302</v>
      </c>
      <c r="Q419">
        <v>13.039656463231999</v>
      </c>
      <c r="R419">
        <v>50.334525847346903</v>
      </c>
      <c r="S419">
        <v>-4.6842162056615502</v>
      </c>
      <c r="T419">
        <v>55.339626228733202</v>
      </c>
      <c r="U419">
        <v>0.38015004894286702</v>
      </c>
      <c r="V419">
        <v>48.327286347725803</v>
      </c>
    </row>
    <row r="420" spans="1:22" x14ac:dyDescent="0.25">
      <c r="A420" t="str">
        <f t="shared" si="6"/>
        <v>Cyprus2011</v>
      </c>
      <c r="B420" t="s">
        <v>71</v>
      </c>
      <c r="C420" t="s">
        <v>72</v>
      </c>
      <c r="D420">
        <v>2011</v>
      </c>
      <c r="E420">
        <v>32485.798828125</v>
      </c>
      <c r="F420">
        <v>0.41671186840868302</v>
      </c>
      <c r="G420">
        <v>3.28944939564211</v>
      </c>
      <c r="H420">
        <v>10</v>
      </c>
      <c r="I420">
        <v>11.552495982311299</v>
      </c>
      <c r="J420">
        <v>7.9420000000000002</v>
      </c>
      <c r="K420">
        <v>41.870622310036502</v>
      </c>
      <c r="L420">
        <v>37.4250758230556</v>
      </c>
      <c r="M420">
        <v>1.61625502234671</v>
      </c>
      <c r="N420">
        <v>39.226375088952402</v>
      </c>
      <c r="O420">
        <v>18.548121177499802</v>
      </c>
      <c r="P420">
        <v>0.37791150011188301</v>
      </c>
      <c r="Q420">
        <v>16.348635792548599</v>
      </c>
      <c r="R420">
        <v>53.454085884251803</v>
      </c>
      <c r="S420">
        <v>-5.6500873698893601</v>
      </c>
      <c r="T420">
        <v>64.806300703491203</v>
      </c>
      <c r="U420">
        <v>0.37668042235265597</v>
      </c>
      <c r="V420">
        <v>48.260788073403702</v>
      </c>
    </row>
    <row r="421" spans="1:22" x14ac:dyDescent="0.25">
      <c r="A421" t="str">
        <f t="shared" si="6"/>
        <v>Cyprus2012</v>
      </c>
      <c r="B421" t="s">
        <v>71</v>
      </c>
      <c r="C421" t="s">
        <v>72</v>
      </c>
      <c r="D421">
        <v>2012</v>
      </c>
      <c r="E421">
        <v>28991.935546875</v>
      </c>
      <c r="F421">
        <v>-3.4473815137458699</v>
      </c>
      <c r="G421">
        <v>2.3890541004231598</v>
      </c>
      <c r="H421">
        <v>10</v>
      </c>
      <c r="I421">
        <v>11.7783896817994</v>
      </c>
      <c r="J421">
        <v>12.097</v>
      </c>
      <c r="K421">
        <v>52.6432632319096</v>
      </c>
      <c r="L421">
        <v>37.796149773392401</v>
      </c>
      <c r="M421">
        <v>1.67877418981877</v>
      </c>
      <c r="N421">
        <v>39.227187959576902</v>
      </c>
      <c r="O421">
        <v>15.817789986259299</v>
      </c>
      <c r="P421">
        <v>0.42966071935355199</v>
      </c>
      <c r="Q421">
        <v>12.0731015536171</v>
      </c>
      <c r="R421">
        <v>55.2783809408715</v>
      </c>
      <c r="S421">
        <v>-5.5505401274146697</v>
      </c>
      <c r="T421">
        <v>79.151492146865394</v>
      </c>
      <c r="U421">
        <v>0.27702046113703799</v>
      </c>
      <c r="V421">
        <v>46.350722172207803</v>
      </c>
    </row>
    <row r="422" spans="1:22" x14ac:dyDescent="0.25">
      <c r="A422" t="str">
        <f t="shared" si="6"/>
        <v>Cyprus2013</v>
      </c>
      <c r="B422" t="s">
        <v>71</v>
      </c>
      <c r="C422" t="s">
        <v>72</v>
      </c>
      <c r="D422">
        <v>2013</v>
      </c>
      <c r="E422">
        <v>27764.73046875</v>
      </c>
      <c r="F422">
        <v>-6.5874775111834696</v>
      </c>
      <c r="G422">
        <v>-0.39935767646442499</v>
      </c>
      <c r="H422">
        <v>10</v>
      </c>
      <c r="I422">
        <v>12.0174508719101</v>
      </c>
      <c r="J422">
        <v>16.131</v>
      </c>
      <c r="K422">
        <v>44.913772718106401</v>
      </c>
      <c r="L422">
        <v>38.891715269762599</v>
      </c>
      <c r="M422">
        <v>-0.93773894996434104</v>
      </c>
      <c r="N422">
        <v>39.342583645332297</v>
      </c>
      <c r="O422">
        <v>12.565058342007401</v>
      </c>
      <c r="P422">
        <v>0.31317084115611898</v>
      </c>
      <c r="Q422">
        <v>11.0588186216071</v>
      </c>
      <c r="R422">
        <v>61.2965904312478</v>
      </c>
      <c r="S422">
        <v>-5.1595308308019696</v>
      </c>
      <c r="T422">
        <v>102.651825901864</v>
      </c>
      <c r="U422">
        <v>0.12691874952639901</v>
      </c>
      <c r="V422">
        <v>43.473898244509101</v>
      </c>
    </row>
    <row r="423" spans="1:22" x14ac:dyDescent="0.25">
      <c r="A423" t="str">
        <f t="shared" si="6"/>
        <v>Cyprus2014</v>
      </c>
      <c r="B423" t="s">
        <v>71</v>
      </c>
      <c r="C423" t="s">
        <v>72</v>
      </c>
      <c r="D423">
        <v>2014</v>
      </c>
      <c r="E423">
        <v>26993.103515625</v>
      </c>
      <c r="F423">
        <v>-1.77605867728616</v>
      </c>
      <c r="G423">
        <v>-1.3549888544631401</v>
      </c>
      <c r="H423">
        <v>10</v>
      </c>
      <c r="I423">
        <v>12.261061632109501</v>
      </c>
      <c r="J423">
        <v>16.277000000000001</v>
      </c>
      <c r="K423">
        <v>50.882584647915898</v>
      </c>
      <c r="L423">
        <v>41.523671352624902</v>
      </c>
      <c r="M423">
        <v>-1.3382657310592201</v>
      </c>
      <c r="N423">
        <v>39.533055769056602</v>
      </c>
      <c r="O423">
        <v>13.187739560467399</v>
      </c>
      <c r="P423">
        <v>0.28949466084098202</v>
      </c>
      <c r="Q423">
        <v>9.17812035340466</v>
      </c>
      <c r="R423">
        <v>65.951704872886793</v>
      </c>
      <c r="S423">
        <v>-8.7960738554464903</v>
      </c>
      <c r="T423">
        <v>112.99048207380901</v>
      </c>
      <c r="U423">
        <v>6.0786886652852402E-2</v>
      </c>
      <c r="V423">
        <v>42.2064261853536</v>
      </c>
    </row>
    <row r="424" spans="1:22" x14ac:dyDescent="0.25">
      <c r="A424" t="str">
        <f t="shared" si="6"/>
        <v>Cyprus2015</v>
      </c>
      <c r="B424" t="s">
        <v>71</v>
      </c>
      <c r="C424" t="s">
        <v>72</v>
      </c>
      <c r="D424">
        <v>2015</v>
      </c>
      <c r="E424">
        <v>23088.44140625</v>
      </c>
      <c r="F424">
        <v>3.4189203888901298</v>
      </c>
      <c r="G424">
        <v>-2.0969976905310999</v>
      </c>
      <c r="H424">
        <v>10</v>
      </c>
      <c r="I424">
        <v>12.499902624145999</v>
      </c>
      <c r="J424">
        <v>15.026</v>
      </c>
      <c r="K424">
        <v>41.726683895305598</v>
      </c>
      <c r="L424">
        <v>40.424867086231401</v>
      </c>
      <c r="M424">
        <v>-0.75423143045232199</v>
      </c>
      <c r="N424">
        <v>39.821643139521001</v>
      </c>
      <c r="O424">
        <v>13.322679538008799</v>
      </c>
      <c r="P424">
        <v>0.215850043782775</v>
      </c>
      <c r="Q424">
        <v>13.053525975980699</v>
      </c>
      <c r="R424">
        <v>70.017303129325796</v>
      </c>
      <c r="S424">
        <v>-0.76571982679350603</v>
      </c>
      <c r="T424">
        <v>111.554344373296</v>
      </c>
      <c r="U424">
        <v>0.43826732678920099</v>
      </c>
      <c r="V424">
        <v>49.441152230579497</v>
      </c>
    </row>
    <row r="425" spans="1:22" x14ac:dyDescent="0.25">
      <c r="A425" t="str">
        <f t="shared" si="6"/>
        <v>Cyprus2016</v>
      </c>
      <c r="B425" t="s">
        <v>71</v>
      </c>
      <c r="C425" t="s">
        <v>72</v>
      </c>
      <c r="D425">
        <v>2016</v>
      </c>
      <c r="E425">
        <v>24280.056640625</v>
      </c>
      <c r="F425">
        <v>6.5735908092467801</v>
      </c>
      <c r="G425">
        <v>-1.42916666666665</v>
      </c>
      <c r="H425">
        <v>10</v>
      </c>
      <c r="I425">
        <v>12.730653032767799</v>
      </c>
      <c r="J425">
        <v>13.006</v>
      </c>
      <c r="K425">
        <v>38.137531151032498</v>
      </c>
      <c r="L425">
        <v>38.324237491306299</v>
      </c>
      <c r="M425">
        <v>-0.57474249424245705</v>
      </c>
      <c r="N425">
        <v>40.200342706383097</v>
      </c>
      <c r="O425">
        <v>17.054146311292801</v>
      </c>
      <c r="P425">
        <v>0.32383451149616099</v>
      </c>
      <c r="Q425">
        <v>13.103835173735</v>
      </c>
      <c r="R425">
        <v>70.484052228127197</v>
      </c>
      <c r="S425">
        <v>0.451253569794411</v>
      </c>
      <c r="T425">
        <v>106.808774725592</v>
      </c>
      <c r="U425">
        <v>0.501333390903972</v>
      </c>
      <c r="V425">
        <v>50.649865711087898</v>
      </c>
    </row>
    <row r="426" spans="1:22" x14ac:dyDescent="0.25">
      <c r="A426" t="str">
        <f t="shared" si="6"/>
        <v>Cyprus2017</v>
      </c>
      <c r="B426" t="s">
        <v>71</v>
      </c>
      <c r="C426" t="s">
        <v>72</v>
      </c>
      <c r="D426">
        <v>2017</v>
      </c>
      <c r="E426">
        <v>26247.44921875</v>
      </c>
      <c r="F426">
        <v>5.75083236554525</v>
      </c>
      <c r="G426">
        <v>0.53176649617446703</v>
      </c>
      <c r="H426">
        <v>10</v>
      </c>
      <c r="I426">
        <v>12.9503446411893</v>
      </c>
      <c r="J426">
        <v>11.154999999999999</v>
      </c>
      <c r="K426">
        <v>36.8458898245716</v>
      </c>
      <c r="L426">
        <v>38.412417374533298</v>
      </c>
      <c r="M426">
        <v>1.0203937629053299</v>
      </c>
      <c r="N426">
        <v>40.613001048200402</v>
      </c>
      <c r="O426">
        <v>20.3824581997576</v>
      </c>
      <c r="P426">
        <v>0.21393413476248599</v>
      </c>
      <c r="Q426">
        <v>15.3749581363421</v>
      </c>
      <c r="R426">
        <v>73.836479139238904</v>
      </c>
      <c r="S426">
        <v>2.1287489415332499</v>
      </c>
      <c r="T426">
        <v>96.374628305862402</v>
      </c>
      <c r="U426">
        <v>0.63844495396718703</v>
      </c>
      <c r="V426">
        <v>53.277722656567697</v>
      </c>
    </row>
    <row r="427" spans="1:22" x14ac:dyDescent="0.25">
      <c r="A427" t="str">
        <f t="shared" si="6"/>
        <v>Cyprus2018</v>
      </c>
      <c r="B427" t="s">
        <v>71</v>
      </c>
      <c r="C427" t="s">
        <v>72</v>
      </c>
      <c r="D427">
        <v>2018</v>
      </c>
      <c r="E427">
        <v>29120.375</v>
      </c>
      <c r="F427">
        <v>6.2716636005640396</v>
      </c>
      <c r="G427">
        <v>1.43549119531759</v>
      </c>
      <c r="H427">
        <v>10</v>
      </c>
      <c r="I427">
        <v>13.166487964666199</v>
      </c>
      <c r="J427">
        <v>8.5039999999999996</v>
      </c>
      <c r="K427">
        <v>40.341083575032101</v>
      </c>
      <c r="L427">
        <v>38.317953586591699</v>
      </c>
      <c r="M427">
        <v>1.02575360460912</v>
      </c>
      <c r="N427">
        <v>41.026321134038398</v>
      </c>
      <c r="O427">
        <v>18.943127349016901</v>
      </c>
      <c r="P427">
        <v>0.17543290120582999</v>
      </c>
      <c r="Q427">
        <v>15.0604979742902</v>
      </c>
      <c r="R427">
        <v>74.511134620546002</v>
      </c>
      <c r="S427">
        <v>-3.3634754537367302</v>
      </c>
      <c r="T427">
        <v>100.65756289034201</v>
      </c>
      <c r="U427">
        <v>0.50779248339632299</v>
      </c>
      <c r="V427">
        <v>50.773659581483003</v>
      </c>
    </row>
    <row r="428" spans="1:22" x14ac:dyDescent="0.25">
      <c r="A428" t="str">
        <f t="shared" si="6"/>
        <v>Cyprus2019</v>
      </c>
      <c r="B428" t="s">
        <v>71</v>
      </c>
      <c r="C428" t="s">
        <v>72</v>
      </c>
      <c r="D428">
        <v>2019</v>
      </c>
      <c r="E428">
        <v>29227.173828125</v>
      </c>
      <c r="F428">
        <v>5.8755958338660701</v>
      </c>
      <c r="G428">
        <v>0.250370996758493</v>
      </c>
      <c r="H428">
        <v>10</v>
      </c>
      <c r="I428">
        <v>13.3825533556934</v>
      </c>
      <c r="J428">
        <v>7.1550000000000002</v>
      </c>
      <c r="K428">
        <v>38.505859657942402</v>
      </c>
      <c r="L428">
        <v>39.320787181527599</v>
      </c>
      <c r="M428">
        <v>1.35008643696904</v>
      </c>
      <c r="N428">
        <v>41.464548956830697</v>
      </c>
      <c r="O428">
        <v>19.4907459360244</v>
      </c>
      <c r="P428">
        <v>0.20277885933899401</v>
      </c>
      <c r="Q428">
        <v>13.9800676144747</v>
      </c>
      <c r="R428">
        <v>75.758867603720802</v>
      </c>
      <c r="S428">
        <v>1.03115251484979</v>
      </c>
      <c r="T428">
        <v>92.293064398957299</v>
      </c>
      <c r="U428">
        <v>0.74094192794358305</v>
      </c>
      <c r="V428">
        <v>55.242162262805401</v>
      </c>
    </row>
    <row r="429" spans="1:22" x14ac:dyDescent="0.25">
      <c r="A429" t="str">
        <f t="shared" si="6"/>
        <v>Cyprus2020</v>
      </c>
      <c r="B429" t="s">
        <v>71</v>
      </c>
      <c r="C429" t="s">
        <v>72</v>
      </c>
      <c r="D429">
        <v>2020</v>
      </c>
      <c r="E429">
        <v>28130.341796875</v>
      </c>
      <c r="F429">
        <v>-3.2206301863756699</v>
      </c>
      <c r="G429">
        <v>-0.63842279797895796</v>
      </c>
      <c r="H429">
        <v>10</v>
      </c>
      <c r="I429">
        <v>13.611275890335699</v>
      </c>
      <c r="J429">
        <v>7.7549999999999999</v>
      </c>
      <c r="K429">
        <v>43.694726803034897</v>
      </c>
      <c r="L429">
        <v>38.373285560444003</v>
      </c>
      <c r="M429">
        <v>-1.2079243522224301</v>
      </c>
      <c r="N429">
        <v>41.9656883212308</v>
      </c>
      <c r="O429">
        <v>20.644756118785899</v>
      </c>
      <c r="P429">
        <v>0.241634145395656</v>
      </c>
      <c r="Q429">
        <v>10.9534541956768</v>
      </c>
      <c r="R429">
        <v>79.647252717685006</v>
      </c>
      <c r="S429">
        <v>-5.5747742915884499</v>
      </c>
      <c r="T429">
        <v>113.601948690444</v>
      </c>
      <c r="U429">
        <v>0.28484828363190401</v>
      </c>
      <c r="V429">
        <v>46.500748889514199</v>
      </c>
    </row>
    <row r="430" spans="1:22" x14ac:dyDescent="0.25">
      <c r="A430" t="str">
        <f t="shared" si="6"/>
        <v>Cyprus2021</v>
      </c>
      <c r="B430" t="s">
        <v>71</v>
      </c>
      <c r="C430" t="s">
        <v>72</v>
      </c>
      <c r="D430">
        <v>2021</v>
      </c>
      <c r="E430">
        <v>32937.83984375</v>
      </c>
      <c r="F430">
        <v>11.397559080151201</v>
      </c>
      <c r="G430">
        <v>2.4460886717547399</v>
      </c>
      <c r="H430">
        <v>10</v>
      </c>
      <c r="I430">
        <v>13.8514250837978</v>
      </c>
      <c r="J430">
        <v>7.5129999999999999</v>
      </c>
      <c r="K430">
        <v>40.678527907852597</v>
      </c>
      <c r="L430">
        <v>38.393860533732102</v>
      </c>
      <c r="M430">
        <v>3.03406314812496</v>
      </c>
      <c r="N430">
        <v>42.533206666868601</v>
      </c>
      <c r="O430">
        <v>19.6456822415145</v>
      </c>
      <c r="P430">
        <v>0.24655588300317999</v>
      </c>
      <c r="Q430">
        <v>14.1633955943686</v>
      </c>
      <c r="R430">
        <v>90.757833163362406</v>
      </c>
      <c r="S430">
        <v>-1.5868627237184301</v>
      </c>
      <c r="T430">
        <v>96.481643016246295</v>
      </c>
      <c r="U430">
        <v>0.76491552523469797</v>
      </c>
      <c r="V430">
        <v>55.701636159405503</v>
      </c>
    </row>
    <row r="431" spans="1:22" x14ac:dyDescent="0.25">
      <c r="A431" t="str">
        <f t="shared" si="6"/>
        <v>Cyprus2022</v>
      </c>
      <c r="B431" t="s">
        <v>71</v>
      </c>
      <c r="C431" t="s">
        <v>72</v>
      </c>
      <c r="D431">
        <v>2022</v>
      </c>
      <c r="E431">
        <v>33231.04296875</v>
      </c>
      <c r="F431">
        <v>8.2737259729381396</v>
      </c>
      <c r="G431">
        <v>8.3954829799333393</v>
      </c>
      <c r="H431">
        <v>10</v>
      </c>
      <c r="I431">
        <v>14.077942269992599</v>
      </c>
      <c r="J431">
        <v>6.806</v>
      </c>
      <c r="K431">
        <v>36.200558474520797</v>
      </c>
      <c r="L431">
        <v>38.230553078405201</v>
      </c>
      <c r="M431">
        <v>6.6205968574418099</v>
      </c>
      <c r="N431">
        <v>43.084475845236703</v>
      </c>
      <c r="O431">
        <v>20.595057600675201</v>
      </c>
      <c r="P431">
        <v>0.34046480233389598</v>
      </c>
      <c r="Q431">
        <v>13.713564597246201</v>
      </c>
      <c r="R431">
        <v>104.66609337928</v>
      </c>
      <c r="S431">
        <v>2.6853900747497099</v>
      </c>
      <c r="T431">
        <v>80.326591467199094</v>
      </c>
      <c r="U431">
        <v>0.99205320605299296</v>
      </c>
      <c r="V431">
        <v>60.054918397485899</v>
      </c>
    </row>
    <row r="432" spans="1:22" x14ac:dyDescent="0.25">
      <c r="A432" t="str">
        <f t="shared" si="6"/>
        <v>Cyprus2023</v>
      </c>
      <c r="B432" t="s">
        <v>71</v>
      </c>
      <c r="C432" t="s">
        <v>72</v>
      </c>
      <c r="D432">
        <v>2023</v>
      </c>
      <c r="E432">
        <v>36623.69140625</v>
      </c>
      <c r="F432">
        <v>3.6194564463685599</v>
      </c>
      <c r="G432">
        <v>3.54134188751663</v>
      </c>
      <c r="H432">
        <v>10</v>
      </c>
      <c r="I432">
        <v>14.3232720596026</v>
      </c>
      <c r="J432">
        <v>5.835</v>
      </c>
      <c r="K432">
        <v>38.459386503748298</v>
      </c>
      <c r="L432">
        <v>39.956959421415299</v>
      </c>
      <c r="M432">
        <v>5.60170328445425</v>
      </c>
      <c r="N432">
        <v>43.631101760980798</v>
      </c>
      <c r="O432">
        <v>21.4725198606437</v>
      </c>
      <c r="P432">
        <v>0.30328351626970901</v>
      </c>
      <c r="Q432">
        <v>11.7352203949534</v>
      </c>
      <c r="R432">
        <v>96.389995362086296</v>
      </c>
      <c r="S432">
        <v>1.70689075837492</v>
      </c>
      <c r="T432">
        <v>71.135759006877507</v>
      </c>
      <c r="U432">
        <v>0.95192922720517603</v>
      </c>
      <c r="V432">
        <v>59.285909029202998</v>
      </c>
    </row>
    <row r="433" spans="1:22" x14ac:dyDescent="0.25">
      <c r="A433" t="str">
        <f t="shared" si="6"/>
        <v>Cyprus2024</v>
      </c>
      <c r="B433" t="s">
        <v>71</v>
      </c>
      <c r="C433" t="s">
        <v>72</v>
      </c>
      <c r="D433">
        <v>2024</v>
      </c>
      <c r="E433">
        <v>38674.29296875</v>
      </c>
      <c r="F433">
        <v>3.9407738170840401</v>
      </c>
      <c r="G433">
        <v>1.80023018624815</v>
      </c>
      <c r="H433">
        <v>10</v>
      </c>
      <c r="I433">
        <v>14.616184268068</v>
      </c>
      <c r="J433">
        <v>4.9000000000000004</v>
      </c>
      <c r="K433">
        <v>40.642558824773197</v>
      </c>
      <c r="L433">
        <v>39.9002949913761</v>
      </c>
      <c r="M433">
        <v>3.1219989644205</v>
      </c>
      <c r="N433">
        <v>44.275885950032198</v>
      </c>
      <c r="O433">
        <v>20.677529637546499</v>
      </c>
      <c r="P433">
        <v>0.33121149973327002</v>
      </c>
      <c r="Q433">
        <v>12.4742361895558</v>
      </c>
      <c r="R433">
        <v>97.020235938456295</v>
      </c>
      <c r="S433">
        <v>4.1386133488255696</v>
      </c>
      <c r="T433">
        <v>62.835884855091003</v>
      </c>
      <c r="U433">
        <v>1.1525902047959</v>
      </c>
      <c r="V433">
        <v>63.131743267161802</v>
      </c>
    </row>
    <row r="434" spans="1:22" x14ac:dyDescent="0.25">
      <c r="A434" t="str">
        <f t="shared" si="6"/>
        <v>Cyprus2025</v>
      </c>
      <c r="B434" t="s">
        <v>71</v>
      </c>
      <c r="C434" t="s">
        <v>72</v>
      </c>
      <c r="D434">
        <v>2025</v>
      </c>
      <c r="E434">
        <v>29120.375</v>
      </c>
      <c r="F434">
        <v>3.6194564463685599</v>
      </c>
      <c r="G434">
        <v>1.43549119531759</v>
      </c>
      <c r="H434">
        <v>10</v>
      </c>
      <c r="I434">
        <v>12.9503446411893</v>
      </c>
      <c r="J434">
        <v>4.9240000000000004</v>
      </c>
      <c r="K434">
        <v>40.642558824773197</v>
      </c>
      <c r="L434">
        <v>38.393860533732102</v>
      </c>
      <c r="M434">
        <v>1.35008643696904</v>
      </c>
      <c r="N434">
        <v>40.613001048200402</v>
      </c>
      <c r="O434">
        <v>19.4907459360244</v>
      </c>
      <c r="P434">
        <v>0.30328351626970901</v>
      </c>
      <c r="Q434">
        <v>13.053525975980699</v>
      </c>
      <c r="R434">
        <v>73.836479139238904</v>
      </c>
      <c r="S434">
        <v>2.98607161047864</v>
      </c>
      <c r="T434">
        <v>55.3005795465495</v>
      </c>
      <c r="U434">
        <v>0.92535096483318302</v>
      </c>
      <c r="V434">
        <v>58.776514563757203</v>
      </c>
    </row>
    <row r="435" spans="1:22" x14ac:dyDescent="0.25">
      <c r="A435" t="str">
        <f t="shared" si="6"/>
        <v>Czechia2010</v>
      </c>
      <c r="B435" t="s">
        <v>73</v>
      </c>
      <c r="C435" t="s">
        <v>74</v>
      </c>
      <c r="D435">
        <v>2010</v>
      </c>
      <c r="E435">
        <v>20160.435507705901</v>
      </c>
      <c r="F435">
        <v>2.7146650990770098</v>
      </c>
      <c r="G435">
        <v>1.47272727272728</v>
      </c>
      <c r="H435">
        <v>9</v>
      </c>
      <c r="I435">
        <v>15.4590024087743</v>
      </c>
      <c r="J435">
        <v>7.2809999999999997</v>
      </c>
      <c r="K435">
        <v>34.639613861012997</v>
      </c>
      <c r="L435">
        <v>34.280869199534202</v>
      </c>
      <c r="M435">
        <v>-0.485125297413731</v>
      </c>
      <c r="N435">
        <v>42.575340168532897</v>
      </c>
      <c r="O435">
        <v>26.731287652320201</v>
      </c>
      <c r="P435">
        <v>3.4011152471982999</v>
      </c>
      <c r="Q435">
        <v>21.7383274778634</v>
      </c>
      <c r="R435">
        <v>64.891598015547899</v>
      </c>
      <c r="S435">
        <v>-4.1441604065706699</v>
      </c>
      <c r="T435">
        <v>36.700089661369603</v>
      </c>
      <c r="U435">
        <v>0.40396815607418102</v>
      </c>
      <c r="V435">
        <v>48.783780146314797</v>
      </c>
    </row>
    <row r="436" spans="1:22" x14ac:dyDescent="0.25">
      <c r="A436" t="str">
        <f t="shared" si="6"/>
        <v>Czechia2011</v>
      </c>
      <c r="B436" t="s">
        <v>73</v>
      </c>
      <c r="C436" t="s">
        <v>74</v>
      </c>
      <c r="D436">
        <v>2011</v>
      </c>
      <c r="E436">
        <v>22049.108078868201</v>
      </c>
      <c r="F436">
        <v>1.7723808533847301</v>
      </c>
      <c r="G436">
        <v>1.9172191363555</v>
      </c>
      <c r="H436">
        <v>9</v>
      </c>
      <c r="I436">
        <v>15.8988256979579</v>
      </c>
      <c r="J436">
        <v>6.7119999999999997</v>
      </c>
      <c r="K436">
        <v>34.652014294243102</v>
      </c>
      <c r="L436">
        <v>35.430042084263803</v>
      </c>
      <c r="M436">
        <v>-0.22113341603706299</v>
      </c>
      <c r="N436">
        <v>43.865719704913303</v>
      </c>
      <c r="O436">
        <v>26.6053370220652</v>
      </c>
      <c r="P436">
        <v>2.7788601957250001</v>
      </c>
      <c r="Q436">
        <v>21.946415902096</v>
      </c>
      <c r="R436">
        <v>70.250637612612294</v>
      </c>
      <c r="S436">
        <v>-2.71182840071251</v>
      </c>
      <c r="T436">
        <v>39.401956606936402</v>
      </c>
      <c r="U436">
        <v>0.51294984906855401</v>
      </c>
      <c r="V436">
        <v>50.872504776588102</v>
      </c>
    </row>
    <row r="437" spans="1:22" x14ac:dyDescent="0.25">
      <c r="A437" t="str">
        <f t="shared" si="6"/>
        <v>Czechia2012</v>
      </c>
      <c r="B437" t="s">
        <v>73</v>
      </c>
      <c r="C437" t="s">
        <v>74</v>
      </c>
      <c r="D437">
        <v>2012</v>
      </c>
      <c r="E437">
        <v>20014.035401516499</v>
      </c>
      <c r="F437">
        <v>-0.77066819062274305</v>
      </c>
      <c r="G437">
        <v>3.2876230661041101</v>
      </c>
      <c r="H437">
        <v>9</v>
      </c>
      <c r="I437">
        <v>16.5000497271668</v>
      </c>
      <c r="J437">
        <v>6.9790000000000001</v>
      </c>
      <c r="K437">
        <v>36.346884434824702</v>
      </c>
      <c r="L437">
        <v>35.976229522924797</v>
      </c>
      <c r="M437">
        <v>1.34339010085863</v>
      </c>
      <c r="N437">
        <v>45.474711089563002</v>
      </c>
      <c r="O437">
        <v>25.668842114362299</v>
      </c>
      <c r="P437">
        <v>3.20715800025192</v>
      </c>
      <c r="Q437">
        <v>23.5273474803117</v>
      </c>
      <c r="R437">
        <v>75.104810476725604</v>
      </c>
      <c r="S437">
        <v>-3.9175055470759599</v>
      </c>
      <c r="T437">
        <v>43.835303441687998</v>
      </c>
      <c r="U437">
        <v>0.46706264526963898</v>
      </c>
      <c r="V437">
        <v>49.993038417094901</v>
      </c>
    </row>
    <row r="438" spans="1:22" x14ac:dyDescent="0.25">
      <c r="A438" t="str">
        <f t="shared" si="6"/>
        <v>Czechia2013</v>
      </c>
      <c r="B438" t="s">
        <v>73</v>
      </c>
      <c r="C438" t="s">
        <v>74</v>
      </c>
      <c r="D438">
        <v>2013</v>
      </c>
      <c r="E438">
        <v>20260.4954999375</v>
      </c>
      <c r="F438">
        <v>-4.1812416044749098E-2</v>
      </c>
      <c r="G438">
        <v>1.4382978723404001</v>
      </c>
      <c r="H438">
        <v>9</v>
      </c>
      <c r="I438">
        <v>17.0821590856387</v>
      </c>
      <c r="J438">
        <v>6.9530000000000003</v>
      </c>
      <c r="K438">
        <v>34.515740064010402</v>
      </c>
      <c r="L438">
        <v>36.3583113596966</v>
      </c>
      <c r="M438">
        <v>1.2715877867745</v>
      </c>
      <c r="N438">
        <v>47.076651187696299</v>
      </c>
      <c r="O438">
        <v>24.376860603150199</v>
      </c>
      <c r="P438">
        <v>4.0046430476022801</v>
      </c>
      <c r="Q438">
        <v>23.664987590553402</v>
      </c>
      <c r="R438">
        <v>75.580395446306099</v>
      </c>
      <c r="S438">
        <v>-1.2985094066674301</v>
      </c>
      <c r="T438">
        <v>44.141092455740697</v>
      </c>
      <c r="U438">
        <v>0.60944075286594601</v>
      </c>
      <c r="V438">
        <v>52.721833061196001</v>
      </c>
    </row>
    <row r="439" spans="1:22" x14ac:dyDescent="0.25">
      <c r="A439" t="str">
        <f t="shared" si="6"/>
        <v>Czechia2014</v>
      </c>
      <c r="B439" t="s">
        <v>73</v>
      </c>
      <c r="C439" t="s">
        <v>74</v>
      </c>
      <c r="D439">
        <v>2014</v>
      </c>
      <c r="E439">
        <v>20038.416318025698</v>
      </c>
      <c r="F439">
        <v>2.24521219862635</v>
      </c>
      <c r="G439">
        <v>0.34398858964679302</v>
      </c>
      <c r="H439">
        <v>9</v>
      </c>
      <c r="I439">
        <v>17.605493958458901</v>
      </c>
      <c r="J439">
        <v>6.1079999999999997</v>
      </c>
      <c r="K439">
        <v>34.217475549858399</v>
      </c>
      <c r="L439">
        <v>35.428464791270699</v>
      </c>
      <c r="M439">
        <v>2.7067159395822999</v>
      </c>
      <c r="N439">
        <v>48.592658621139499</v>
      </c>
      <c r="O439">
        <v>25.349435391712799</v>
      </c>
      <c r="P439">
        <v>3.66748464275924</v>
      </c>
      <c r="Q439">
        <v>24.823648045635199</v>
      </c>
      <c r="R439">
        <v>81.351035212269693</v>
      </c>
      <c r="S439">
        <v>-2.0934716403025901</v>
      </c>
      <c r="T439">
        <v>41.546179514759103</v>
      </c>
      <c r="U439">
        <v>0.62662118611720996</v>
      </c>
      <c r="V439">
        <v>53.051110328824201</v>
      </c>
    </row>
    <row r="440" spans="1:22" x14ac:dyDescent="0.25">
      <c r="A440" t="str">
        <f t="shared" si="6"/>
        <v>Czechia2015</v>
      </c>
      <c r="B440" t="s">
        <v>73</v>
      </c>
      <c r="C440" t="s">
        <v>74</v>
      </c>
      <c r="D440">
        <v>2015</v>
      </c>
      <c r="E440">
        <v>17931.598767076801</v>
      </c>
      <c r="F440">
        <v>4.9587584891560397</v>
      </c>
      <c r="G440">
        <v>0.30936454849497502</v>
      </c>
      <c r="H440">
        <v>9</v>
      </c>
      <c r="I440">
        <v>18.096879765258201</v>
      </c>
      <c r="J440">
        <v>5.048</v>
      </c>
      <c r="K440">
        <v>33.069300077195699</v>
      </c>
      <c r="L440">
        <v>35.694083145646701</v>
      </c>
      <c r="M440">
        <v>1.23453645859612</v>
      </c>
      <c r="N440">
        <v>50.083637075716503</v>
      </c>
      <c r="O440">
        <v>26.968624921079201</v>
      </c>
      <c r="P440">
        <v>4.8979981403956998</v>
      </c>
      <c r="Q440">
        <v>25.659275450376398</v>
      </c>
      <c r="R440">
        <v>80.012567143176199</v>
      </c>
      <c r="S440">
        <v>-0.66574043281619399</v>
      </c>
      <c r="T440">
        <v>39.469492862245303</v>
      </c>
      <c r="U440">
        <v>0.71799661482891497</v>
      </c>
      <c r="V440">
        <v>54.802396286198501</v>
      </c>
    </row>
    <row r="441" spans="1:22" x14ac:dyDescent="0.25">
      <c r="A441" t="str">
        <f t="shared" si="6"/>
        <v>Czechia2016</v>
      </c>
      <c r="B441" t="s">
        <v>73</v>
      </c>
      <c r="C441" t="s">
        <v>74</v>
      </c>
      <c r="D441">
        <v>2016</v>
      </c>
      <c r="E441">
        <v>18753.968671809602</v>
      </c>
      <c r="F441">
        <v>2.5808701392137601</v>
      </c>
      <c r="G441">
        <v>0.683504209385702</v>
      </c>
      <c r="H441">
        <v>9</v>
      </c>
      <c r="I441">
        <v>18.595159224105601</v>
      </c>
      <c r="J441">
        <v>3.952</v>
      </c>
      <c r="K441">
        <v>32.522594326279197</v>
      </c>
      <c r="L441">
        <v>36.360811310274798</v>
      </c>
      <c r="M441">
        <v>1.49123391004676</v>
      </c>
      <c r="N441">
        <v>51.606677543475101</v>
      </c>
      <c r="O441">
        <v>25.075004697472501</v>
      </c>
      <c r="P441">
        <v>6.4682255395174701</v>
      </c>
      <c r="Q441">
        <v>24.7618902189718</v>
      </c>
      <c r="R441">
        <v>78.108333006403001</v>
      </c>
      <c r="S441">
        <v>0.68488115910906999</v>
      </c>
      <c r="T441">
        <v>36.23221413041</v>
      </c>
      <c r="U441">
        <v>0.813427106669108</v>
      </c>
      <c r="V441">
        <v>56.631400895220303</v>
      </c>
    </row>
    <row r="442" spans="1:22" x14ac:dyDescent="0.25">
      <c r="A442" t="str">
        <f t="shared" si="6"/>
        <v>Czechia2017</v>
      </c>
      <c r="B442" t="s">
        <v>73</v>
      </c>
      <c r="C442" t="s">
        <v>74</v>
      </c>
      <c r="D442">
        <v>2017</v>
      </c>
      <c r="E442">
        <v>20913.197632211999</v>
      </c>
      <c r="F442">
        <v>5.1735652996788097</v>
      </c>
      <c r="G442">
        <v>2.4505339846014</v>
      </c>
      <c r="H442">
        <v>10</v>
      </c>
      <c r="I442">
        <v>19.085882000881998</v>
      </c>
      <c r="J442">
        <v>2.8929999999999998</v>
      </c>
      <c r="K442">
        <v>31.386098316698</v>
      </c>
      <c r="L442">
        <v>36.223892446611003</v>
      </c>
      <c r="M442">
        <v>1.6836205033356999</v>
      </c>
      <c r="N442">
        <v>53.138936545080398</v>
      </c>
      <c r="O442">
        <v>25.089741094625101</v>
      </c>
      <c r="P442">
        <v>9.8228480475629194</v>
      </c>
      <c r="Q442">
        <v>25.727674051641699</v>
      </c>
      <c r="R442">
        <v>77.684432623127606</v>
      </c>
      <c r="S442">
        <v>1.4603007639577501</v>
      </c>
      <c r="T442">
        <v>33.7818264243502</v>
      </c>
      <c r="U442">
        <v>1.0004766900038</v>
      </c>
      <c r="V442">
        <v>60.2163614611542</v>
      </c>
    </row>
    <row r="443" spans="1:22" x14ac:dyDescent="0.25">
      <c r="A443" t="str">
        <f t="shared" si="6"/>
        <v>Czechia2018</v>
      </c>
      <c r="B443" t="s">
        <v>73</v>
      </c>
      <c r="C443" t="s">
        <v>74</v>
      </c>
      <c r="D443">
        <v>2018</v>
      </c>
      <c r="E443">
        <v>23705.932981129899</v>
      </c>
      <c r="F443">
        <v>2.83030588267866</v>
      </c>
      <c r="G443">
        <v>2.1494949494949198</v>
      </c>
      <c r="H443">
        <v>10</v>
      </c>
      <c r="I443">
        <v>19.531579343018201</v>
      </c>
      <c r="J443">
        <v>2.246</v>
      </c>
      <c r="K443">
        <v>31.8283646893324</v>
      </c>
      <c r="L443">
        <v>36.885057141704003</v>
      </c>
      <c r="M443">
        <v>2.8133598000173499</v>
      </c>
      <c r="N443">
        <v>54.579653195363399</v>
      </c>
      <c r="O443">
        <v>25.642607902117199</v>
      </c>
      <c r="P443">
        <v>8.4751167858317604</v>
      </c>
      <c r="Q443">
        <v>25.581340956738799</v>
      </c>
      <c r="R443">
        <v>75.6097814865591</v>
      </c>
      <c r="S443">
        <v>0.88150111408928</v>
      </c>
      <c r="T443">
        <v>31.6777558163934</v>
      </c>
      <c r="U443">
        <v>0.97354356081118198</v>
      </c>
      <c r="V443">
        <v>59.700165678456401</v>
      </c>
    </row>
    <row r="444" spans="1:22" x14ac:dyDescent="0.25">
      <c r="A444" t="str">
        <f t="shared" si="6"/>
        <v>Czechia2019</v>
      </c>
      <c r="B444" t="s">
        <v>73</v>
      </c>
      <c r="C444" t="s">
        <v>74</v>
      </c>
      <c r="D444">
        <v>2019</v>
      </c>
      <c r="E444">
        <v>24062.719001334299</v>
      </c>
      <c r="F444">
        <v>3.5657765812826101</v>
      </c>
      <c r="G444">
        <v>2.8478759591804099</v>
      </c>
      <c r="H444">
        <v>10</v>
      </c>
      <c r="I444">
        <v>19.9485877378936</v>
      </c>
      <c r="J444">
        <v>2.0150000000000001</v>
      </c>
      <c r="K444">
        <v>32.039904436658396</v>
      </c>
      <c r="L444">
        <v>36.604923627949603</v>
      </c>
      <c r="M444">
        <v>3.8413178989087</v>
      </c>
      <c r="N444">
        <v>55.908822031096499</v>
      </c>
      <c r="O444">
        <v>26.171850655873001</v>
      </c>
      <c r="P444">
        <v>9.0684999097541805</v>
      </c>
      <c r="Q444">
        <v>25.751632787397899</v>
      </c>
      <c r="R444">
        <v>72.124851138648197</v>
      </c>
      <c r="S444">
        <v>0.282753785149576</v>
      </c>
      <c r="T444">
        <v>29.551735655861901</v>
      </c>
      <c r="U444">
        <v>0.95033464964416003</v>
      </c>
      <c r="V444">
        <v>59.2553476263191</v>
      </c>
    </row>
    <row r="445" spans="1:22" x14ac:dyDescent="0.25">
      <c r="A445" t="str">
        <f t="shared" si="6"/>
        <v>Czechia2020</v>
      </c>
      <c r="B445" t="s">
        <v>73</v>
      </c>
      <c r="C445" t="s">
        <v>74</v>
      </c>
      <c r="D445">
        <v>2020</v>
      </c>
      <c r="E445">
        <v>23472.8915454417</v>
      </c>
      <c r="F445">
        <v>-5.3048795546387604</v>
      </c>
      <c r="G445">
        <v>3.1612952849781002</v>
      </c>
      <c r="H445">
        <v>10</v>
      </c>
      <c r="I445">
        <v>20.293973642693199</v>
      </c>
      <c r="J445">
        <v>2.5499999999999998</v>
      </c>
      <c r="K445">
        <v>37.642455336170698</v>
      </c>
      <c r="L445">
        <v>36.4584773857569</v>
      </c>
      <c r="M445">
        <v>4.5162322340673597</v>
      </c>
      <c r="N445">
        <v>56.977959549978799</v>
      </c>
      <c r="O445">
        <v>24.730205180980199</v>
      </c>
      <c r="P445">
        <v>11.3938793048783</v>
      </c>
      <c r="Q445">
        <v>25.856870371138999</v>
      </c>
      <c r="R445">
        <v>67.760973234473497</v>
      </c>
      <c r="S445">
        <v>-5.6497432020696099</v>
      </c>
      <c r="T445">
        <v>36.882939468985697</v>
      </c>
      <c r="U445">
        <v>0.61770701100792202</v>
      </c>
      <c r="V445">
        <v>52.880262761698397</v>
      </c>
    </row>
    <row r="446" spans="1:22" x14ac:dyDescent="0.25">
      <c r="A446" t="str">
        <f t="shared" si="6"/>
        <v>Czechia2021</v>
      </c>
      <c r="B446" t="s">
        <v>73</v>
      </c>
      <c r="C446" t="s">
        <v>74</v>
      </c>
      <c r="D446">
        <v>2021</v>
      </c>
      <c r="E446">
        <v>27696.461952754398</v>
      </c>
      <c r="F446">
        <v>4.02901832055149</v>
      </c>
      <c r="G446">
        <v>3.8398449150014602</v>
      </c>
      <c r="H446">
        <v>10</v>
      </c>
      <c r="I446">
        <v>20.537154168307701</v>
      </c>
      <c r="J446">
        <v>2.8029999999999999</v>
      </c>
      <c r="K446">
        <v>36.845755740354498</v>
      </c>
      <c r="L446">
        <v>36.064701308151598</v>
      </c>
      <c r="M446">
        <v>4.0344263749719103</v>
      </c>
      <c r="N446">
        <v>57.7438182636634</v>
      </c>
      <c r="O446">
        <v>28.1285338444502</v>
      </c>
      <c r="P446">
        <v>9.3635544732259905</v>
      </c>
      <c r="Q446">
        <v>28.5256527217567</v>
      </c>
      <c r="R446">
        <v>70.550045142843999</v>
      </c>
      <c r="S446">
        <v>-4.9511751803930197</v>
      </c>
      <c r="T446">
        <v>40.692005317264197</v>
      </c>
      <c r="U446">
        <v>0.73259160020455205</v>
      </c>
      <c r="V446">
        <v>55.082121298675098</v>
      </c>
    </row>
    <row r="447" spans="1:22" x14ac:dyDescent="0.25">
      <c r="A447" t="str">
        <f t="shared" si="6"/>
        <v>Czechia2022</v>
      </c>
      <c r="B447" t="s">
        <v>73</v>
      </c>
      <c r="C447" t="s">
        <v>74</v>
      </c>
      <c r="D447">
        <v>2022</v>
      </c>
      <c r="E447">
        <v>28282.2236715857</v>
      </c>
      <c r="F447">
        <v>2.8471706583813998</v>
      </c>
      <c r="G447">
        <v>15.100165146837</v>
      </c>
      <c r="H447">
        <v>10</v>
      </c>
      <c r="I447">
        <v>20.5183106530339</v>
      </c>
      <c r="J447">
        <v>2.2240000000000002</v>
      </c>
      <c r="K447">
        <v>34.442653710592197</v>
      </c>
      <c r="L447">
        <v>35.754266176747599</v>
      </c>
      <c r="M447">
        <v>8.6711008796706501</v>
      </c>
      <c r="N447">
        <v>57.396058829376699</v>
      </c>
      <c r="O447">
        <v>31.033301030146401</v>
      </c>
      <c r="P447">
        <v>6.8337208775183704</v>
      </c>
      <c r="Q447">
        <v>27.283835175775501</v>
      </c>
      <c r="R447">
        <v>72.409428142808807</v>
      </c>
      <c r="S447">
        <v>-3.0687791210960902</v>
      </c>
      <c r="T447">
        <v>42.5203748380112</v>
      </c>
      <c r="U447">
        <v>0.73623459814954995</v>
      </c>
      <c r="V447">
        <v>55.151942378956399</v>
      </c>
    </row>
    <row r="448" spans="1:22" x14ac:dyDescent="0.25">
      <c r="A448" t="str">
        <f t="shared" si="6"/>
        <v>Czechia2023</v>
      </c>
      <c r="B448" t="s">
        <v>73</v>
      </c>
      <c r="C448" t="s">
        <v>74</v>
      </c>
      <c r="D448">
        <v>2023</v>
      </c>
      <c r="E448">
        <v>31761.594410249101</v>
      </c>
      <c r="F448">
        <v>4.7580330897375199E-2</v>
      </c>
      <c r="G448">
        <v>10.661260137242699</v>
      </c>
      <c r="H448">
        <v>10</v>
      </c>
      <c r="I448">
        <v>20.545900558349501</v>
      </c>
      <c r="J448">
        <v>2.5790000000000002</v>
      </c>
      <c r="K448">
        <v>34.442653710592197</v>
      </c>
      <c r="L448">
        <v>35.734011518795597</v>
      </c>
      <c r="M448">
        <v>8.59789006156055</v>
      </c>
      <c r="N448">
        <v>56.7878159701296</v>
      </c>
      <c r="O448">
        <v>28.218921087176899</v>
      </c>
      <c r="P448">
        <v>7.0963212696609403</v>
      </c>
      <c r="Q448">
        <v>28.810866860729199</v>
      </c>
      <c r="R448">
        <v>68.403106928445197</v>
      </c>
      <c r="S448">
        <v>-3.7347112892160199</v>
      </c>
      <c r="T448">
        <v>42.222554410087596</v>
      </c>
      <c r="U448">
        <v>0.73390222508195002</v>
      </c>
      <c r="V448">
        <v>55.107240512620599</v>
      </c>
    </row>
    <row r="449" spans="1:22" x14ac:dyDescent="0.25">
      <c r="A449" t="str">
        <f t="shared" si="6"/>
        <v>Czechia2024</v>
      </c>
      <c r="B449" t="s">
        <v>73</v>
      </c>
      <c r="C449" t="s">
        <v>74</v>
      </c>
      <c r="D449">
        <v>2024</v>
      </c>
      <c r="E449">
        <v>31823.307829056401</v>
      </c>
      <c r="F449">
        <v>1.23308611983484</v>
      </c>
      <c r="G449">
        <v>2.4353120243531401</v>
      </c>
      <c r="H449">
        <v>10</v>
      </c>
      <c r="I449">
        <v>20.845383680989102</v>
      </c>
      <c r="J449">
        <v>2.6</v>
      </c>
      <c r="K449">
        <v>34.442653710592197</v>
      </c>
      <c r="L449">
        <v>36.542116253230702</v>
      </c>
      <c r="M449">
        <v>3.9066642996916099</v>
      </c>
      <c r="N449">
        <v>56.844726564466399</v>
      </c>
      <c r="O449">
        <v>26.304425748836501</v>
      </c>
      <c r="P449">
        <v>7.0342679378342403</v>
      </c>
      <c r="Q449">
        <v>28.873009678012099</v>
      </c>
      <c r="R449">
        <v>68.868151448324895</v>
      </c>
      <c r="S449">
        <v>-2.0288383523877198</v>
      </c>
      <c r="T449">
        <v>43.291171505944597</v>
      </c>
      <c r="U449">
        <v>0.860353467637062</v>
      </c>
      <c r="V449">
        <v>57.530783564637296</v>
      </c>
    </row>
    <row r="450" spans="1:22" x14ac:dyDescent="0.25">
      <c r="A450" t="str">
        <f t="shared" si="6"/>
        <v>Czechia2025</v>
      </c>
      <c r="B450" t="s">
        <v>73</v>
      </c>
      <c r="C450" t="s">
        <v>74</v>
      </c>
      <c r="D450">
        <v>2025</v>
      </c>
      <c r="E450">
        <v>22049.108078868201</v>
      </c>
      <c r="F450">
        <v>2.5808701392137601</v>
      </c>
      <c r="G450">
        <v>2.4353120243531401</v>
      </c>
      <c r="H450">
        <v>10</v>
      </c>
      <c r="I450">
        <v>19.085882000881998</v>
      </c>
      <c r="J450">
        <v>2.8250000000000002</v>
      </c>
      <c r="K450">
        <v>34.442653710592197</v>
      </c>
      <c r="L450">
        <v>36.064701308151598</v>
      </c>
      <c r="M450">
        <v>2.7067159395822999</v>
      </c>
      <c r="N450">
        <v>53.138936545080398</v>
      </c>
      <c r="O450">
        <v>26.171850655873001</v>
      </c>
      <c r="P450">
        <v>6.8337208775183704</v>
      </c>
      <c r="Q450">
        <v>25.659275450376398</v>
      </c>
      <c r="R450">
        <v>72.409428142808807</v>
      </c>
      <c r="S450">
        <v>-2.0257346599347699</v>
      </c>
      <c r="T450">
        <v>44.618859393690101</v>
      </c>
      <c r="U450">
        <v>0.75825520980940497</v>
      </c>
      <c r="V450">
        <v>55.573985684431499</v>
      </c>
    </row>
    <row r="451" spans="1:22" x14ac:dyDescent="0.25">
      <c r="A451" t="str">
        <f t="shared" si="6"/>
        <v>Denmark2010</v>
      </c>
      <c r="B451" t="s">
        <v>75</v>
      </c>
      <c r="C451" t="s">
        <v>76</v>
      </c>
      <c r="D451">
        <v>2010</v>
      </c>
      <c r="E451">
        <v>58104.544559498099</v>
      </c>
      <c r="F451">
        <v>1.5828970310880199</v>
      </c>
      <c r="G451">
        <v>2.3109243697478599</v>
      </c>
      <c r="H451">
        <v>10</v>
      </c>
      <c r="I451">
        <v>16.557448927402199</v>
      </c>
      <c r="J451">
        <v>7.7460000000000004</v>
      </c>
      <c r="K451">
        <v>41.321624841297997</v>
      </c>
      <c r="L451">
        <v>39.050176031711501</v>
      </c>
      <c r="M451">
        <v>3.1868597929622098</v>
      </c>
      <c r="N451">
        <v>52.787511911384797</v>
      </c>
      <c r="O451">
        <v>17.822155114191599</v>
      </c>
      <c r="P451">
        <v>5.6643174325640304</v>
      </c>
      <c r="Q451">
        <v>24.2215281493269</v>
      </c>
      <c r="R451">
        <v>50.590780535633797</v>
      </c>
      <c r="S451">
        <v>-2.52055275095758</v>
      </c>
      <c r="T451">
        <v>46.123274583870199</v>
      </c>
      <c r="U451">
        <v>0.92154602258417795</v>
      </c>
      <c r="V451">
        <v>58.703589686432402</v>
      </c>
    </row>
    <row r="452" spans="1:22" x14ac:dyDescent="0.25">
      <c r="A452" t="str">
        <f t="shared" ref="A452:A515" si="7">C452&amp;D452</f>
        <v>Denmark2011</v>
      </c>
      <c r="B452" t="s">
        <v>75</v>
      </c>
      <c r="C452" t="s">
        <v>76</v>
      </c>
      <c r="D452">
        <v>2011</v>
      </c>
      <c r="E452">
        <v>61809.737898222003</v>
      </c>
      <c r="F452">
        <v>1.3108037609606</v>
      </c>
      <c r="G452">
        <v>2.7586822605124999</v>
      </c>
      <c r="H452">
        <v>10</v>
      </c>
      <c r="I452">
        <v>17.0763558660448</v>
      </c>
      <c r="J452">
        <v>7.7690000000000001</v>
      </c>
      <c r="K452">
        <v>41.355376530671798</v>
      </c>
      <c r="L452">
        <v>39.728354952845102</v>
      </c>
      <c r="M452">
        <v>0.64638034334217298</v>
      </c>
      <c r="N452">
        <v>53.517631078032103</v>
      </c>
      <c r="O452">
        <v>18.987494583185601</v>
      </c>
      <c r="P452">
        <v>5.4129296326533902</v>
      </c>
      <c r="Q452">
        <v>25.3358166708826</v>
      </c>
      <c r="R452">
        <v>54.083627247240202</v>
      </c>
      <c r="S452">
        <v>-1.7655090634081501</v>
      </c>
      <c r="T452">
        <v>49.986205269911402</v>
      </c>
      <c r="U452">
        <v>0.99706780708779696</v>
      </c>
      <c r="V452">
        <v>60.151027389781802</v>
      </c>
    </row>
    <row r="453" spans="1:22" x14ac:dyDescent="0.25">
      <c r="A453" t="str">
        <f t="shared" si="7"/>
        <v>Denmark2012</v>
      </c>
      <c r="B453" t="s">
        <v>75</v>
      </c>
      <c r="C453" t="s">
        <v>76</v>
      </c>
      <c r="D453">
        <v>2012</v>
      </c>
      <c r="E453">
        <v>58443.774710396799</v>
      </c>
      <c r="F453">
        <v>-5.4323016167074E-3</v>
      </c>
      <c r="G453">
        <v>2.3979148566464001</v>
      </c>
      <c r="H453">
        <v>10</v>
      </c>
      <c r="I453">
        <v>17.6035443304634</v>
      </c>
      <c r="J453">
        <v>7.798</v>
      </c>
      <c r="K453">
        <v>42.573555151087099</v>
      </c>
      <c r="L453">
        <v>39.9316830870602</v>
      </c>
      <c r="M453">
        <v>2.4078426105387201</v>
      </c>
      <c r="N453">
        <v>54.236929545964799</v>
      </c>
      <c r="O453">
        <v>19.226971751750899</v>
      </c>
      <c r="P453">
        <v>5.9800695321441797</v>
      </c>
      <c r="Q453">
        <v>25.285134549958901</v>
      </c>
      <c r="R453">
        <v>55.080842605857498</v>
      </c>
      <c r="S453">
        <v>-3.2024820675584702</v>
      </c>
      <c r="T453">
        <v>48.711209770209003</v>
      </c>
      <c r="U453">
        <v>0.91941111511015905</v>
      </c>
      <c r="V453">
        <v>58.662672412147003</v>
      </c>
    </row>
    <row r="454" spans="1:22" x14ac:dyDescent="0.25">
      <c r="A454" t="str">
        <f t="shared" si="7"/>
        <v>Denmark2013</v>
      </c>
      <c r="B454" t="s">
        <v>75</v>
      </c>
      <c r="C454" t="s">
        <v>76</v>
      </c>
      <c r="D454">
        <v>2013</v>
      </c>
      <c r="E454">
        <v>61377.594059041199</v>
      </c>
      <c r="F454">
        <v>1.39267343161971</v>
      </c>
      <c r="G454">
        <v>0.789071780078062</v>
      </c>
      <c r="H454">
        <v>10</v>
      </c>
      <c r="I454">
        <v>18.0533476868912</v>
      </c>
      <c r="J454">
        <v>7.3840000000000003</v>
      </c>
      <c r="K454">
        <v>40.306936055114598</v>
      </c>
      <c r="L454">
        <v>39.729530670147597</v>
      </c>
      <c r="M454">
        <v>0.84691125992202398</v>
      </c>
      <c r="N454">
        <v>54.757677961771201</v>
      </c>
      <c r="O454">
        <v>19.3525146403367</v>
      </c>
      <c r="P454">
        <v>5.6381248675211602</v>
      </c>
      <c r="Q454">
        <v>26.722978614645001</v>
      </c>
      <c r="R454">
        <v>54.920909236085201</v>
      </c>
      <c r="S454">
        <v>-0.94370816447573702</v>
      </c>
      <c r="T454">
        <v>47.769891442045498</v>
      </c>
      <c r="U454">
        <v>1.0629485012672399</v>
      </c>
      <c r="V454">
        <v>61.413685592377497</v>
      </c>
    </row>
    <row r="455" spans="1:22" x14ac:dyDescent="0.25">
      <c r="A455" t="str">
        <f t="shared" si="7"/>
        <v>Denmark2014</v>
      </c>
      <c r="B455" t="s">
        <v>75</v>
      </c>
      <c r="C455" t="s">
        <v>76</v>
      </c>
      <c r="D455">
        <v>2014</v>
      </c>
      <c r="E455">
        <v>62520.450974701103</v>
      </c>
      <c r="F455">
        <v>1.2779998319283099</v>
      </c>
      <c r="G455">
        <v>0.56402054044953998</v>
      </c>
      <c r="H455">
        <v>10</v>
      </c>
      <c r="I455">
        <v>18.415555209846399</v>
      </c>
      <c r="J455">
        <v>6.9249999999999998</v>
      </c>
      <c r="K455">
        <v>39.853479572612599</v>
      </c>
      <c r="L455">
        <v>41.8748795594501</v>
      </c>
      <c r="M455">
        <v>1.0187064869212601</v>
      </c>
      <c r="N455">
        <v>55.099423764578702</v>
      </c>
      <c r="O455">
        <v>20.148203043786499</v>
      </c>
      <c r="P455">
        <v>4.7276316119036803</v>
      </c>
      <c r="Q455">
        <v>28.536942716605999</v>
      </c>
      <c r="R455">
        <v>54.833403751484298</v>
      </c>
      <c r="S455">
        <v>1.4280433599190401</v>
      </c>
      <c r="T455">
        <v>48.712443100963398</v>
      </c>
      <c r="U455">
        <v>1.2118102351928199</v>
      </c>
      <c r="V455">
        <v>64.266744318228007</v>
      </c>
    </row>
    <row r="456" spans="1:22" x14ac:dyDescent="0.25">
      <c r="A456" t="str">
        <f t="shared" si="7"/>
        <v>Denmark2015</v>
      </c>
      <c r="B456" t="s">
        <v>75</v>
      </c>
      <c r="C456" t="s">
        <v>76</v>
      </c>
      <c r="D456">
        <v>2015</v>
      </c>
      <c r="E456">
        <v>53094.013360757403</v>
      </c>
      <c r="F456">
        <v>2.1044145644530099</v>
      </c>
      <c r="G456">
        <v>0.45203415369157401</v>
      </c>
      <c r="H456">
        <v>10</v>
      </c>
      <c r="I456">
        <v>18.703939563323299</v>
      </c>
      <c r="J456">
        <v>6.2779999999999996</v>
      </c>
      <c r="K456">
        <v>39.468065484382201</v>
      </c>
      <c r="L456">
        <v>38.903541466630003</v>
      </c>
      <c r="M456">
        <v>0.40910291874062898</v>
      </c>
      <c r="N456">
        <v>55.326865164617999</v>
      </c>
      <c r="O456">
        <v>20.543531171812202</v>
      </c>
      <c r="P456">
        <v>4.6557369789957601</v>
      </c>
      <c r="Q456">
        <v>28.4990301142502</v>
      </c>
      <c r="R456">
        <v>55.814321573385797</v>
      </c>
      <c r="S456">
        <v>-0.89503232676880995</v>
      </c>
      <c r="T456">
        <v>44.550355973728699</v>
      </c>
      <c r="U456">
        <v>1.0241312129467901</v>
      </c>
      <c r="V456">
        <v>60.669720032955297</v>
      </c>
    </row>
    <row r="457" spans="1:22" x14ac:dyDescent="0.25">
      <c r="A457" t="str">
        <f t="shared" si="7"/>
        <v>Denmark2016</v>
      </c>
      <c r="B457" t="s">
        <v>75</v>
      </c>
      <c r="C457" t="s">
        <v>76</v>
      </c>
      <c r="D457">
        <v>2016</v>
      </c>
      <c r="E457">
        <v>54500.926041021703</v>
      </c>
      <c r="F457">
        <v>3.0730454920909298</v>
      </c>
      <c r="G457">
        <v>0.25000000000003098</v>
      </c>
      <c r="H457">
        <v>10</v>
      </c>
      <c r="I457">
        <v>18.942570276427102</v>
      </c>
      <c r="J457">
        <v>5.9889999999999999</v>
      </c>
      <c r="K457">
        <v>37.375323798627903</v>
      </c>
      <c r="L457">
        <v>38.036035964830603</v>
      </c>
      <c r="M457">
        <v>0.42651293565801002</v>
      </c>
      <c r="N457">
        <v>55.563165922166398</v>
      </c>
      <c r="O457">
        <v>21.680712423111999</v>
      </c>
      <c r="P457">
        <v>4.5915453743383097</v>
      </c>
      <c r="Q457">
        <v>28.766504350509798</v>
      </c>
      <c r="R457">
        <v>53.7439528985173</v>
      </c>
      <c r="S457">
        <v>0.30240002360195301</v>
      </c>
      <c r="T457">
        <v>41.691945976271398</v>
      </c>
      <c r="U457">
        <v>1.0697845850954499</v>
      </c>
      <c r="V457">
        <v>61.544704814728298</v>
      </c>
    </row>
    <row r="458" spans="1:22" x14ac:dyDescent="0.25">
      <c r="A458" t="str">
        <f t="shared" si="7"/>
        <v>Denmark2017</v>
      </c>
      <c r="B458" t="s">
        <v>75</v>
      </c>
      <c r="C458" t="s">
        <v>76</v>
      </c>
      <c r="D458">
        <v>2017</v>
      </c>
      <c r="E458">
        <v>57521.5514992225</v>
      </c>
      <c r="F458">
        <v>3.05647723922718</v>
      </c>
      <c r="G458">
        <v>1.1471321695760099</v>
      </c>
      <c r="H458">
        <v>10</v>
      </c>
      <c r="I458">
        <v>19.182268409177301</v>
      </c>
      <c r="J458">
        <v>5.8330000000000002</v>
      </c>
      <c r="K458">
        <v>36.281185472148998</v>
      </c>
      <c r="L458">
        <v>38.087916887928799</v>
      </c>
      <c r="M458">
        <v>1.1006187480185601</v>
      </c>
      <c r="N458">
        <v>55.889816208919598</v>
      </c>
      <c r="O458">
        <v>21.956824221489299</v>
      </c>
      <c r="P458">
        <v>4.91746136076969</v>
      </c>
      <c r="Q458">
        <v>29.279427636416798</v>
      </c>
      <c r="R458">
        <v>55.345951561373603</v>
      </c>
      <c r="S458">
        <v>1.68899277444305</v>
      </c>
      <c r="T458">
        <v>40.152558311171603</v>
      </c>
      <c r="U458">
        <v>1.17001526591197</v>
      </c>
      <c r="V458">
        <v>63.465709030925701</v>
      </c>
    </row>
    <row r="459" spans="1:22" x14ac:dyDescent="0.25">
      <c r="A459" t="str">
        <f t="shared" si="7"/>
        <v>Denmark2018</v>
      </c>
      <c r="B459" t="s">
        <v>75</v>
      </c>
      <c r="C459" t="s">
        <v>76</v>
      </c>
      <c r="D459">
        <v>2018</v>
      </c>
      <c r="E459">
        <v>61324.766504556501</v>
      </c>
      <c r="F459">
        <v>1.8600074900921</v>
      </c>
      <c r="G459">
        <v>0.81360946745563101</v>
      </c>
      <c r="H459">
        <v>10</v>
      </c>
      <c r="I459">
        <v>19.4403886413888</v>
      </c>
      <c r="J459">
        <v>5.1310000000000002</v>
      </c>
      <c r="K459">
        <v>36.176765151315102</v>
      </c>
      <c r="L459">
        <v>37.429382541327897</v>
      </c>
      <c r="M459">
        <v>0.59302219955401403</v>
      </c>
      <c r="N459">
        <v>56.2314625278458</v>
      </c>
      <c r="O459">
        <v>22.532314680487701</v>
      </c>
      <c r="P459">
        <v>4.1308293034223098</v>
      </c>
      <c r="Q459">
        <v>28.837272483026599</v>
      </c>
      <c r="R459">
        <v>56.983368380738597</v>
      </c>
      <c r="S459">
        <v>0.81041495991606105</v>
      </c>
      <c r="T459">
        <v>38.538748104559602</v>
      </c>
      <c r="U459">
        <v>1.1519572971801699</v>
      </c>
      <c r="V459">
        <v>63.119613067223298</v>
      </c>
    </row>
    <row r="460" spans="1:22" x14ac:dyDescent="0.25">
      <c r="A460" t="str">
        <f t="shared" si="7"/>
        <v>Denmark2019</v>
      </c>
      <c r="B460" t="s">
        <v>75</v>
      </c>
      <c r="C460" t="s">
        <v>76</v>
      </c>
      <c r="D460">
        <v>2019</v>
      </c>
      <c r="E460">
        <v>59404.266324772303</v>
      </c>
      <c r="F460">
        <v>1.7114009393273599</v>
      </c>
      <c r="G460">
        <v>0.75813157251162</v>
      </c>
      <c r="H460">
        <v>10</v>
      </c>
      <c r="I460">
        <v>19.7143802297606</v>
      </c>
      <c r="J460">
        <v>5.0179999999999998</v>
      </c>
      <c r="K460">
        <v>35.294411019504999</v>
      </c>
      <c r="L460">
        <v>39.7772359663564</v>
      </c>
      <c r="M460">
        <v>0.95087860650897904</v>
      </c>
      <c r="N460">
        <v>56.599964340676898</v>
      </c>
      <c r="O460">
        <v>21.885999875019401</v>
      </c>
      <c r="P460">
        <v>3.9386509504899401</v>
      </c>
      <c r="Q460">
        <v>29.330803636394901</v>
      </c>
      <c r="R460">
        <v>58.950607916716699</v>
      </c>
      <c r="S460">
        <v>4.28292304733775</v>
      </c>
      <c r="T460">
        <v>38.334642133287403</v>
      </c>
      <c r="U460">
        <v>1.3370021406270101</v>
      </c>
      <c r="V460">
        <v>66.666151128734498</v>
      </c>
    </row>
    <row r="461" spans="1:22" x14ac:dyDescent="0.25">
      <c r="A461" t="str">
        <f t="shared" si="7"/>
        <v>Denmark2020</v>
      </c>
      <c r="B461" t="s">
        <v>75</v>
      </c>
      <c r="C461" t="s">
        <v>76</v>
      </c>
      <c r="D461">
        <v>2020</v>
      </c>
      <c r="E461">
        <v>60985.488560151403</v>
      </c>
      <c r="F461">
        <v>-1.78010601831291</v>
      </c>
      <c r="G461">
        <v>0.42071197411002398</v>
      </c>
      <c r="H461">
        <v>10</v>
      </c>
      <c r="I461">
        <v>20.0008145375227</v>
      </c>
      <c r="J461">
        <v>5.6440000000000001</v>
      </c>
      <c r="K461">
        <v>38.758574507326799</v>
      </c>
      <c r="L461">
        <v>39.212070382728299</v>
      </c>
      <c r="M461">
        <v>2.8269216853524699</v>
      </c>
      <c r="N461">
        <v>57.003764759983397</v>
      </c>
      <c r="O461">
        <v>22.762653255505501</v>
      </c>
      <c r="P461">
        <v>4.52934660153465</v>
      </c>
      <c r="Q461">
        <v>29.9881913199068</v>
      </c>
      <c r="R461">
        <v>55.036897324451402</v>
      </c>
      <c r="S461">
        <v>0.362547763035171</v>
      </c>
      <c r="T461">
        <v>45.196876114829003</v>
      </c>
      <c r="U461">
        <v>1.1158383543296999</v>
      </c>
      <c r="V461">
        <v>62.4273635390838</v>
      </c>
    </row>
    <row r="462" spans="1:22" x14ac:dyDescent="0.25">
      <c r="A462" t="str">
        <f t="shared" si="7"/>
        <v>Denmark2021</v>
      </c>
      <c r="B462" t="s">
        <v>75</v>
      </c>
      <c r="C462" t="s">
        <v>76</v>
      </c>
      <c r="D462">
        <v>2021</v>
      </c>
      <c r="E462">
        <v>69340.733492213796</v>
      </c>
      <c r="F462">
        <v>6.5002544575629502</v>
      </c>
      <c r="G462">
        <v>1.8530454398968901</v>
      </c>
      <c r="H462">
        <v>10</v>
      </c>
      <c r="I462">
        <v>20.248126251701802</v>
      </c>
      <c r="J462">
        <v>5.0650000000000004</v>
      </c>
      <c r="K462">
        <v>36.417787972112002</v>
      </c>
      <c r="L462">
        <v>40.556339422776297</v>
      </c>
      <c r="M462">
        <v>3.0443542013470299</v>
      </c>
      <c r="N462">
        <v>57.287268469407202</v>
      </c>
      <c r="O462">
        <v>23.958712277316302</v>
      </c>
      <c r="P462">
        <v>4.16057736639066</v>
      </c>
      <c r="Q462">
        <v>32.504473717289699</v>
      </c>
      <c r="R462">
        <v>59.207347871595701</v>
      </c>
      <c r="S462">
        <v>4.0781197371203799</v>
      </c>
      <c r="T462">
        <v>39.627613325709</v>
      </c>
      <c r="U462">
        <v>1.48847803021973</v>
      </c>
      <c r="V462">
        <v>69.569312318396101</v>
      </c>
    </row>
    <row r="463" spans="1:22" x14ac:dyDescent="0.25">
      <c r="A463" t="str">
        <f t="shared" si="7"/>
        <v>Denmark2022</v>
      </c>
      <c r="B463" t="s">
        <v>75</v>
      </c>
      <c r="C463" t="s">
        <v>76</v>
      </c>
      <c r="D463">
        <v>2022</v>
      </c>
      <c r="E463">
        <v>67781.094093951397</v>
      </c>
      <c r="F463">
        <v>0.44383261490833098</v>
      </c>
      <c r="G463">
        <v>7.6965669988925898</v>
      </c>
      <c r="H463">
        <v>10</v>
      </c>
      <c r="I463">
        <v>20.400740076472498</v>
      </c>
      <c r="J463">
        <v>4.4340000000000002</v>
      </c>
      <c r="K463">
        <v>32.164969451510302</v>
      </c>
      <c r="L463">
        <v>35.869667874517503</v>
      </c>
      <c r="M463">
        <v>10.398410494046701</v>
      </c>
      <c r="N463">
        <v>57.324288553803598</v>
      </c>
      <c r="O463">
        <v>24.777203290235299</v>
      </c>
      <c r="P463">
        <v>4.2171222263487698</v>
      </c>
      <c r="Q463">
        <v>35.939843074163697</v>
      </c>
      <c r="R463">
        <v>70.755214877640498</v>
      </c>
      <c r="S463">
        <v>3.38932465690332</v>
      </c>
      <c r="T463">
        <v>33.3154144144398</v>
      </c>
      <c r="U463">
        <v>1.3903892330274801</v>
      </c>
      <c r="V463">
        <v>67.6893590801957</v>
      </c>
    </row>
    <row r="464" spans="1:22" x14ac:dyDescent="0.25">
      <c r="A464" t="str">
        <f t="shared" si="7"/>
        <v>Denmark2023</v>
      </c>
      <c r="B464" t="s">
        <v>75</v>
      </c>
      <c r="C464" t="s">
        <v>76</v>
      </c>
      <c r="D464">
        <v>2023</v>
      </c>
      <c r="E464">
        <v>68043.5466971243</v>
      </c>
      <c r="F464">
        <v>0.60458776617558396</v>
      </c>
      <c r="G464">
        <v>3.30517811237605</v>
      </c>
      <c r="H464">
        <v>10</v>
      </c>
      <c r="I464">
        <v>20.600182931242401</v>
      </c>
      <c r="J464">
        <v>5.0940000000000003</v>
      </c>
      <c r="K464">
        <v>33.338571317725197</v>
      </c>
      <c r="L464">
        <v>37.284438097347198</v>
      </c>
      <c r="M464">
        <v>-2.1225063656732699</v>
      </c>
      <c r="N464">
        <v>57.3988511670291</v>
      </c>
      <c r="O464">
        <v>23.644619779762898</v>
      </c>
      <c r="P464">
        <v>4.6946297228068703</v>
      </c>
      <c r="Q464">
        <v>34.648144629452901</v>
      </c>
      <c r="R464">
        <v>69.314362059144301</v>
      </c>
      <c r="S464">
        <v>3.4301422811396698</v>
      </c>
      <c r="T464">
        <v>32.964015250018697</v>
      </c>
      <c r="U464">
        <v>1.41412840210028</v>
      </c>
      <c r="V464">
        <v>68.144339965353595</v>
      </c>
    </row>
    <row r="465" spans="1:22" x14ac:dyDescent="0.25">
      <c r="A465" t="str">
        <f t="shared" si="7"/>
        <v>Denmark2024</v>
      </c>
      <c r="B465" t="s">
        <v>75</v>
      </c>
      <c r="C465" t="s">
        <v>76</v>
      </c>
      <c r="D465">
        <v>2024</v>
      </c>
      <c r="E465">
        <v>71026.483227189703</v>
      </c>
      <c r="F465">
        <v>3.4778359314031202</v>
      </c>
      <c r="G465">
        <v>1.3722004976892499</v>
      </c>
      <c r="H465">
        <v>10</v>
      </c>
      <c r="I465">
        <v>20.866070466616701</v>
      </c>
      <c r="J465">
        <v>5.3579999999999997</v>
      </c>
      <c r="K465">
        <v>38.066949152977301</v>
      </c>
      <c r="L465">
        <v>38.286805049391702</v>
      </c>
      <c r="M465">
        <v>1.4554551393303701</v>
      </c>
      <c r="N465">
        <v>57.635355729698098</v>
      </c>
      <c r="O465">
        <v>23.206503611990399</v>
      </c>
      <c r="P465">
        <v>4.4011771754</v>
      </c>
      <c r="Q465">
        <v>35.400332774680301</v>
      </c>
      <c r="R465">
        <v>71.002013204304603</v>
      </c>
      <c r="S465">
        <v>4.4587099291463401</v>
      </c>
      <c r="T465">
        <v>30.5437056139681</v>
      </c>
      <c r="U465">
        <v>1.58143606046609</v>
      </c>
      <c r="V465">
        <v>71.350930148165901</v>
      </c>
    </row>
    <row r="466" spans="1:22" x14ac:dyDescent="0.25">
      <c r="A466" t="str">
        <f t="shared" si="7"/>
        <v>Denmark2025</v>
      </c>
      <c r="B466" t="s">
        <v>75</v>
      </c>
      <c r="C466" t="s">
        <v>76</v>
      </c>
      <c r="D466">
        <v>2025</v>
      </c>
      <c r="E466">
        <v>61324.766504556501</v>
      </c>
      <c r="F466">
        <v>1.5828970310880199</v>
      </c>
      <c r="G466">
        <v>1.1471321695760099</v>
      </c>
      <c r="H466">
        <v>10</v>
      </c>
      <c r="I466">
        <v>19.182268409177301</v>
      </c>
      <c r="J466">
        <v>5.5289999999999999</v>
      </c>
      <c r="K466">
        <v>38.066949152977301</v>
      </c>
      <c r="L466">
        <v>39.050176031711501</v>
      </c>
      <c r="M466">
        <v>1.0187064869212601</v>
      </c>
      <c r="N466">
        <v>55.889816208919598</v>
      </c>
      <c r="O466">
        <v>21.885999875019401</v>
      </c>
      <c r="P466">
        <v>4.6557369789957601</v>
      </c>
      <c r="Q466">
        <v>28.837272483026599</v>
      </c>
      <c r="R466">
        <v>55.345951561373603</v>
      </c>
      <c r="S466">
        <v>2.8515334858056698</v>
      </c>
      <c r="T466">
        <v>27.532830052316999</v>
      </c>
      <c r="U466">
        <v>1.2953664723751299</v>
      </c>
      <c r="V466">
        <v>65.868168977915104</v>
      </c>
    </row>
    <row r="467" spans="1:22" x14ac:dyDescent="0.25">
      <c r="A467" t="str">
        <f t="shared" si="7"/>
        <v>Dominican Republic2010</v>
      </c>
      <c r="B467" t="s">
        <v>77</v>
      </c>
      <c r="C467" t="s">
        <v>78</v>
      </c>
      <c r="D467">
        <v>2010</v>
      </c>
      <c r="E467">
        <v>5478.6247039895397</v>
      </c>
      <c r="F467">
        <v>8.4011454120959606</v>
      </c>
      <c r="G467">
        <v>6.3299322014614603</v>
      </c>
      <c r="H467">
        <v>15</v>
      </c>
      <c r="I467">
        <v>5.0618598955721303</v>
      </c>
      <c r="J467">
        <v>5.2119999999999997</v>
      </c>
      <c r="K467">
        <v>14.224384204490599</v>
      </c>
      <c r="L467">
        <v>13.8621559687475</v>
      </c>
      <c r="M467">
        <v>5.3493113436178001</v>
      </c>
      <c r="N467">
        <v>56.084798628766997</v>
      </c>
      <c r="O467">
        <v>26.071421834617801</v>
      </c>
      <c r="P467">
        <v>2.3004401114906301</v>
      </c>
      <c r="Q467">
        <v>18.358631733073501</v>
      </c>
      <c r="R467">
        <v>22.775118616548799</v>
      </c>
      <c r="S467">
        <v>-2.9747840015622899</v>
      </c>
      <c r="T467">
        <v>37.351879701553699</v>
      </c>
      <c r="U467">
        <v>-0.23142368916014</v>
      </c>
      <c r="V467">
        <v>36.605967886743201</v>
      </c>
    </row>
    <row r="468" spans="1:22" x14ac:dyDescent="0.25">
      <c r="A468" t="str">
        <f t="shared" si="7"/>
        <v>Dominican Republic2011</v>
      </c>
      <c r="B468" t="s">
        <v>77</v>
      </c>
      <c r="C468" t="s">
        <v>78</v>
      </c>
      <c r="D468">
        <v>2011</v>
      </c>
      <c r="E468">
        <v>5826.5101410919497</v>
      </c>
      <c r="F468">
        <v>3.1919622747552299</v>
      </c>
      <c r="G468">
        <v>5.7967680920653297</v>
      </c>
      <c r="H468">
        <v>15</v>
      </c>
      <c r="I468">
        <v>5.1622817136163901</v>
      </c>
      <c r="J468">
        <v>6.0869999999999997</v>
      </c>
      <c r="K468">
        <v>14.035629544790201</v>
      </c>
      <c r="L468">
        <v>13.7530564552843</v>
      </c>
      <c r="M468">
        <v>7.9662894213611297</v>
      </c>
      <c r="N468">
        <v>55.406010157246399</v>
      </c>
      <c r="O468">
        <v>24.6033236905519</v>
      </c>
      <c r="P468">
        <v>2.1391160754138201</v>
      </c>
      <c r="Q468">
        <v>16.912658176504902</v>
      </c>
      <c r="R468">
        <v>24.326960214138101</v>
      </c>
      <c r="S468">
        <v>-3.0680713399030299</v>
      </c>
      <c r="T468">
        <v>39.107567388434802</v>
      </c>
      <c r="U468">
        <v>-0.29496626235545298</v>
      </c>
      <c r="V468">
        <v>35.388121714075901</v>
      </c>
    </row>
    <row r="469" spans="1:22" x14ac:dyDescent="0.25">
      <c r="A469" t="str">
        <f t="shared" si="7"/>
        <v>Dominican Republic2012</v>
      </c>
      <c r="B469" t="s">
        <v>77</v>
      </c>
      <c r="C469" t="s">
        <v>78</v>
      </c>
      <c r="D469">
        <v>2012</v>
      </c>
      <c r="E469">
        <v>6013.8196500260301</v>
      </c>
      <c r="F469">
        <v>2.77567100848816</v>
      </c>
      <c r="G469">
        <v>3.69449707884776</v>
      </c>
      <c r="H469">
        <v>15</v>
      </c>
      <c r="I469">
        <v>5.2855290613263</v>
      </c>
      <c r="J469">
        <v>6.7220000000000004</v>
      </c>
      <c r="K469">
        <v>15.8662710050019</v>
      </c>
      <c r="L469">
        <v>14.5714737313022</v>
      </c>
      <c r="M469">
        <v>4.9784750167195604</v>
      </c>
      <c r="N469">
        <v>54.865571559045101</v>
      </c>
      <c r="O469">
        <v>23.752559716089301</v>
      </c>
      <c r="P469">
        <v>1.8068856567701099</v>
      </c>
      <c r="Q469">
        <v>17.272381120199899</v>
      </c>
      <c r="R469">
        <v>24.766621399390601</v>
      </c>
      <c r="S469">
        <v>-6.2648267992393398</v>
      </c>
      <c r="T469">
        <v>42.404240066612303</v>
      </c>
      <c r="U469">
        <v>-0.41809311250904801</v>
      </c>
      <c r="V469">
        <v>33.028293402571698</v>
      </c>
    </row>
    <row r="470" spans="1:22" x14ac:dyDescent="0.25">
      <c r="A470" t="str">
        <f t="shared" si="7"/>
        <v>Dominican Republic2013</v>
      </c>
      <c r="B470" t="s">
        <v>77</v>
      </c>
      <c r="C470" t="s">
        <v>78</v>
      </c>
      <c r="D470">
        <v>2013</v>
      </c>
      <c r="E470">
        <v>6136.5942932930102</v>
      </c>
      <c r="F470">
        <v>4.93473300709881</v>
      </c>
      <c r="G470">
        <v>4.8309509674079996</v>
      </c>
      <c r="H470">
        <v>15</v>
      </c>
      <c r="I470">
        <v>5.4281841495826004</v>
      </c>
      <c r="J470">
        <v>7.351</v>
      </c>
      <c r="K470">
        <v>15.4846483694906</v>
      </c>
      <c r="L470">
        <v>15.0596357502335</v>
      </c>
      <c r="M470">
        <v>4.6285967088084403</v>
      </c>
      <c r="N470">
        <v>54.4757716527618</v>
      </c>
      <c r="O470">
        <v>22.1057612783667</v>
      </c>
      <c r="P470">
        <v>2.44120754839417</v>
      </c>
      <c r="Q470">
        <v>17.9384449807193</v>
      </c>
      <c r="R470">
        <v>25.383817706626299</v>
      </c>
      <c r="S470">
        <v>-4.4128814573429596</v>
      </c>
      <c r="T470">
        <v>46.809259383773203</v>
      </c>
      <c r="U470">
        <v>-0.295626834118911</v>
      </c>
      <c r="V470">
        <v>35.375461307777499</v>
      </c>
    </row>
    <row r="471" spans="1:22" x14ac:dyDescent="0.25">
      <c r="A471" t="str">
        <f t="shared" si="7"/>
        <v>Dominican Republic2014</v>
      </c>
      <c r="B471" t="s">
        <v>77</v>
      </c>
      <c r="C471" t="s">
        <v>78</v>
      </c>
      <c r="D471">
        <v>2014</v>
      </c>
      <c r="E471">
        <v>6496.4516697114204</v>
      </c>
      <c r="F471">
        <v>7.1112262967389199</v>
      </c>
      <c r="G471">
        <v>2.9986422612521801</v>
      </c>
      <c r="H471">
        <v>15</v>
      </c>
      <c r="I471">
        <v>5.5802575292441396</v>
      </c>
      <c r="J471">
        <v>6.7190000000000003</v>
      </c>
      <c r="K471">
        <v>15.6805638273879</v>
      </c>
      <c r="L471">
        <v>15.0782995327954</v>
      </c>
      <c r="M471">
        <v>4.2157814645044001</v>
      </c>
      <c r="N471">
        <v>54.108817815053499</v>
      </c>
      <c r="O471">
        <v>22.394607608416901</v>
      </c>
      <c r="P471">
        <v>2.4265855965102401</v>
      </c>
      <c r="Q471">
        <v>19.219742419367702</v>
      </c>
      <c r="R471">
        <v>25.406902692503198</v>
      </c>
      <c r="S471">
        <v>-2.7595360257725901</v>
      </c>
      <c r="T471">
        <v>45.022061305992302</v>
      </c>
      <c r="U471">
        <v>-0.16347364086348401</v>
      </c>
      <c r="V471">
        <v>37.908286979114202</v>
      </c>
    </row>
    <row r="472" spans="1:22" x14ac:dyDescent="0.25">
      <c r="A472" t="str">
        <f t="shared" si="7"/>
        <v>Dominican Republic2015</v>
      </c>
      <c r="B472" t="s">
        <v>77</v>
      </c>
      <c r="C472" t="s">
        <v>78</v>
      </c>
      <c r="D472">
        <v>2015</v>
      </c>
      <c r="E472">
        <v>6800.9530939547403</v>
      </c>
      <c r="F472">
        <v>6.9877113123638699</v>
      </c>
      <c r="G472">
        <v>0.83674634672455594</v>
      </c>
      <c r="H472">
        <v>15</v>
      </c>
      <c r="I472">
        <v>5.7442292537807802</v>
      </c>
      <c r="J472">
        <v>7.6050000000000004</v>
      </c>
      <c r="K472">
        <v>15.3612641247847</v>
      </c>
      <c r="L472">
        <v>14.518621654380199</v>
      </c>
      <c r="M472">
        <v>2.38116064893268</v>
      </c>
      <c r="N472">
        <v>53.6903366896845</v>
      </c>
      <c r="O472">
        <v>22.650690723218698</v>
      </c>
      <c r="P472">
        <v>2.6819220559466599</v>
      </c>
      <c r="Q472">
        <v>20.9370254521336</v>
      </c>
      <c r="R472">
        <v>24.036834723654302</v>
      </c>
      <c r="S472">
        <v>-3.3082318020111703E-2</v>
      </c>
      <c r="T472">
        <v>44.8121813305888</v>
      </c>
      <c r="U472">
        <v>-5.3735267999593897E-2</v>
      </c>
      <c r="V472">
        <v>40.0115140073341</v>
      </c>
    </row>
    <row r="473" spans="1:22" x14ac:dyDescent="0.25">
      <c r="A473" t="str">
        <f t="shared" si="7"/>
        <v>Dominican Republic2016</v>
      </c>
      <c r="B473" t="s">
        <v>77</v>
      </c>
      <c r="C473" t="s">
        <v>78</v>
      </c>
      <c r="D473">
        <v>2016</v>
      </c>
      <c r="E473">
        <v>7160.4420098230703</v>
      </c>
      <c r="F473">
        <v>6.7197407868129497</v>
      </c>
      <c r="G473">
        <v>1.61416607245222</v>
      </c>
      <c r="H473">
        <v>15</v>
      </c>
      <c r="I473">
        <v>5.9292676883260196</v>
      </c>
      <c r="J473">
        <v>7.2839999999999998</v>
      </c>
      <c r="K473">
        <v>16.426978943778401</v>
      </c>
      <c r="L473">
        <v>14.827297566694</v>
      </c>
      <c r="M473">
        <v>2.0153931389806998</v>
      </c>
      <c r="N473">
        <v>53.298478032326898</v>
      </c>
      <c r="O473">
        <v>22.172865270536398</v>
      </c>
      <c r="P473">
        <v>3.0045195461635701</v>
      </c>
      <c r="Q473">
        <v>21.2185996229361</v>
      </c>
      <c r="R473">
        <v>24.1938670386292</v>
      </c>
      <c r="S473">
        <v>-3.1094639897465699</v>
      </c>
      <c r="T473">
        <v>46.684915042199002</v>
      </c>
      <c r="U473">
        <v>-0.157513164898473</v>
      </c>
      <c r="V473">
        <v>38.0225244497774</v>
      </c>
    </row>
    <row r="474" spans="1:22" x14ac:dyDescent="0.25">
      <c r="A474" t="str">
        <f t="shared" si="7"/>
        <v>Dominican Republic2017</v>
      </c>
      <c r="B474" t="s">
        <v>77</v>
      </c>
      <c r="C474" t="s">
        <v>78</v>
      </c>
      <c r="D474">
        <v>2017</v>
      </c>
      <c r="E474">
        <v>7412.7157157151196</v>
      </c>
      <c r="F474">
        <v>3.9338617640157598</v>
      </c>
      <c r="G474">
        <v>3.2795569467854602</v>
      </c>
      <c r="H474">
        <v>15</v>
      </c>
      <c r="I474">
        <v>6.1330470505659402</v>
      </c>
      <c r="J474">
        <v>5.8319999999999999</v>
      </c>
      <c r="K474">
        <v>16.8356837461838</v>
      </c>
      <c r="L474">
        <v>14.9920997503639</v>
      </c>
      <c r="M474">
        <v>3.90748393888811</v>
      </c>
      <c r="N474">
        <v>53.004099772706603</v>
      </c>
      <c r="O474">
        <v>21.180920628541799</v>
      </c>
      <c r="P474">
        <v>3.2605850675694001</v>
      </c>
      <c r="Q474">
        <v>21.205061686898699</v>
      </c>
      <c r="R474">
        <v>24.179751963803401</v>
      </c>
      <c r="S474">
        <v>-3.1237439596445098</v>
      </c>
      <c r="T474">
        <v>49.480267616664001</v>
      </c>
      <c r="U474">
        <v>-0.137961756431004</v>
      </c>
      <c r="V474">
        <v>38.397243425969499</v>
      </c>
    </row>
    <row r="475" spans="1:22" x14ac:dyDescent="0.25">
      <c r="A475" t="str">
        <f t="shared" si="7"/>
        <v>Dominican Republic2018</v>
      </c>
      <c r="B475" t="s">
        <v>77</v>
      </c>
      <c r="C475" t="s">
        <v>78</v>
      </c>
      <c r="D475">
        <v>2018</v>
      </c>
      <c r="E475">
        <v>7882.9822158494399</v>
      </c>
      <c r="F475">
        <v>7.09751640210159</v>
      </c>
      <c r="G475">
        <v>3.5644342601350698</v>
      </c>
      <c r="H475">
        <v>15</v>
      </c>
      <c r="I475">
        <v>6.3528019036447896</v>
      </c>
      <c r="J475">
        <v>5.8609999999999998</v>
      </c>
      <c r="K475">
        <v>16.0317825388458</v>
      </c>
      <c r="L475">
        <v>15.269462908084</v>
      </c>
      <c r="M475">
        <v>4.5405050397442297</v>
      </c>
      <c r="N475">
        <v>52.825500273559399</v>
      </c>
      <c r="O475">
        <v>25.202290822076701</v>
      </c>
      <c r="P475">
        <v>3.2580276404276298</v>
      </c>
      <c r="Q475">
        <v>24.078440208376001</v>
      </c>
      <c r="R475">
        <v>23.993089643769</v>
      </c>
      <c r="S475">
        <v>-2.1746417956551198</v>
      </c>
      <c r="T475">
        <v>50.798171517914597</v>
      </c>
      <c r="U475">
        <v>-7.7202375700349393E-2</v>
      </c>
      <c r="V475">
        <v>39.561747404255399</v>
      </c>
    </row>
    <row r="476" spans="1:22" x14ac:dyDescent="0.25">
      <c r="A476" t="str">
        <f t="shared" si="7"/>
        <v>Dominican Republic2019</v>
      </c>
      <c r="B476" t="s">
        <v>77</v>
      </c>
      <c r="C476" t="s">
        <v>78</v>
      </c>
      <c r="D476">
        <v>2019</v>
      </c>
      <c r="E476">
        <v>8183.0162360037502</v>
      </c>
      <c r="F476">
        <v>4.8940301149584</v>
      </c>
      <c r="G476">
        <v>1.8106037704295901</v>
      </c>
      <c r="H476">
        <v>15</v>
      </c>
      <c r="I476">
        <v>6.5828266611933399</v>
      </c>
      <c r="J476">
        <v>6.3559999999999999</v>
      </c>
      <c r="K476">
        <v>17.501651670103598</v>
      </c>
      <c r="L476">
        <v>15.5470600045533</v>
      </c>
      <c r="M476">
        <v>3.5954507049397399</v>
      </c>
      <c r="N476">
        <v>52.7342819533255</v>
      </c>
      <c r="O476">
        <v>25.234862379461301</v>
      </c>
      <c r="P476">
        <v>3.63801766993102</v>
      </c>
      <c r="Q476">
        <v>24.145874331058501</v>
      </c>
      <c r="R476">
        <v>23.325332586795</v>
      </c>
      <c r="S476">
        <v>-3.4572835822886998</v>
      </c>
      <c r="T476">
        <v>53.456190411563902</v>
      </c>
      <c r="U476">
        <v>-0.149425502995126</v>
      </c>
      <c r="V476">
        <v>38.177531205083703</v>
      </c>
    </row>
    <row r="477" spans="1:22" x14ac:dyDescent="0.25">
      <c r="A477" t="str">
        <f t="shared" si="7"/>
        <v>Dominican Republic2020</v>
      </c>
      <c r="B477" t="s">
        <v>77</v>
      </c>
      <c r="C477" t="s">
        <v>78</v>
      </c>
      <c r="D477">
        <v>2020</v>
      </c>
      <c r="E477">
        <v>7135.2227325589902</v>
      </c>
      <c r="F477">
        <v>-7.9290523423106096</v>
      </c>
      <c r="G477">
        <v>3.7810317991551599</v>
      </c>
      <c r="H477">
        <v>15</v>
      </c>
      <c r="I477">
        <v>6.8099706585031301</v>
      </c>
      <c r="J477">
        <v>6.1260000000000003</v>
      </c>
      <c r="K477">
        <v>21.421458804865299</v>
      </c>
      <c r="L477">
        <v>14.881359048058799</v>
      </c>
      <c r="M477">
        <v>5.4546733734244803</v>
      </c>
      <c r="N477">
        <v>52.654405834434399</v>
      </c>
      <c r="O477">
        <v>24.879515915456999</v>
      </c>
      <c r="P477">
        <v>5.2833868887391002</v>
      </c>
      <c r="Q477">
        <v>22.929021940894799</v>
      </c>
      <c r="R477">
        <v>18.7972072415048</v>
      </c>
      <c r="S477">
        <v>-7.9361167387662404</v>
      </c>
      <c r="T477">
        <v>71.811557482566997</v>
      </c>
      <c r="U477">
        <v>-0.516653137557747</v>
      </c>
      <c r="V477">
        <v>31.1393086912569</v>
      </c>
    </row>
    <row r="478" spans="1:22" x14ac:dyDescent="0.25">
      <c r="A478" t="str">
        <f t="shared" si="7"/>
        <v>Dominican Republic2021</v>
      </c>
      <c r="B478" t="s">
        <v>77</v>
      </c>
      <c r="C478" t="s">
        <v>78</v>
      </c>
      <c r="D478">
        <v>2021</v>
      </c>
      <c r="E478">
        <v>8527.0754858205</v>
      </c>
      <c r="F478">
        <v>14.0124289062207</v>
      </c>
      <c r="G478">
        <v>8.2430034798180891</v>
      </c>
      <c r="H478">
        <v>15</v>
      </c>
      <c r="I478">
        <v>7.0293452797194496</v>
      </c>
      <c r="J478">
        <v>7.702</v>
      </c>
      <c r="K478">
        <v>17.359295171942499</v>
      </c>
      <c r="L478">
        <v>16.429786317420401</v>
      </c>
      <c r="M478">
        <v>7.2210335024218502</v>
      </c>
      <c r="N478">
        <v>52.591977212735898</v>
      </c>
      <c r="O478">
        <v>30.274963546009602</v>
      </c>
      <c r="P478">
        <v>4.6349671972872901</v>
      </c>
      <c r="Q478">
        <v>27.0787033087542</v>
      </c>
      <c r="R478">
        <v>21.528299798604301</v>
      </c>
      <c r="S478">
        <v>-2.92049125018442</v>
      </c>
      <c r="T478">
        <v>62.821211304928703</v>
      </c>
      <c r="U478">
        <v>-8.4780312177601999E-2</v>
      </c>
      <c r="V478">
        <v>39.416509959949003</v>
      </c>
    </row>
    <row r="479" spans="1:22" x14ac:dyDescent="0.25">
      <c r="A479" t="str">
        <f t="shared" si="7"/>
        <v>Dominican Republic2022</v>
      </c>
      <c r="B479" t="s">
        <v>77</v>
      </c>
      <c r="C479" t="s">
        <v>78</v>
      </c>
      <c r="D479">
        <v>2022</v>
      </c>
      <c r="E479">
        <v>10104.2449349081</v>
      </c>
      <c r="F479">
        <v>5.2379565290259498</v>
      </c>
      <c r="G479">
        <v>8.8110920927958691</v>
      </c>
      <c r="H479">
        <v>15</v>
      </c>
      <c r="I479">
        <v>7.2871331155707697</v>
      </c>
      <c r="J479">
        <v>5.5039999999999996</v>
      </c>
      <c r="K479">
        <v>18.056927216514801</v>
      </c>
      <c r="L479">
        <v>16.362321747737901</v>
      </c>
      <c r="M479">
        <v>9.5512347346640798</v>
      </c>
      <c r="N479">
        <v>52.623048866484503</v>
      </c>
      <c r="O479">
        <v>30.670557073476299</v>
      </c>
      <c r="P479">
        <v>4.1418477676032097</v>
      </c>
      <c r="Q479">
        <v>24.856616944153</v>
      </c>
      <c r="R479">
        <v>22.026186619824099</v>
      </c>
      <c r="S479">
        <v>-3.2489888904020701</v>
      </c>
      <c r="T479">
        <v>59.5782272394163</v>
      </c>
      <c r="U479">
        <v>-0.139562989524432</v>
      </c>
      <c r="V479">
        <v>38.366554464281002</v>
      </c>
    </row>
    <row r="480" spans="1:22" x14ac:dyDescent="0.25">
      <c r="A480" t="str">
        <f t="shared" si="7"/>
        <v>Dominican Republic2023</v>
      </c>
      <c r="B480" t="s">
        <v>77</v>
      </c>
      <c r="C480" t="s">
        <v>78</v>
      </c>
      <c r="D480">
        <v>2023</v>
      </c>
      <c r="E480">
        <v>10630.431743829</v>
      </c>
      <c r="F480">
        <v>2.1922984823793898</v>
      </c>
      <c r="G480">
        <v>4.78561281021135</v>
      </c>
      <c r="H480">
        <v>15</v>
      </c>
      <c r="I480">
        <v>7.5808611138800002</v>
      </c>
      <c r="J480">
        <v>5.5549999999999997</v>
      </c>
      <c r="K480">
        <v>18.066236602366001</v>
      </c>
      <c r="L480">
        <v>17.015284341070998</v>
      </c>
      <c r="M480">
        <v>5.7871768273553998</v>
      </c>
      <c r="N480">
        <v>52.659776053036097</v>
      </c>
      <c r="O480">
        <v>27.814562851518499</v>
      </c>
      <c r="P480">
        <v>4.5157837305189998</v>
      </c>
      <c r="Q480">
        <v>24.1386124750052</v>
      </c>
      <c r="R480">
        <v>21.323316532040099</v>
      </c>
      <c r="S480">
        <v>-3.2804909210095698</v>
      </c>
      <c r="T480">
        <v>60.511257136536898</v>
      </c>
      <c r="U480">
        <v>-0.13109733876165799</v>
      </c>
      <c r="V480">
        <v>38.528805689910399</v>
      </c>
    </row>
    <row r="481" spans="1:22" x14ac:dyDescent="0.25">
      <c r="A481" t="str">
        <f t="shared" si="7"/>
        <v>Dominican Republic2024</v>
      </c>
      <c r="B481" t="s">
        <v>77</v>
      </c>
      <c r="C481" t="s">
        <v>78</v>
      </c>
      <c r="D481">
        <v>2024</v>
      </c>
      <c r="E481">
        <v>10875.661844309199</v>
      </c>
      <c r="F481">
        <v>4.9535220449284898</v>
      </c>
      <c r="G481">
        <v>3.3022333895122702</v>
      </c>
      <c r="H481">
        <v>15</v>
      </c>
      <c r="I481">
        <v>7.8794750269020799</v>
      </c>
      <c r="J481">
        <v>5.3120000000000003</v>
      </c>
      <c r="K481">
        <v>16.229380741312099</v>
      </c>
      <c r="L481">
        <v>17.495901378601101</v>
      </c>
      <c r="M481">
        <v>4.2716753898434403</v>
      </c>
      <c r="N481">
        <v>52.574215586858699</v>
      </c>
      <c r="O481">
        <v>26.9980468938553</v>
      </c>
      <c r="P481">
        <v>3.6494616565621598</v>
      </c>
      <c r="Q481">
        <v>23.4974409414524</v>
      </c>
      <c r="R481">
        <v>22.7679273981921</v>
      </c>
      <c r="S481">
        <v>-3.0870443374718501</v>
      </c>
      <c r="T481">
        <v>58.7916181019337</v>
      </c>
      <c r="U481">
        <v>-7.9975958947154396E-2</v>
      </c>
      <c r="V481">
        <v>39.508589378512298</v>
      </c>
    </row>
    <row r="482" spans="1:22" x14ac:dyDescent="0.25">
      <c r="A482" t="str">
        <f t="shared" si="7"/>
        <v>Dominican Republic2025</v>
      </c>
      <c r="B482" t="s">
        <v>77</v>
      </c>
      <c r="C482" t="s">
        <v>78</v>
      </c>
      <c r="D482">
        <v>2025</v>
      </c>
      <c r="E482">
        <v>7160.4420098230703</v>
      </c>
      <c r="F482">
        <v>4.9535220449284898</v>
      </c>
      <c r="G482">
        <v>3.69449707884776</v>
      </c>
      <c r="H482">
        <v>15</v>
      </c>
      <c r="I482">
        <v>6.1330470505659402</v>
      </c>
      <c r="J482">
        <v>5.0919999999999996</v>
      </c>
      <c r="K482">
        <v>16.229380741312099</v>
      </c>
      <c r="L482">
        <v>15.0596357502335</v>
      </c>
      <c r="M482">
        <v>4.6285967088084403</v>
      </c>
      <c r="N482">
        <v>53.004099772706603</v>
      </c>
      <c r="O482">
        <v>24.879515915456999</v>
      </c>
      <c r="P482">
        <v>3.2580276404276298</v>
      </c>
      <c r="Q482">
        <v>21.2185996229361</v>
      </c>
      <c r="R482">
        <v>23.993089643769</v>
      </c>
      <c r="S482">
        <v>-3.5586990591226599</v>
      </c>
      <c r="T482">
        <v>59.003725627638303</v>
      </c>
      <c r="U482">
        <v>-0.19950393236514399</v>
      </c>
      <c r="V482">
        <v>37.217736527678902</v>
      </c>
    </row>
    <row r="483" spans="1:22" x14ac:dyDescent="0.25">
      <c r="A483" t="str">
        <f t="shared" si="7"/>
        <v>Ecuador2010</v>
      </c>
      <c r="B483" t="s">
        <v>79</v>
      </c>
      <c r="C483" t="s">
        <v>80</v>
      </c>
      <c r="D483">
        <v>2010</v>
      </c>
      <c r="E483">
        <v>4520.30959039763</v>
      </c>
      <c r="F483">
        <v>4.0291378798662096</v>
      </c>
      <c r="G483">
        <v>3.5543773456784198</v>
      </c>
      <c r="H483">
        <v>15</v>
      </c>
      <c r="I483">
        <v>5.8428024179039202</v>
      </c>
      <c r="J483">
        <v>4.0880000000000001</v>
      </c>
      <c r="K483">
        <v>33.428928568753598</v>
      </c>
      <c r="L483">
        <v>29.6657402526175</v>
      </c>
      <c r="M483">
        <v>9.0137173860125301</v>
      </c>
      <c r="N483">
        <v>59.173675855577102</v>
      </c>
      <c r="O483">
        <v>23.490015873351499</v>
      </c>
      <c r="P483">
        <v>1.32503175460345</v>
      </c>
      <c r="Q483">
        <v>24.816802064226799</v>
      </c>
      <c r="R483">
        <v>32.485695179913499</v>
      </c>
      <c r="S483">
        <v>-1.38537295206216</v>
      </c>
      <c r="T483">
        <v>18.435544001458702</v>
      </c>
      <c r="U483">
        <v>0.31037135448995401</v>
      </c>
      <c r="V483">
        <v>46.989919733503299</v>
      </c>
    </row>
    <row r="484" spans="1:22" x14ac:dyDescent="0.25">
      <c r="A484" t="str">
        <f t="shared" si="7"/>
        <v>Ecuador2011</v>
      </c>
      <c r="B484" t="s">
        <v>79</v>
      </c>
      <c r="C484" t="s">
        <v>80</v>
      </c>
      <c r="D484">
        <v>2011</v>
      </c>
      <c r="E484">
        <v>5153.6916424375004</v>
      </c>
      <c r="F484">
        <v>8.4814765633282292</v>
      </c>
      <c r="G484">
        <v>4.4745326579583997</v>
      </c>
      <c r="H484">
        <v>15</v>
      </c>
      <c r="I484">
        <v>5.9754695651927099</v>
      </c>
      <c r="J484">
        <v>3.4580000000000002</v>
      </c>
      <c r="K484">
        <v>33.428928568753598</v>
      </c>
      <c r="L484">
        <v>29.6657402526175</v>
      </c>
      <c r="M484">
        <v>6.8375122295414599</v>
      </c>
      <c r="N484">
        <v>58.486033043527897</v>
      </c>
      <c r="O484">
        <v>23.532091145328799</v>
      </c>
      <c r="P484">
        <v>1.27331707779755</v>
      </c>
      <c r="Q484">
        <v>27.595697846411198</v>
      </c>
      <c r="R484">
        <v>36.113369439351303</v>
      </c>
      <c r="S484">
        <v>-0.127193666358141</v>
      </c>
      <c r="T484">
        <v>18.607203385466399</v>
      </c>
      <c r="U484">
        <v>0.47550250110682701</v>
      </c>
      <c r="V484">
        <v>50.154795261558696</v>
      </c>
    </row>
    <row r="485" spans="1:22" x14ac:dyDescent="0.25">
      <c r="A485" t="str">
        <f t="shared" si="7"/>
        <v>Ecuador2012</v>
      </c>
      <c r="B485" t="s">
        <v>79</v>
      </c>
      <c r="C485" t="s">
        <v>80</v>
      </c>
      <c r="D485">
        <v>2012</v>
      </c>
      <c r="E485">
        <v>5634.08393191094</v>
      </c>
      <c r="F485">
        <v>5.7832123361720003</v>
      </c>
      <c r="G485">
        <v>5.1017218095866497</v>
      </c>
      <c r="H485">
        <v>15</v>
      </c>
      <c r="I485">
        <v>6.1074406085616504</v>
      </c>
      <c r="J485">
        <v>3.2349999999999999</v>
      </c>
      <c r="K485">
        <v>33.428928568753598</v>
      </c>
      <c r="L485">
        <v>29.6657402526175</v>
      </c>
      <c r="M485">
        <v>5.0032359079486204</v>
      </c>
      <c r="N485">
        <v>57.788953736152898</v>
      </c>
      <c r="O485">
        <v>23.013303645767699</v>
      </c>
      <c r="P485">
        <v>1.0250125964583801</v>
      </c>
      <c r="Q485">
        <v>27.056035875976399</v>
      </c>
      <c r="R485">
        <v>34.8314108177156</v>
      </c>
      <c r="S485">
        <v>-2.83487190277003</v>
      </c>
      <c r="T485">
        <v>19.341320947429299</v>
      </c>
      <c r="U485">
        <v>0.33596910160508398</v>
      </c>
      <c r="V485">
        <v>47.480521809960699</v>
      </c>
    </row>
    <row r="486" spans="1:22" x14ac:dyDescent="0.25">
      <c r="A486" t="str">
        <f t="shared" si="7"/>
        <v>Ecuador2013</v>
      </c>
      <c r="B486" t="s">
        <v>79</v>
      </c>
      <c r="C486" t="s">
        <v>80</v>
      </c>
      <c r="D486">
        <v>2013</v>
      </c>
      <c r="E486">
        <v>6109.2903151034097</v>
      </c>
      <c r="F486">
        <v>7.2112365367915903</v>
      </c>
      <c r="G486">
        <v>2.7217757771037099</v>
      </c>
      <c r="H486">
        <v>15</v>
      </c>
      <c r="I486">
        <v>6.2639116436556899</v>
      </c>
      <c r="J486">
        <v>3.0830000000000002</v>
      </c>
      <c r="K486">
        <v>33.530977470257596</v>
      </c>
      <c r="L486">
        <v>30.565842337122099</v>
      </c>
      <c r="M486">
        <v>2.6668672801717599</v>
      </c>
      <c r="N486">
        <v>57.058020182790699</v>
      </c>
      <c r="O486">
        <v>24.883352893860799</v>
      </c>
      <c r="P486">
        <v>1.6795739912293</v>
      </c>
      <c r="Q486">
        <v>27.2669540464466</v>
      </c>
      <c r="R486">
        <v>32.3752665078284</v>
      </c>
      <c r="S486">
        <v>-8.16521102168943</v>
      </c>
      <c r="T486">
        <v>23.425528257062101</v>
      </c>
      <c r="U486">
        <v>0.11414063764768401</v>
      </c>
      <c r="V486">
        <v>43.228995121093398</v>
      </c>
    </row>
    <row r="487" spans="1:22" x14ac:dyDescent="0.25">
      <c r="A487" t="str">
        <f t="shared" si="7"/>
        <v>Ecuador2014</v>
      </c>
      <c r="B487" t="s">
        <v>79</v>
      </c>
      <c r="C487" t="s">
        <v>80</v>
      </c>
      <c r="D487">
        <v>2014</v>
      </c>
      <c r="E487">
        <v>6405.7997930044103</v>
      </c>
      <c r="F487">
        <v>4.2260652038845601</v>
      </c>
      <c r="G487">
        <v>3.5892201661666299</v>
      </c>
      <c r="H487">
        <v>15</v>
      </c>
      <c r="I487">
        <v>6.4484719155127204</v>
      </c>
      <c r="J487">
        <v>3.48</v>
      </c>
      <c r="K487">
        <v>33.326879667249599</v>
      </c>
      <c r="L487">
        <v>28.8901339676781</v>
      </c>
      <c r="M487">
        <v>2.05296051570632</v>
      </c>
      <c r="N487">
        <v>56.2912618898864</v>
      </c>
      <c r="O487">
        <v>24.705890782662301</v>
      </c>
      <c r="P487">
        <v>1.4854036145618199</v>
      </c>
      <c r="Q487">
        <v>26.5544051178952</v>
      </c>
      <c r="R487">
        <v>31.355036694031799</v>
      </c>
      <c r="S487">
        <v>-8.1063171151010103</v>
      </c>
      <c r="T487">
        <v>28.162976208839702</v>
      </c>
      <c r="U487">
        <v>4.3541128240436898E-2</v>
      </c>
      <c r="V487">
        <v>41.8758969067745</v>
      </c>
    </row>
    <row r="488" spans="1:22" x14ac:dyDescent="0.25">
      <c r="A488" t="str">
        <f t="shared" si="7"/>
        <v>Ecuador2015</v>
      </c>
      <c r="B488" t="s">
        <v>79</v>
      </c>
      <c r="C488" t="s">
        <v>80</v>
      </c>
      <c r="D488">
        <v>2015</v>
      </c>
      <c r="E488">
        <v>5976.1596805650997</v>
      </c>
      <c r="F488">
        <v>0.11969210928761199</v>
      </c>
      <c r="G488">
        <v>3.9666462325535701</v>
      </c>
      <c r="H488">
        <v>15</v>
      </c>
      <c r="I488">
        <v>6.6399763928016498</v>
      </c>
      <c r="J488">
        <v>3.6160000000000001</v>
      </c>
      <c r="K488">
        <v>34.075853824724298</v>
      </c>
      <c r="L488">
        <v>30.845883378935099</v>
      </c>
      <c r="M488">
        <v>-5.4756326567153497</v>
      </c>
      <c r="N488">
        <v>55.492010282251499</v>
      </c>
      <c r="O488">
        <v>22.6864358338097</v>
      </c>
      <c r="P488">
        <v>1.15848913221995</v>
      </c>
      <c r="Q488">
        <v>20.6257227679619</v>
      </c>
      <c r="R488">
        <v>22.754485726599</v>
      </c>
      <c r="S488">
        <v>-6.8663726051559602</v>
      </c>
      <c r="T488">
        <v>36.437971405208103</v>
      </c>
      <c r="U488">
        <v>1.31787386383415E-3</v>
      </c>
      <c r="V488">
        <v>41.066653180020701</v>
      </c>
    </row>
    <row r="489" spans="1:22" x14ac:dyDescent="0.25">
      <c r="A489" t="str">
        <f t="shared" si="7"/>
        <v>Ecuador2016</v>
      </c>
      <c r="B489" t="s">
        <v>79</v>
      </c>
      <c r="C489" t="s">
        <v>80</v>
      </c>
      <c r="D489">
        <v>2016</v>
      </c>
      <c r="E489">
        <v>5917.6377127148098</v>
      </c>
      <c r="F489">
        <v>-0.68795424587794696</v>
      </c>
      <c r="G489">
        <v>1.72826463324532</v>
      </c>
      <c r="H489">
        <v>15</v>
      </c>
      <c r="I489">
        <v>6.8256894663440697</v>
      </c>
      <c r="J489">
        <v>4.5970000000000004</v>
      </c>
      <c r="K489">
        <v>35.0549572104551</v>
      </c>
      <c r="L489">
        <v>28.641207958401299</v>
      </c>
      <c r="M489">
        <v>1.1711445039272399</v>
      </c>
      <c r="N489">
        <v>54.625932080585102</v>
      </c>
      <c r="O489">
        <v>20.246050859108401</v>
      </c>
      <c r="P489">
        <v>2.3291563796145498</v>
      </c>
      <c r="Q489">
        <v>21.259373763832102</v>
      </c>
      <c r="R489">
        <v>20.539291155890002</v>
      </c>
      <c r="S489">
        <v>-10.2924849040576</v>
      </c>
      <c r="T489">
        <v>46.0660201083871</v>
      </c>
      <c r="U489">
        <v>-0.180785647607557</v>
      </c>
      <c r="V489">
        <v>37.576487996254997</v>
      </c>
    </row>
    <row r="490" spans="1:22" x14ac:dyDescent="0.25">
      <c r="A490" t="str">
        <f t="shared" si="7"/>
        <v>Ecuador2017</v>
      </c>
      <c r="B490" t="s">
        <v>79</v>
      </c>
      <c r="C490" t="s">
        <v>80</v>
      </c>
      <c r="D490">
        <v>2017</v>
      </c>
      <c r="E490">
        <v>6233.3224479771798</v>
      </c>
      <c r="F490">
        <v>5.97039880954841</v>
      </c>
      <c r="G490">
        <v>0.41733558866682402</v>
      </c>
      <c r="H490">
        <v>15</v>
      </c>
      <c r="I490">
        <v>7.0039269323920701</v>
      </c>
      <c r="J490">
        <v>3.8359999999999999</v>
      </c>
      <c r="K490">
        <v>31.5192679680287</v>
      </c>
      <c r="L490">
        <v>27.9863154861129</v>
      </c>
      <c r="M490">
        <v>0.93203165612483496</v>
      </c>
      <c r="N490">
        <v>53.740416518250001</v>
      </c>
      <c r="O490">
        <v>22.480387821336102</v>
      </c>
      <c r="P490">
        <v>1.01272465167522</v>
      </c>
      <c r="Q490">
        <v>22.0809584801112</v>
      </c>
      <c r="R490">
        <v>21.485587391276901</v>
      </c>
      <c r="S490">
        <v>-5.7721744981091998</v>
      </c>
      <c r="T490">
        <v>47.391467044194599</v>
      </c>
      <c r="U490">
        <v>5.5835120912802398E-2</v>
      </c>
      <c r="V490">
        <v>42.111521483651799</v>
      </c>
    </row>
    <row r="491" spans="1:22" x14ac:dyDescent="0.25">
      <c r="A491" t="str">
        <f t="shared" si="7"/>
        <v>Ecuador2018</v>
      </c>
      <c r="B491" t="s">
        <v>79</v>
      </c>
      <c r="C491" t="s">
        <v>80</v>
      </c>
      <c r="D491">
        <v>2018</v>
      </c>
      <c r="E491">
        <v>6303.9188665833799</v>
      </c>
      <c r="F491">
        <v>1.0442946067960699</v>
      </c>
      <c r="G491">
        <v>-0.22410324600555201</v>
      </c>
      <c r="H491">
        <v>15</v>
      </c>
      <c r="I491">
        <v>7.1945256725743398</v>
      </c>
      <c r="J491">
        <v>3.53</v>
      </c>
      <c r="K491">
        <v>33.725044920669802</v>
      </c>
      <c r="L491">
        <v>31.2062328120813</v>
      </c>
      <c r="M491">
        <v>1.81939670683758</v>
      </c>
      <c r="N491">
        <v>52.895761240244497</v>
      </c>
      <c r="O491">
        <v>22.540439333052401</v>
      </c>
      <c r="P491">
        <v>0.870720975059323</v>
      </c>
      <c r="Q491">
        <v>21.190477548113599</v>
      </c>
      <c r="R491">
        <v>23.5438701347327</v>
      </c>
      <c r="S491">
        <v>-2.8027264700440599</v>
      </c>
      <c r="T491">
        <v>49.505346182624699</v>
      </c>
      <c r="U491">
        <v>0.20769103231393399</v>
      </c>
      <c r="V491">
        <v>45.021966106791602</v>
      </c>
    </row>
    <row r="492" spans="1:22" x14ac:dyDescent="0.25">
      <c r="A492" t="str">
        <f t="shared" si="7"/>
        <v>Ecuador2019</v>
      </c>
      <c r="B492" t="s">
        <v>79</v>
      </c>
      <c r="C492" t="s">
        <v>80</v>
      </c>
      <c r="D492">
        <v>2019</v>
      </c>
      <c r="E492">
        <v>6205.0576524676599</v>
      </c>
      <c r="F492">
        <v>0.16540446460030001</v>
      </c>
      <c r="G492">
        <v>0.26601251546615501</v>
      </c>
      <c r="H492">
        <v>15</v>
      </c>
      <c r="I492">
        <v>7.4079118067990901</v>
      </c>
      <c r="J492">
        <v>3.8119999999999998</v>
      </c>
      <c r="K492">
        <v>33.146896495393598</v>
      </c>
      <c r="L492">
        <v>29.659998464266302</v>
      </c>
      <c r="M492">
        <v>-5.6574258391037802E-2</v>
      </c>
      <c r="N492">
        <v>52.130793728779402</v>
      </c>
      <c r="O492">
        <v>21.049231183029999</v>
      </c>
      <c r="P492">
        <v>1.1953760193501</v>
      </c>
      <c r="Q492">
        <v>20.7647048727612</v>
      </c>
      <c r="R492">
        <v>24.048634598571301</v>
      </c>
      <c r="S492">
        <v>-3.4676049665139899</v>
      </c>
      <c r="T492">
        <v>52.064365370518303</v>
      </c>
      <c r="U492">
        <v>0.15906257583734201</v>
      </c>
      <c r="V492">
        <v>44.089961363755798</v>
      </c>
    </row>
    <row r="493" spans="1:22" x14ac:dyDescent="0.25">
      <c r="A493" t="str">
        <f t="shared" si="7"/>
        <v>Ecuador2020</v>
      </c>
      <c r="B493" t="s">
        <v>79</v>
      </c>
      <c r="C493" t="s">
        <v>80</v>
      </c>
      <c r="D493">
        <v>2020</v>
      </c>
      <c r="E493">
        <v>5463.6451534859798</v>
      </c>
      <c r="F493">
        <v>-9.24509619165865</v>
      </c>
      <c r="G493">
        <v>-0.33887239256213902</v>
      </c>
      <c r="H493">
        <v>15</v>
      </c>
      <c r="I493">
        <v>7.5617526653911504</v>
      </c>
      <c r="J493">
        <v>6.1159999999999997</v>
      </c>
      <c r="K493">
        <v>34.039675416688198</v>
      </c>
      <c r="L493">
        <v>27.121086732652401</v>
      </c>
      <c r="M493">
        <v>-1.8259565318761699</v>
      </c>
      <c r="N493">
        <v>51.413322407267898</v>
      </c>
      <c r="O493">
        <v>17.584912974872601</v>
      </c>
      <c r="P493">
        <v>3.62324133730871</v>
      </c>
      <c r="Q493">
        <v>19.812975920331901</v>
      </c>
      <c r="R493">
        <v>23.283562164242401</v>
      </c>
      <c r="S493">
        <v>-7.3757086815689199</v>
      </c>
      <c r="T493">
        <v>63.550943476180997</v>
      </c>
      <c r="U493">
        <v>-0.16372009390077299</v>
      </c>
      <c r="V493">
        <v>37.903563502032398</v>
      </c>
    </row>
    <row r="494" spans="1:22" x14ac:dyDescent="0.25">
      <c r="A494" t="str">
        <f t="shared" si="7"/>
        <v>Ecuador2021</v>
      </c>
      <c r="B494" t="s">
        <v>79</v>
      </c>
      <c r="C494" t="s">
        <v>80</v>
      </c>
      <c r="D494">
        <v>2021</v>
      </c>
      <c r="E494">
        <v>6061.3235018171099</v>
      </c>
      <c r="F494">
        <v>9.4218926903363105</v>
      </c>
      <c r="G494">
        <v>0.13325138609638901</v>
      </c>
      <c r="H494">
        <v>15</v>
      </c>
      <c r="I494">
        <v>7.6703661247933601</v>
      </c>
      <c r="J494">
        <v>4.5039999999999996</v>
      </c>
      <c r="K494">
        <v>31.926174930312499</v>
      </c>
      <c r="L494">
        <v>29.671482040968801</v>
      </c>
      <c r="M494">
        <v>2.1747440659329</v>
      </c>
      <c r="N494">
        <v>50.709120966150003</v>
      </c>
      <c r="O494">
        <v>20.7476106763154</v>
      </c>
      <c r="P494">
        <v>3.1402440362879398</v>
      </c>
      <c r="Q494">
        <v>23.600456797039399</v>
      </c>
      <c r="R494">
        <v>27.065975584002501</v>
      </c>
      <c r="S494">
        <v>-1.58878636608843</v>
      </c>
      <c r="T494">
        <v>61.756361754521201</v>
      </c>
      <c r="U494">
        <v>0.36687104980445301</v>
      </c>
      <c r="V494">
        <v>48.072783304107098</v>
      </c>
    </row>
    <row r="495" spans="1:22" x14ac:dyDescent="0.25">
      <c r="A495" t="str">
        <f t="shared" si="7"/>
        <v>Ecuador2022</v>
      </c>
      <c r="B495" t="s">
        <v>79</v>
      </c>
      <c r="C495" t="s">
        <v>80</v>
      </c>
      <c r="D495">
        <v>2022</v>
      </c>
      <c r="E495">
        <v>6515.5852841833603</v>
      </c>
      <c r="F495">
        <v>5.8684235486231104</v>
      </c>
      <c r="G495">
        <v>3.4661697221307599</v>
      </c>
      <c r="H495">
        <v>15</v>
      </c>
      <c r="I495">
        <v>7.8504016265354304</v>
      </c>
      <c r="J495">
        <v>3.7130000000000001</v>
      </c>
      <c r="K495">
        <v>30.4365983203311</v>
      </c>
      <c r="L495">
        <v>30.962540535543699</v>
      </c>
      <c r="M495">
        <v>2.3480684343998499</v>
      </c>
      <c r="N495">
        <v>50.076107819663797</v>
      </c>
      <c r="O495">
        <v>22.405905202530501</v>
      </c>
      <c r="P495">
        <v>2.6195105357852499</v>
      </c>
      <c r="Q495">
        <v>24.262120036235</v>
      </c>
      <c r="R495">
        <v>30.9252456928287</v>
      </c>
      <c r="S495">
        <v>4.36482071968236E-2</v>
      </c>
      <c r="T495">
        <v>57.202736746347597</v>
      </c>
      <c r="U495">
        <v>0.448831962854566</v>
      </c>
      <c r="V495">
        <v>49.643632252253802</v>
      </c>
    </row>
    <row r="496" spans="1:22" x14ac:dyDescent="0.25">
      <c r="A496" t="str">
        <f t="shared" si="7"/>
        <v>Ecuador2023</v>
      </c>
      <c r="B496" t="s">
        <v>79</v>
      </c>
      <c r="C496" t="s">
        <v>80</v>
      </c>
      <c r="D496">
        <v>2023</v>
      </c>
      <c r="E496">
        <v>6737.8474837963804</v>
      </c>
      <c r="F496">
        <v>1.9882381398423501</v>
      </c>
      <c r="G496">
        <v>2.2156876423705798</v>
      </c>
      <c r="H496">
        <v>15</v>
      </c>
      <c r="I496">
        <v>8.0928825523219192</v>
      </c>
      <c r="J496">
        <v>3.51</v>
      </c>
      <c r="K496">
        <v>33.428928568753598</v>
      </c>
      <c r="L496">
        <v>29.6657402526175</v>
      </c>
      <c r="M496">
        <v>2.28375927738441</v>
      </c>
      <c r="N496">
        <v>49.471407365730698</v>
      </c>
      <c r="O496">
        <v>20.650593270293001</v>
      </c>
      <c r="P496">
        <v>1.3850419628150299</v>
      </c>
      <c r="Q496">
        <v>22.391162158140101</v>
      </c>
      <c r="R496">
        <v>28.565929587542499</v>
      </c>
      <c r="S496">
        <v>-3.4914377716110701</v>
      </c>
      <c r="T496">
        <v>54.491011098564101</v>
      </c>
      <c r="U496">
        <v>0.25961655691150398</v>
      </c>
      <c r="V496">
        <v>46.017161897816898</v>
      </c>
    </row>
    <row r="497" spans="1:22" x14ac:dyDescent="0.25">
      <c r="A497" t="str">
        <f t="shared" si="7"/>
        <v>Ecuador2024</v>
      </c>
      <c r="B497" t="s">
        <v>79</v>
      </c>
      <c r="C497" t="s">
        <v>80</v>
      </c>
      <c r="D497">
        <v>2024</v>
      </c>
      <c r="E497">
        <v>6874.7057397660001</v>
      </c>
      <c r="F497">
        <v>-2.0012547634102602</v>
      </c>
      <c r="G497">
        <v>1.54732515615369</v>
      </c>
      <c r="H497">
        <v>15</v>
      </c>
      <c r="I497">
        <v>8.3439986622905309</v>
      </c>
      <c r="J497">
        <v>3.4529999999999998</v>
      </c>
      <c r="K497">
        <v>33.428928568753598</v>
      </c>
      <c r="L497">
        <v>29.6657402526175</v>
      </c>
      <c r="M497">
        <v>5.0146131924434902</v>
      </c>
      <c r="N497">
        <v>48.809184554547102</v>
      </c>
      <c r="O497">
        <v>18.4824073547769</v>
      </c>
      <c r="P497">
        <v>2.19646330660103</v>
      </c>
      <c r="Q497">
        <v>23.887244002965101</v>
      </c>
      <c r="R497">
        <v>30.278600678466798</v>
      </c>
      <c r="S497">
        <v>-1.28454040766358</v>
      </c>
      <c r="T497">
        <v>54.133744752707898</v>
      </c>
      <c r="U497">
        <v>0.380606897648545</v>
      </c>
      <c r="V497">
        <v>48.336042232477098</v>
      </c>
    </row>
    <row r="498" spans="1:22" x14ac:dyDescent="0.25">
      <c r="A498" t="str">
        <f t="shared" si="7"/>
        <v>Ecuador2025</v>
      </c>
      <c r="B498" t="s">
        <v>79</v>
      </c>
      <c r="C498" t="s">
        <v>80</v>
      </c>
      <c r="D498">
        <v>2025</v>
      </c>
      <c r="E498">
        <v>6109.2903151034097</v>
      </c>
      <c r="F498">
        <v>4.0291378798662096</v>
      </c>
      <c r="G498">
        <v>2.2156876423705798</v>
      </c>
      <c r="H498">
        <v>15</v>
      </c>
      <c r="I498">
        <v>7.0039269323920701</v>
      </c>
      <c r="J498">
        <v>3.3079999999999998</v>
      </c>
      <c r="K498">
        <v>33.428928568753598</v>
      </c>
      <c r="L498">
        <v>29.6657402526175</v>
      </c>
      <c r="M498">
        <v>2.1747440659329</v>
      </c>
      <c r="N498">
        <v>53.740416518250001</v>
      </c>
      <c r="O498">
        <v>22.480387821336102</v>
      </c>
      <c r="P498">
        <v>1.3850419628150299</v>
      </c>
      <c r="Q498">
        <v>23.600456797039399</v>
      </c>
      <c r="R498">
        <v>28.565929587542499</v>
      </c>
      <c r="S498">
        <v>-2.88142858895971</v>
      </c>
      <c r="T498">
        <v>54.415898622049703</v>
      </c>
      <c r="U498">
        <v>0.237874043922189</v>
      </c>
      <c r="V498">
        <v>45.600448584259098</v>
      </c>
    </row>
    <row r="499" spans="1:22" x14ac:dyDescent="0.25">
      <c r="A499" t="str">
        <f t="shared" si="7"/>
        <v>Egypt, Arab Rep.2010</v>
      </c>
      <c r="B499" t="s">
        <v>81</v>
      </c>
      <c r="C499" t="s">
        <v>82</v>
      </c>
      <c r="D499">
        <v>2010</v>
      </c>
      <c r="E499">
        <v>2455.0819464528199</v>
      </c>
      <c r="F499">
        <v>5.1472348575530997</v>
      </c>
      <c r="G499">
        <v>11.2651882653185</v>
      </c>
      <c r="H499">
        <v>9</v>
      </c>
      <c r="I499">
        <v>3.9298658581632102</v>
      </c>
      <c r="J499">
        <v>8.7569999999999997</v>
      </c>
      <c r="K499">
        <v>28.8602519476214</v>
      </c>
      <c r="L499">
        <v>24.783822310624899</v>
      </c>
      <c r="M499">
        <v>10.106864629572099</v>
      </c>
      <c r="N499">
        <v>60.816391878486698</v>
      </c>
      <c r="O499">
        <v>19.501077407591598</v>
      </c>
      <c r="P499">
        <v>6.7012137898716304</v>
      </c>
      <c r="Q499">
        <v>17.950388944140599</v>
      </c>
      <c r="R499">
        <v>21.349245814685901</v>
      </c>
      <c r="S499">
        <v>-7.4468195931771701</v>
      </c>
      <c r="T499">
        <v>69.5895410557399</v>
      </c>
      <c r="U499">
        <v>-0.67405895187834597</v>
      </c>
      <c r="V499">
        <v>28.122495570757501</v>
      </c>
    </row>
    <row r="500" spans="1:22" x14ac:dyDescent="0.25">
      <c r="A500" t="str">
        <f t="shared" si="7"/>
        <v>Egypt, Arab Rep.2011</v>
      </c>
      <c r="B500" t="s">
        <v>81</v>
      </c>
      <c r="C500" t="s">
        <v>82</v>
      </c>
      <c r="D500">
        <v>2011</v>
      </c>
      <c r="E500">
        <v>2590.6438489196498</v>
      </c>
      <c r="F500">
        <v>1.7645719489981999</v>
      </c>
      <c r="G500">
        <v>10.0649259874818</v>
      </c>
      <c r="H500">
        <v>9</v>
      </c>
      <c r="I500">
        <v>3.9682551444451999</v>
      </c>
      <c r="J500">
        <v>11.849</v>
      </c>
      <c r="K500">
        <v>29.189927795200902</v>
      </c>
      <c r="L500">
        <v>21.9307417402086</v>
      </c>
      <c r="M500">
        <v>11.662976350733199</v>
      </c>
      <c r="N500">
        <v>60.906213357264903</v>
      </c>
      <c r="O500">
        <v>17.103055940485699</v>
      </c>
      <c r="P500">
        <v>3.2853156823090202</v>
      </c>
      <c r="Q500">
        <v>16.868718255415398</v>
      </c>
      <c r="R500">
        <v>20.5674276128656</v>
      </c>
      <c r="S500">
        <v>-9.6000460024408198</v>
      </c>
      <c r="T500">
        <v>72.829975628831804</v>
      </c>
      <c r="U500">
        <v>-0.93177049945802903</v>
      </c>
      <c r="V500">
        <v>23.1832397916852</v>
      </c>
    </row>
    <row r="501" spans="1:22" x14ac:dyDescent="0.25">
      <c r="A501" t="str">
        <f t="shared" si="7"/>
        <v>Egypt, Arab Rep.2012</v>
      </c>
      <c r="B501" t="s">
        <v>81</v>
      </c>
      <c r="C501" t="s">
        <v>82</v>
      </c>
      <c r="D501">
        <v>2012</v>
      </c>
      <c r="E501">
        <v>2996.0677072015001</v>
      </c>
      <c r="F501">
        <v>2.2261997986352502</v>
      </c>
      <c r="G501">
        <v>7.1117294334308196</v>
      </c>
      <c r="H501">
        <v>9</v>
      </c>
      <c r="I501">
        <v>4.0227739501061501</v>
      </c>
      <c r="J501">
        <v>12.597</v>
      </c>
      <c r="K501">
        <v>28.689496626261398</v>
      </c>
      <c r="L501">
        <v>20.228219979697901</v>
      </c>
      <c r="M501">
        <v>19.482877469414799</v>
      </c>
      <c r="N501">
        <v>61.040693730132197</v>
      </c>
      <c r="O501">
        <v>16.0267510598913</v>
      </c>
      <c r="P501">
        <v>2.4877953414660201</v>
      </c>
      <c r="Q501">
        <v>12.878211022869801</v>
      </c>
      <c r="R501">
        <v>16.396966620887302</v>
      </c>
      <c r="S501">
        <v>-9.4710824713130908</v>
      </c>
      <c r="T501">
        <v>69.861624554858395</v>
      </c>
      <c r="U501">
        <v>-0.99793158616505395</v>
      </c>
      <c r="V501">
        <v>21.915207633497399</v>
      </c>
    </row>
    <row r="502" spans="1:22" x14ac:dyDescent="0.25">
      <c r="A502" t="str">
        <f t="shared" si="7"/>
        <v>Egypt, Arab Rep.2013</v>
      </c>
      <c r="B502" t="s">
        <v>81</v>
      </c>
      <c r="C502" t="s">
        <v>82</v>
      </c>
      <c r="D502">
        <v>2013</v>
      </c>
      <c r="E502">
        <v>3025.5256355244801</v>
      </c>
      <c r="F502">
        <v>2.1854660536214299</v>
      </c>
      <c r="G502">
        <v>9.4697198106492007</v>
      </c>
      <c r="H502">
        <v>9</v>
      </c>
      <c r="I502">
        <v>4.08274880933054</v>
      </c>
      <c r="J502">
        <v>13.154</v>
      </c>
      <c r="K502">
        <v>32.201730810578397</v>
      </c>
      <c r="L502">
        <v>21.416308320791199</v>
      </c>
      <c r="M502">
        <v>8.7126745748847192</v>
      </c>
      <c r="N502">
        <v>61.261463210987998</v>
      </c>
      <c r="O502">
        <v>14.2119974199097</v>
      </c>
      <c r="P502">
        <v>2.7300396352637302</v>
      </c>
      <c r="Q502">
        <v>13.6832216190067</v>
      </c>
      <c r="R502">
        <v>17.017845624596902</v>
      </c>
      <c r="S502">
        <v>-12.2793260148072</v>
      </c>
      <c r="T502">
        <v>79.812050038294601</v>
      </c>
      <c r="U502">
        <v>-1.0904357359342201</v>
      </c>
      <c r="V502">
        <v>20.142288799915601</v>
      </c>
    </row>
    <row r="503" spans="1:22" x14ac:dyDescent="0.25">
      <c r="A503" t="str">
        <f t="shared" si="7"/>
        <v>Egypt, Arab Rep.2014</v>
      </c>
      <c r="B503" t="s">
        <v>81</v>
      </c>
      <c r="C503" t="s">
        <v>82</v>
      </c>
      <c r="D503">
        <v>2014</v>
      </c>
      <c r="E503">
        <v>3133.3910226554099</v>
      </c>
      <c r="F503">
        <v>2.9159118798574801</v>
      </c>
      <c r="G503">
        <v>10.070215468748099</v>
      </c>
      <c r="H503">
        <v>9</v>
      </c>
      <c r="I503">
        <v>4.1385534757815901</v>
      </c>
      <c r="J503">
        <v>13.105</v>
      </c>
      <c r="K503">
        <v>32.920629107981199</v>
      </c>
      <c r="L503">
        <v>19.876713615023501</v>
      </c>
      <c r="M503">
        <v>11.2476245037869</v>
      </c>
      <c r="N503">
        <v>61.541961414143898</v>
      </c>
      <c r="O503">
        <v>13.643192488262899</v>
      </c>
      <c r="P503">
        <v>2.2120488860456602</v>
      </c>
      <c r="Q503">
        <v>11.884960798122099</v>
      </c>
      <c r="R503">
        <v>14.244131455399099</v>
      </c>
      <c r="S503">
        <v>-10.722663551269299</v>
      </c>
      <c r="T503">
        <v>80.874041034790295</v>
      </c>
      <c r="U503">
        <v>-1.05822644902693</v>
      </c>
      <c r="V503">
        <v>20.7596065258411</v>
      </c>
    </row>
    <row r="504" spans="1:22" x14ac:dyDescent="0.25">
      <c r="A504" t="str">
        <f t="shared" si="7"/>
        <v>Egypt, Arab Rep.2015</v>
      </c>
      <c r="B504" t="s">
        <v>81</v>
      </c>
      <c r="C504" t="s">
        <v>82</v>
      </c>
      <c r="D504">
        <v>2015</v>
      </c>
      <c r="E504">
        <v>3306.9815941414099</v>
      </c>
      <c r="F504">
        <v>4.3720190779014096</v>
      </c>
      <c r="G504">
        <v>10.370490343517</v>
      </c>
      <c r="H504">
        <v>12</v>
      </c>
      <c r="I504">
        <v>4.2012943477949403</v>
      </c>
      <c r="J504">
        <v>13.052</v>
      </c>
      <c r="K504">
        <v>30.2303694913867</v>
      </c>
      <c r="L504">
        <v>20.988624739146399</v>
      </c>
      <c r="M504">
        <v>9.9308897303598194</v>
      </c>
      <c r="N504">
        <v>61.977865621853397</v>
      </c>
      <c r="O504">
        <v>14.288637014607801</v>
      </c>
      <c r="P504">
        <v>2.5970750547482799</v>
      </c>
      <c r="Q504">
        <v>9.5934647080486108</v>
      </c>
      <c r="R504">
        <v>13.183845492859801</v>
      </c>
      <c r="S504">
        <v>-10.3704817278073</v>
      </c>
      <c r="T504">
        <v>83.753677183994995</v>
      </c>
      <c r="U504">
        <v>-0.90510757396319896</v>
      </c>
      <c r="V504">
        <v>23.694256896173201</v>
      </c>
    </row>
    <row r="505" spans="1:22" x14ac:dyDescent="0.25">
      <c r="A505" t="str">
        <f t="shared" si="7"/>
        <v>Egypt, Arab Rep.2016</v>
      </c>
      <c r="B505" t="s">
        <v>81</v>
      </c>
      <c r="C505" t="s">
        <v>82</v>
      </c>
      <c r="D505">
        <v>2016</v>
      </c>
      <c r="E505">
        <v>3270.6287768196999</v>
      </c>
      <c r="F505">
        <v>4.34664345555447</v>
      </c>
      <c r="G505">
        <v>13.8136062148289</v>
      </c>
      <c r="H505">
        <v>12</v>
      </c>
      <c r="I505">
        <v>4.2770048487283496</v>
      </c>
      <c r="J505">
        <v>12.45</v>
      </c>
      <c r="K505">
        <v>29.710148643293799</v>
      </c>
      <c r="L505">
        <v>21.202466529968799</v>
      </c>
      <c r="M505">
        <v>6.2456631337742596</v>
      </c>
      <c r="N505">
        <v>62.335350210571299</v>
      </c>
      <c r="O505">
        <v>15.0402303092936</v>
      </c>
      <c r="P505">
        <v>3.8854106958734902</v>
      </c>
      <c r="Q505">
        <v>9.7100415221082201</v>
      </c>
      <c r="R505">
        <v>10.345463940355801</v>
      </c>
      <c r="S505">
        <v>-11.7961486085408</v>
      </c>
      <c r="T505">
        <v>91.586298404273805</v>
      </c>
      <c r="U505">
        <v>-0.986096689630235</v>
      </c>
      <c r="V505">
        <v>22.142033251725699</v>
      </c>
    </row>
    <row r="506" spans="1:22" x14ac:dyDescent="0.25">
      <c r="A506" t="str">
        <f t="shared" si="7"/>
        <v>Egypt, Arab Rep.2017</v>
      </c>
      <c r="B506" t="s">
        <v>81</v>
      </c>
      <c r="C506" t="s">
        <v>82</v>
      </c>
      <c r="D506">
        <v>2017</v>
      </c>
      <c r="E506">
        <v>2395.10333299491</v>
      </c>
      <c r="F506">
        <v>4.1812209999477803</v>
      </c>
      <c r="G506">
        <v>29.506608394003798</v>
      </c>
      <c r="H506">
        <v>12</v>
      </c>
      <c r="I506">
        <v>4.3666939796626298</v>
      </c>
      <c r="J506">
        <v>11.766999999999999</v>
      </c>
      <c r="K506">
        <v>29.710148643293799</v>
      </c>
      <c r="L506">
        <v>21.202466529968799</v>
      </c>
      <c r="M506">
        <v>29.5184798346035</v>
      </c>
      <c r="N506">
        <v>62.525039917323198</v>
      </c>
      <c r="O506">
        <v>18.734101042151</v>
      </c>
      <c r="P506">
        <v>5.7230611185562701</v>
      </c>
      <c r="Q506">
        <v>14.0657396537104</v>
      </c>
      <c r="R506">
        <v>15.014086818567201</v>
      </c>
      <c r="S506">
        <v>-9.8983806996909092</v>
      </c>
      <c r="T506">
        <v>97.800322765939995</v>
      </c>
      <c r="U506">
        <v>-0.879139704076634</v>
      </c>
      <c r="V506">
        <v>24.191952682846399</v>
      </c>
    </row>
    <row r="507" spans="1:22" x14ac:dyDescent="0.25">
      <c r="A507" t="str">
        <f t="shared" si="7"/>
        <v>Egypt, Arab Rep.2018</v>
      </c>
      <c r="B507" t="s">
        <v>81</v>
      </c>
      <c r="C507" t="s">
        <v>82</v>
      </c>
      <c r="D507">
        <v>2018</v>
      </c>
      <c r="E507">
        <v>2484.70315630508</v>
      </c>
      <c r="F507">
        <v>5.3311086189447998</v>
      </c>
      <c r="G507">
        <v>14.4014657807421</v>
      </c>
      <c r="H507">
        <v>12</v>
      </c>
      <c r="I507">
        <v>4.4722571662530504</v>
      </c>
      <c r="J507">
        <v>9.8550000000000004</v>
      </c>
      <c r="K507">
        <v>29.710148643293799</v>
      </c>
      <c r="L507">
        <v>21.202466529968799</v>
      </c>
      <c r="M507">
        <v>21.1748208164536</v>
      </c>
      <c r="N507">
        <v>62.483602442236403</v>
      </c>
      <c r="O507">
        <v>20.6249196348206</v>
      </c>
      <c r="P507">
        <v>5.8573427040128401</v>
      </c>
      <c r="Q507">
        <v>17.998683982684</v>
      </c>
      <c r="R507">
        <v>17.984655608417999</v>
      </c>
      <c r="S507">
        <v>-8.9747331876044694</v>
      </c>
      <c r="T507">
        <v>87.949080622347907</v>
      </c>
      <c r="U507">
        <v>-0.72708831498099702</v>
      </c>
      <c r="V507">
        <v>27.106143798300302</v>
      </c>
    </row>
    <row r="508" spans="1:22" x14ac:dyDescent="0.25">
      <c r="A508" t="str">
        <f t="shared" si="7"/>
        <v>Egypt, Arab Rep.2019</v>
      </c>
      <c r="B508" t="s">
        <v>81</v>
      </c>
      <c r="C508" t="s">
        <v>82</v>
      </c>
      <c r="D508">
        <v>2019</v>
      </c>
      <c r="E508">
        <v>2962.9889202300301</v>
      </c>
      <c r="F508">
        <v>5.5520930715695602</v>
      </c>
      <c r="G508">
        <v>9.1527995932480302</v>
      </c>
      <c r="H508">
        <v>12</v>
      </c>
      <c r="I508">
        <v>4.5935289970750999</v>
      </c>
      <c r="J508">
        <v>7.851</v>
      </c>
      <c r="K508">
        <v>29.710148643293799</v>
      </c>
      <c r="L508">
        <v>21.202466529968799</v>
      </c>
      <c r="M508">
        <v>13.618095910996299</v>
      </c>
      <c r="N508">
        <v>62.168205937775497</v>
      </c>
      <c r="O508">
        <v>20.6540385989993</v>
      </c>
      <c r="P508">
        <v>5.8392394744023601</v>
      </c>
      <c r="Q508">
        <v>17.772853609721199</v>
      </c>
      <c r="R508">
        <v>16.644031451036501</v>
      </c>
      <c r="S508">
        <v>-7.5953431022158604</v>
      </c>
      <c r="T508">
        <v>80.092065761257999</v>
      </c>
      <c r="U508">
        <v>-0.60106196515797605</v>
      </c>
      <c r="V508">
        <v>29.521543428331501</v>
      </c>
    </row>
    <row r="509" spans="1:22" x14ac:dyDescent="0.25">
      <c r="A509" t="str">
        <f t="shared" si="7"/>
        <v>Egypt, Arab Rep.2020</v>
      </c>
      <c r="B509" t="s">
        <v>81</v>
      </c>
      <c r="C509" t="s">
        <v>82</v>
      </c>
      <c r="D509">
        <v>2020</v>
      </c>
      <c r="E509">
        <v>3511.1138102637901</v>
      </c>
      <c r="F509">
        <v>3.5501648378683801</v>
      </c>
      <c r="G509">
        <v>5.0449328897753798</v>
      </c>
      <c r="H509">
        <v>12</v>
      </c>
      <c r="I509">
        <v>4.6911816369123001</v>
      </c>
      <c r="J509">
        <v>7.9740000000000002</v>
      </c>
      <c r="K509">
        <v>29.710148643293799</v>
      </c>
      <c r="L509">
        <v>21.202466529968799</v>
      </c>
      <c r="M509">
        <v>6.1769340984796299</v>
      </c>
      <c r="N509">
        <v>61.721552713325501</v>
      </c>
      <c r="O509">
        <v>18.818060657283102</v>
      </c>
      <c r="P509">
        <v>5.5647345143089497</v>
      </c>
      <c r="Q509">
        <v>16.276588531677699</v>
      </c>
      <c r="R509">
        <v>12.472775737086801</v>
      </c>
      <c r="S509">
        <v>-7.4686262718200398</v>
      </c>
      <c r="T509">
        <v>86.222475051197804</v>
      </c>
      <c r="U509">
        <v>-0.63749951832281904</v>
      </c>
      <c r="V509">
        <v>28.823187468984901</v>
      </c>
    </row>
    <row r="510" spans="1:22" x14ac:dyDescent="0.25">
      <c r="A510" t="str">
        <f t="shared" si="7"/>
        <v>Egypt, Arab Rep.2021</v>
      </c>
      <c r="B510" t="s">
        <v>81</v>
      </c>
      <c r="C510" t="s">
        <v>82</v>
      </c>
      <c r="D510">
        <v>2021</v>
      </c>
      <c r="E510">
        <v>3827.3541537430801</v>
      </c>
      <c r="F510">
        <v>3.2906460120221102</v>
      </c>
      <c r="G510">
        <v>5.21404940513042</v>
      </c>
      <c r="H510">
        <v>12</v>
      </c>
      <c r="I510">
        <v>4.7409119034644496</v>
      </c>
      <c r="J510">
        <v>7.4409999999999998</v>
      </c>
      <c r="K510">
        <v>29.710148643293799</v>
      </c>
      <c r="L510">
        <v>21.202466529968799</v>
      </c>
      <c r="M510">
        <v>4.8471564324411798</v>
      </c>
      <c r="N510">
        <v>61.1155654480444</v>
      </c>
      <c r="O510">
        <v>18.212243550299402</v>
      </c>
      <c r="P510">
        <v>4.3822564342772798</v>
      </c>
      <c r="Q510">
        <v>13.894652474073601</v>
      </c>
      <c r="R510">
        <v>10.561150215365201</v>
      </c>
      <c r="S510">
        <v>-6.9552985847428301</v>
      </c>
      <c r="T510">
        <v>89.902601341717798</v>
      </c>
      <c r="U510">
        <v>-0.640783405527526</v>
      </c>
      <c r="V510">
        <v>28.760249044199501</v>
      </c>
    </row>
    <row r="511" spans="1:22" x14ac:dyDescent="0.25">
      <c r="A511" t="str">
        <f t="shared" si="7"/>
        <v>Egypt, Arab Rep.2022</v>
      </c>
      <c r="B511" t="s">
        <v>81</v>
      </c>
      <c r="C511" t="s">
        <v>82</v>
      </c>
      <c r="D511">
        <v>2022</v>
      </c>
      <c r="E511">
        <v>4233.3078374485603</v>
      </c>
      <c r="F511">
        <v>6.58784560886967</v>
      </c>
      <c r="G511">
        <v>13.8956609775177</v>
      </c>
      <c r="H511">
        <v>12</v>
      </c>
      <c r="I511">
        <v>4.8284034995589202</v>
      </c>
      <c r="J511">
        <v>6.5460000000000003</v>
      </c>
      <c r="K511">
        <v>29.710148643293799</v>
      </c>
      <c r="L511">
        <v>21.202466529968799</v>
      </c>
      <c r="M511">
        <v>10.425789243574499</v>
      </c>
      <c r="N511">
        <v>60.461472533718599</v>
      </c>
      <c r="O511">
        <v>19.855913292955101</v>
      </c>
      <c r="P511">
        <v>3.3273814636950099</v>
      </c>
      <c r="Q511">
        <v>15.591182658591</v>
      </c>
      <c r="R511">
        <v>15.0870258208479</v>
      </c>
      <c r="S511">
        <v>-5.7446350015938803</v>
      </c>
      <c r="T511">
        <v>88.5335268223226</v>
      </c>
      <c r="U511">
        <v>-0.516971864067304</v>
      </c>
      <c r="V511">
        <v>31.133200033072701</v>
      </c>
    </row>
    <row r="512" spans="1:22" x14ac:dyDescent="0.25">
      <c r="A512" t="str">
        <f t="shared" si="7"/>
        <v>Egypt, Arab Rep.2023</v>
      </c>
      <c r="B512" t="s">
        <v>81</v>
      </c>
      <c r="C512" t="s">
        <v>82</v>
      </c>
      <c r="D512">
        <v>2023</v>
      </c>
      <c r="E512">
        <v>3456.7896845625301</v>
      </c>
      <c r="F512">
        <v>3.76028052279247</v>
      </c>
      <c r="G512">
        <v>33.884776311554603</v>
      </c>
      <c r="H512">
        <v>12</v>
      </c>
      <c r="I512">
        <v>4.9696853877655203</v>
      </c>
      <c r="J512">
        <v>6.7530000000000001</v>
      </c>
      <c r="K512">
        <v>29.710148643293799</v>
      </c>
      <c r="L512">
        <v>21.202466529968799</v>
      </c>
      <c r="M512">
        <v>24.799075871900101</v>
      </c>
      <c r="N512">
        <v>59.756671035704699</v>
      </c>
      <c r="O512">
        <v>16.490733993737301</v>
      </c>
      <c r="P512">
        <v>3.8739099200178102</v>
      </c>
      <c r="Q512">
        <v>14.7904449401933</v>
      </c>
      <c r="R512">
        <v>19.106091340567598</v>
      </c>
      <c r="S512">
        <v>-5.7681571562207603</v>
      </c>
      <c r="T512">
        <v>95.929531910488393</v>
      </c>
      <c r="U512">
        <v>-0.52251776094383096</v>
      </c>
      <c r="V512">
        <v>31.0269083148522</v>
      </c>
    </row>
    <row r="513" spans="1:22" x14ac:dyDescent="0.25">
      <c r="A513" t="str">
        <f t="shared" si="7"/>
        <v>Egypt, Arab Rep.2024</v>
      </c>
      <c r="B513" t="s">
        <v>81</v>
      </c>
      <c r="C513" t="s">
        <v>82</v>
      </c>
      <c r="D513">
        <v>2024</v>
      </c>
      <c r="E513">
        <v>3338.4737139589502</v>
      </c>
      <c r="F513">
        <v>2.3991692678251</v>
      </c>
      <c r="G513">
        <v>28.2705899322082</v>
      </c>
      <c r="H513">
        <v>12</v>
      </c>
      <c r="I513">
        <v>5.1162953933818702</v>
      </c>
      <c r="J513">
        <v>6.8170000000000002</v>
      </c>
      <c r="K513">
        <v>29.710148643293799</v>
      </c>
      <c r="L513">
        <v>21.202466529968799</v>
      </c>
      <c r="M513">
        <v>33.691504217189198</v>
      </c>
      <c r="N513">
        <v>59.010195456522098</v>
      </c>
      <c r="O513">
        <v>12.996740187475201</v>
      </c>
      <c r="P513">
        <v>4.5395076470667703</v>
      </c>
      <c r="Q513">
        <v>9.2603736311047999</v>
      </c>
      <c r="R513">
        <v>16.376242210112601</v>
      </c>
      <c r="S513">
        <v>-7.1176049464235698</v>
      </c>
      <c r="T513">
        <v>90.925932701281795</v>
      </c>
      <c r="U513">
        <v>-0.58765885065123402</v>
      </c>
      <c r="V513">
        <v>29.778425246033201</v>
      </c>
    </row>
    <row r="514" spans="1:22" x14ac:dyDescent="0.25">
      <c r="A514" t="str">
        <f t="shared" si="7"/>
        <v>Egypt, Arab Rep.2025</v>
      </c>
      <c r="B514" t="s">
        <v>81</v>
      </c>
      <c r="C514" t="s">
        <v>82</v>
      </c>
      <c r="D514">
        <v>2025</v>
      </c>
      <c r="E514">
        <v>3133.3910226554099</v>
      </c>
      <c r="F514">
        <v>3.76028052279247</v>
      </c>
      <c r="G514">
        <v>10.370490343517</v>
      </c>
      <c r="H514">
        <v>12</v>
      </c>
      <c r="I514">
        <v>4.3666939796626298</v>
      </c>
      <c r="J514">
        <v>6.7809999999999997</v>
      </c>
      <c r="K514">
        <v>29.710148643293799</v>
      </c>
      <c r="L514">
        <v>21.202466529968799</v>
      </c>
      <c r="M514">
        <v>11.2476245037869</v>
      </c>
      <c r="N514">
        <v>61.261463210987998</v>
      </c>
      <c r="O514">
        <v>17.103055940485699</v>
      </c>
      <c r="P514">
        <v>3.8854106958734902</v>
      </c>
      <c r="Q514">
        <v>14.0657396537104</v>
      </c>
      <c r="R514">
        <v>16.376242210112601</v>
      </c>
      <c r="S514">
        <v>-6.5549533256507599</v>
      </c>
      <c r="T514">
        <v>86.833000529459099</v>
      </c>
      <c r="U514">
        <v>-0.58031193064560704</v>
      </c>
      <c r="V514">
        <v>29.919235067855301</v>
      </c>
    </row>
    <row r="515" spans="1:22" x14ac:dyDescent="0.25">
      <c r="A515" t="str">
        <f t="shared" si="7"/>
        <v>El Salvador2010</v>
      </c>
      <c r="B515" t="s">
        <v>83</v>
      </c>
      <c r="C515" t="s">
        <v>84</v>
      </c>
      <c r="D515">
        <v>2010</v>
      </c>
      <c r="E515">
        <v>3040.0730095287799</v>
      </c>
      <c r="F515">
        <v>2.1541953669363498</v>
      </c>
      <c r="G515">
        <v>1.1793357687367301</v>
      </c>
      <c r="H515">
        <v>9</v>
      </c>
      <c r="I515">
        <v>6.7191205635167099</v>
      </c>
      <c r="J515">
        <v>4.8929999999999998</v>
      </c>
      <c r="K515">
        <v>24.145811560327701</v>
      </c>
      <c r="L515">
        <v>22.029583823000099</v>
      </c>
      <c r="M515">
        <v>2.5979205150403599</v>
      </c>
      <c r="N515">
        <v>63.192311881381201</v>
      </c>
      <c r="O515">
        <v>16.6715814032151</v>
      </c>
      <c r="P515">
        <v>3.76303154474913</v>
      </c>
      <c r="Q515">
        <v>13.7834777561048</v>
      </c>
      <c r="R515">
        <v>26.946669326406401</v>
      </c>
      <c r="S515">
        <v>-4.96620037952255</v>
      </c>
      <c r="T515">
        <v>66.794188031755098</v>
      </c>
      <c r="U515">
        <v>-0.53845388264235805</v>
      </c>
      <c r="V515">
        <v>30.721479311244501</v>
      </c>
    </row>
    <row r="516" spans="1:22" x14ac:dyDescent="0.25">
      <c r="A516" t="str">
        <f t="shared" ref="A516:A579" si="8">C516&amp;D516</f>
        <v>El Salvador2011</v>
      </c>
      <c r="B516" t="s">
        <v>83</v>
      </c>
      <c r="C516" t="s">
        <v>84</v>
      </c>
      <c r="D516">
        <v>2011</v>
      </c>
      <c r="E516">
        <v>3330.60049486653</v>
      </c>
      <c r="F516">
        <v>3.7735849983468599</v>
      </c>
      <c r="G516">
        <v>5.1289237668160998</v>
      </c>
      <c r="H516">
        <v>9</v>
      </c>
      <c r="I516">
        <v>6.7814020955556398</v>
      </c>
      <c r="J516">
        <v>4.2969999999999997</v>
      </c>
      <c r="K516">
        <v>24.8898726231008</v>
      </c>
      <c r="L516">
        <v>23.228255863699999</v>
      </c>
      <c r="M516">
        <v>5.9533431549037203</v>
      </c>
      <c r="N516">
        <v>61.498221435166798</v>
      </c>
      <c r="O516">
        <v>17.7899287016523</v>
      </c>
      <c r="P516">
        <v>2.74925436537715</v>
      </c>
      <c r="Q516">
        <v>12.3086610992698</v>
      </c>
      <c r="R516">
        <v>28.981777558226302</v>
      </c>
      <c r="S516">
        <v>-4.4698557214186296</v>
      </c>
      <c r="T516">
        <v>65.5975247156058</v>
      </c>
      <c r="U516">
        <v>-0.47103647993025999</v>
      </c>
      <c r="V516">
        <v>32.013589808748797</v>
      </c>
    </row>
    <row r="517" spans="1:22" x14ac:dyDescent="0.25">
      <c r="A517" t="str">
        <f t="shared" si="8"/>
        <v>El Salvador2012</v>
      </c>
      <c r="B517" t="s">
        <v>83</v>
      </c>
      <c r="C517" t="s">
        <v>84</v>
      </c>
      <c r="D517">
        <v>2012</v>
      </c>
      <c r="E517">
        <v>3497.9125691550898</v>
      </c>
      <c r="F517">
        <v>2.8877001018869102</v>
      </c>
      <c r="G517">
        <v>1.7297348158138299</v>
      </c>
      <c r="H517">
        <v>9</v>
      </c>
      <c r="I517">
        <v>6.8551065387084504</v>
      </c>
      <c r="J517">
        <v>3.843</v>
      </c>
      <c r="K517">
        <v>22.9022053992888</v>
      </c>
      <c r="L517">
        <v>22.6560609136287</v>
      </c>
      <c r="M517">
        <v>2.4755499627840001</v>
      </c>
      <c r="N517">
        <v>59.861400615183797</v>
      </c>
      <c r="O517">
        <v>17.709545663899299</v>
      </c>
      <c r="P517">
        <v>3.3301862271877898</v>
      </c>
      <c r="Q517">
        <v>11.9122958239423</v>
      </c>
      <c r="R517">
        <v>28.5710611774443</v>
      </c>
      <c r="S517">
        <v>-3.80793123156199</v>
      </c>
      <c r="T517">
        <v>69.993560728004795</v>
      </c>
      <c r="U517">
        <v>-0.45531916862014998</v>
      </c>
      <c r="V517">
        <v>32.3148251295911</v>
      </c>
    </row>
    <row r="518" spans="1:22" x14ac:dyDescent="0.25">
      <c r="A518" t="str">
        <f t="shared" si="8"/>
        <v>El Salvador2013</v>
      </c>
      <c r="B518" t="s">
        <v>83</v>
      </c>
      <c r="C518" t="s">
        <v>84</v>
      </c>
      <c r="D518">
        <v>2013</v>
      </c>
      <c r="E518">
        <v>3582.2669400516902</v>
      </c>
      <c r="F518">
        <v>2.1829523249963501</v>
      </c>
      <c r="G518">
        <v>0.75766918452297305</v>
      </c>
      <c r="H518">
        <v>12</v>
      </c>
      <c r="I518">
        <v>6.9386572933416204</v>
      </c>
      <c r="J518">
        <v>3.6930000000000001</v>
      </c>
      <c r="K518">
        <v>22.995812824906199</v>
      </c>
      <c r="L518">
        <v>21.106854816706502</v>
      </c>
      <c r="M518">
        <v>0.63131169526100495</v>
      </c>
      <c r="N518">
        <v>58.284648590613401</v>
      </c>
      <c r="O518">
        <v>17.019402518125599</v>
      </c>
      <c r="P518">
        <v>2.6954349742861599</v>
      </c>
      <c r="Q518">
        <v>10.114624679472101</v>
      </c>
      <c r="R518">
        <v>29.724896048194299</v>
      </c>
      <c r="S518">
        <v>-4.4571947226100201</v>
      </c>
      <c r="T518">
        <v>69.654797112986202</v>
      </c>
      <c r="U518">
        <v>-0.34166267029473002</v>
      </c>
      <c r="V518">
        <v>34.493146285376199</v>
      </c>
    </row>
    <row r="519" spans="1:22" x14ac:dyDescent="0.25">
      <c r="A519" t="str">
        <f t="shared" si="8"/>
        <v>El Salvador2014</v>
      </c>
      <c r="B519" t="s">
        <v>83</v>
      </c>
      <c r="C519" t="s">
        <v>84</v>
      </c>
      <c r="D519">
        <v>2014</v>
      </c>
      <c r="E519">
        <v>3666.01248913873</v>
      </c>
      <c r="F519">
        <v>1.7293998423459001</v>
      </c>
      <c r="G519">
        <v>1.14134467538233</v>
      </c>
      <c r="H519">
        <v>15</v>
      </c>
      <c r="I519">
        <v>7.0301908743451804</v>
      </c>
      <c r="J519">
        <v>4.1539999999999999</v>
      </c>
      <c r="K519">
        <v>22.769717516948301</v>
      </c>
      <c r="L519">
        <v>20.592279993644201</v>
      </c>
      <c r="M519">
        <v>0.993230854860357</v>
      </c>
      <c r="N519">
        <v>56.823805428183199</v>
      </c>
      <c r="O519">
        <v>16.397215655674</v>
      </c>
      <c r="P519">
        <v>2.6520472382345601</v>
      </c>
      <c r="Q519">
        <v>11.583979646159801</v>
      </c>
      <c r="R519">
        <v>29.552875233419201</v>
      </c>
      <c r="S519">
        <v>-4.0174878128745304</v>
      </c>
      <c r="T519">
        <v>71.791089549963203</v>
      </c>
      <c r="U519">
        <v>-0.15897637776902901</v>
      </c>
      <c r="V519">
        <v>37.994480760254</v>
      </c>
    </row>
    <row r="520" spans="1:22" x14ac:dyDescent="0.25">
      <c r="A520" t="str">
        <f t="shared" si="8"/>
        <v>El Salvador2015</v>
      </c>
      <c r="B520" t="s">
        <v>83</v>
      </c>
      <c r="C520" t="s">
        <v>84</v>
      </c>
      <c r="D520">
        <v>2015</v>
      </c>
      <c r="E520">
        <v>3790.3408910816202</v>
      </c>
      <c r="F520">
        <v>2.4000000885211499</v>
      </c>
      <c r="G520">
        <v>-0.73138448738795703</v>
      </c>
      <c r="H520">
        <v>15</v>
      </c>
      <c r="I520">
        <v>7.1308225777981802</v>
      </c>
      <c r="J520">
        <v>3.9980000000000002</v>
      </c>
      <c r="K520">
        <v>22.763294090998901</v>
      </c>
      <c r="L520">
        <v>20.815043141336499</v>
      </c>
      <c r="M520">
        <v>1.307617777231</v>
      </c>
      <c r="N520">
        <v>55.540933002716102</v>
      </c>
      <c r="O520">
        <v>16.016987623644098</v>
      </c>
      <c r="P520">
        <v>2.7541237717949398</v>
      </c>
      <c r="Q520">
        <v>12.326249872465</v>
      </c>
      <c r="R520">
        <v>29.4861730232304</v>
      </c>
      <c r="S520">
        <v>-3.6321416404277</v>
      </c>
      <c r="T520">
        <v>73.463798960074698</v>
      </c>
      <c r="U520">
        <v>-0.107566274132084</v>
      </c>
      <c r="V520">
        <v>38.979798080631298</v>
      </c>
    </row>
    <row r="521" spans="1:22" x14ac:dyDescent="0.25">
      <c r="A521" t="str">
        <f t="shared" si="8"/>
        <v>El Salvador2016</v>
      </c>
      <c r="B521" t="s">
        <v>83</v>
      </c>
      <c r="C521" t="s">
        <v>84</v>
      </c>
      <c r="D521">
        <v>2016</v>
      </c>
      <c r="E521">
        <v>3901.34014965811</v>
      </c>
      <c r="F521">
        <v>2.53906241135864</v>
      </c>
      <c r="G521">
        <v>0.60404908699660997</v>
      </c>
      <c r="H521">
        <v>15</v>
      </c>
      <c r="I521">
        <v>7.2450899275165996</v>
      </c>
      <c r="J521">
        <v>4.4180000000000001</v>
      </c>
      <c r="K521">
        <v>23.207903768624501</v>
      </c>
      <c r="L521">
        <v>23.688866399340601</v>
      </c>
      <c r="M521">
        <v>0.65774620739658496</v>
      </c>
      <c r="N521">
        <v>54.424871545065301</v>
      </c>
      <c r="O521">
        <v>15.967514115536</v>
      </c>
      <c r="P521">
        <v>3.2124678285623598</v>
      </c>
      <c r="Q521">
        <v>13.690148051204901</v>
      </c>
      <c r="R521">
        <v>28.458590500850899</v>
      </c>
      <c r="S521">
        <v>-3.1041984734788901</v>
      </c>
      <c r="T521">
        <v>75.213908473879698</v>
      </c>
      <c r="U521">
        <v>-2.9582775085484202E-2</v>
      </c>
      <c r="V521">
        <v>40.474416587080299</v>
      </c>
    </row>
    <row r="522" spans="1:22" x14ac:dyDescent="0.25">
      <c r="A522" t="str">
        <f t="shared" si="8"/>
        <v>El Salvador2017</v>
      </c>
      <c r="B522" t="s">
        <v>83</v>
      </c>
      <c r="C522" t="s">
        <v>84</v>
      </c>
      <c r="D522">
        <v>2017</v>
      </c>
      <c r="E522">
        <v>4020.1267137391901</v>
      </c>
      <c r="F522">
        <v>2.2476190813413801</v>
      </c>
      <c r="G522">
        <v>1.0123540331558001</v>
      </c>
      <c r="H522">
        <v>15</v>
      </c>
      <c r="I522">
        <v>7.3701381025788297</v>
      </c>
      <c r="J522">
        <v>4.3849999999999998</v>
      </c>
      <c r="K522">
        <v>24.843989900009301</v>
      </c>
      <c r="L522">
        <v>25.097425368636799</v>
      </c>
      <c r="M522">
        <v>0.98656645626759598</v>
      </c>
      <c r="N522">
        <v>53.492804267885099</v>
      </c>
      <c r="O522">
        <v>16.677001936411902</v>
      </c>
      <c r="P522">
        <v>3.3216434293632102</v>
      </c>
      <c r="Q522">
        <v>15.0315465950023</v>
      </c>
      <c r="R522">
        <v>29.029764375866499</v>
      </c>
      <c r="S522">
        <v>-2.52822445642837</v>
      </c>
      <c r="T522">
        <v>77.135806698044703</v>
      </c>
      <c r="U522">
        <v>3.7891526583260803E-2</v>
      </c>
      <c r="V522">
        <v>41.767617600329999</v>
      </c>
    </row>
    <row r="523" spans="1:22" x14ac:dyDescent="0.25">
      <c r="A523" t="str">
        <f t="shared" si="8"/>
        <v>El Salvador2018</v>
      </c>
      <c r="B523" t="s">
        <v>83</v>
      </c>
      <c r="C523" t="s">
        <v>84</v>
      </c>
      <c r="D523">
        <v>2018</v>
      </c>
      <c r="E523">
        <v>4183.5462097135796</v>
      </c>
      <c r="F523">
        <v>2.4124442237791999</v>
      </c>
      <c r="G523">
        <v>1.09033000581892</v>
      </c>
      <c r="H523">
        <v>15</v>
      </c>
      <c r="I523">
        <v>7.49958097577779</v>
      </c>
      <c r="J523">
        <v>4.0060000000000002</v>
      </c>
      <c r="K523">
        <v>24.727093849739699</v>
      </c>
      <c r="L523">
        <v>24.948839104026199</v>
      </c>
      <c r="M523">
        <v>1.7162630870751501</v>
      </c>
      <c r="N523">
        <v>52.7722014739782</v>
      </c>
      <c r="O523">
        <v>18.371536671553802</v>
      </c>
      <c r="P523">
        <v>3.0550969474858398</v>
      </c>
      <c r="Q523">
        <v>15.5913609442311</v>
      </c>
      <c r="R523">
        <v>28.934373781025599</v>
      </c>
      <c r="S523">
        <v>-2.7059450361950601</v>
      </c>
      <c r="T523">
        <v>76.960887619033898</v>
      </c>
      <c r="U523">
        <v>3.1590925065133599E-2</v>
      </c>
      <c r="V523">
        <v>41.646861341045899</v>
      </c>
    </row>
    <row r="524" spans="1:22" x14ac:dyDescent="0.25">
      <c r="A524" t="str">
        <f t="shared" si="8"/>
        <v>El Salvador2019</v>
      </c>
      <c r="B524" t="s">
        <v>83</v>
      </c>
      <c r="C524" t="s">
        <v>84</v>
      </c>
      <c r="D524">
        <v>2019</v>
      </c>
      <c r="E524">
        <v>4320.1167153462702</v>
      </c>
      <c r="F524">
        <v>2.4374715906578399</v>
      </c>
      <c r="G524">
        <v>7.5324135002461198E-2</v>
      </c>
      <c r="H524">
        <v>15</v>
      </c>
      <c r="I524">
        <v>7.6263626856070896</v>
      </c>
      <c r="J524">
        <v>4.17</v>
      </c>
      <c r="K524">
        <v>24.759366604243699</v>
      </c>
      <c r="L524">
        <v>24.102400419029799</v>
      </c>
      <c r="M524">
        <v>0.84801470110534205</v>
      </c>
      <c r="N524">
        <v>52.209778450969402</v>
      </c>
      <c r="O524">
        <v>18.3447949008115</v>
      </c>
      <c r="P524">
        <v>3.7962533741022</v>
      </c>
      <c r="Q524">
        <v>18.205528927203101</v>
      </c>
      <c r="R524">
        <v>29.955909608000301</v>
      </c>
      <c r="S524">
        <v>-3.0703686648234099</v>
      </c>
      <c r="T524">
        <v>77.906117522463404</v>
      </c>
      <c r="U524">
        <v>4.1203128690785497E-2</v>
      </c>
      <c r="V524">
        <v>41.831087204238699</v>
      </c>
    </row>
    <row r="525" spans="1:22" x14ac:dyDescent="0.25">
      <c r="A525" t="str">
        <f t="shared" si="8"/>
        <v>El Salvador2020</v>
      </c>
      <c r="B525" t="s">
        <v>83</v>
      </c>
      <c r="C525" t="s">
        <v>84</v>
      </c>
      <c r="D525">
        <v>2020</v>
      </c>
      <c r="E525">
        <v>3997.1927958370902</v>
      </c>
      <c r="F525">
        <v>-7.8931013598669999</v>
      </c>
      <c r="G525">
        <v>-0.371590212324095</v>
      </c>
      <c r="H525">
        <v>15</v>
      </c>
      <c r="I525">
        <v>7.7097301085614198</v>
      </c>
      <c r="J525">
        <v>5.008</v>
      </c>
      <c r="K525">
        <v>33.944606979040699</v>
      </c>
      <c r="L525">
        <v>23.558666339769498</v>
      </c>
      <c r="M525">
        <v>0.65351231859975201</v>
      </c>
      <c r="N525">
        <v>51.6140634244598</v>
      </c>
      <c r="O525">
        <v>17.2116179042815</v>
      </c>
      <c r="P525">
        <v>3.0838176746130399</v>
      </c>
      <c r="Q525">
        <v>18.292911247824801</v>
      </c>
      <c r="R525">
        <v>24.5267982788944</v>
      </c>
      <c r="S525">
        <v>-8.1445147683557604</v>
      </c>
      <c r="T525">
        <v>95.3651490960102</v>
      </c>
      <c r="U525">
        <v>-0.30889580319446203</v>
      </c>
      <c r="V525">
        <v>35.121150498641299</v>
      </c>
    </row>
    <row r="526" spans="1:22" x14ac:dyDescent="0.25">
      <c r="A526" t="str">
        <f t="shared" si="8"/>
        <v>El Salvador2021</v>
      </c>
      <c r="B526" t="s">
        <v>83</v>
      </c>
      <c r="C526" t="s">
        <v>84</v>
      </c>
      <c r="D526">
        <v>2021</v>
      </c>
      <c r="E526">
        <v>4642.60743101342</v>
      </c>
      <c r="F526">
        <v>11.904761701595699</v>
      </c>
      <c r="G526">
        <v>3.46692585313082</v>
      </c>
      <c r="H526">
        <v>15</v>
      </c>
      <c r="I526">
        <v>7.7624434293301299</v>
      </c>
      <c r="J526">
        <v>4.327</v>
      </c>
      <c r="K526">
        <v>29.507484383575601</v>
      </c>
      <c r="L526">
        <v>28.574733999147501</v>
      </c>
      <c r="M526">
        <v>4.14207468599355</v>
      </c>
      <c r="N526">
        <v>50.962285382234299</v>
      </c>
      <c r="O526">
        <v>23.354912726378799</v>
      </c>
      <c r="P526">
        <v>2.3681627252636201</v>
      </c>
      <c r="Q526">
        <v>19.323991254728401</v>
      </c>
      <c r="R526">
        <v>28.7814953892726</v>
      </c>
      <c r="S526">
        <v>-5.53046225695992</v>
      </c>
      <c r="T526">
        <v>87.9551246869312</v>
      </c>
      <c r="U526">
        <v>5.0072230754520101E-2</v>
      </c>
      <c r="V526">
        <v>42.001070909023802</v>
      </c>
    </row>
    <row r="527" spans="1:22" x14ac:dyDescent="0.25">
      <c r="A527" t="str">
        <f t="shared" si="8"/>
        <v>El Salvador2022</v>
      </c>
      <c r="B527" t="s">
        <v>83</v>
      </c>
      <c r="C527" t="s">
        <v>84</v>
      </c>
      <c r="D527">
        <v>2022</v>
      </c>
      <c r="E527">
        <v>5074.6021022180603</v>
      </c>
      <c r="F527">
        <v>2.9546151654988901</v>
      </c>
      <c r="G527">
        <v>7.1986161560986703</v>
      </c>
      <c r="H527">
        <v>15</v>
      </c>
      <c r="I527">
        <v>7.8616309139710898</v>
      </c>
      <c r="J527">
        <v>2.9990000000000001</v>
      </c>
      <c r="K527">
        <v>27.394311662460002</v>
      </c>
      <c r="L527">
        <v>28.191923971419001</v>
      </c>
      <c r="M527">
        <v>6.5845634621845903</v>
      </c>
      <c r="N527">
        <v>50.327772047687901</v>
      </c>
      <c r="O527">
        <v>24.471574000976499</v>
      </c>
      <c r="P527">
        <v>1.5809932923873</v>
      </c>
      <c r="Q527">
        <v>19.066620637070098</v>
      </c>
      <c r="R527">
        <v>32.433483149734002</v>
      </c>
      <c r="S527">
        <v>-2.6838209734877201</v>
      </c>
      <c r="T527">
        <v>83.656724121755403</v>
      </c>
      <c r="U527">
        <v>0.10535186352311</v>
      </c>
      <c r="V527">
        <v>43.060550967956097</v>
      </c>
    </row>
    <row r="528" spans="1:22" x14ac:dyDescent="0.25">
      <c r="A528" t="str">
        <f t="shared" si="8"/>
        <v>El Salvador2023</v>
      </c>
      <c r="B528" t="s">
        <v>83</v>
      </c>
      <c r="C528" t="s">
        <v>84</v>
      </c>
      <c r="D528">
        <v>2023</v>
      </c>
      <c r="E528">
        <v>5365.4449139917097</v>
      </c>
      <c r="F528">
        <v>3.5391566928735001</v>
      </c>
      <c r="G528">
        <v>4.0455469422247701</v>
      </c>
      <c r="H528">
        <v>15</v>
      </c>
      <c r="I528">
        <v>8.0003182440031306</v>
      </c>
      <c r="J528">
        <v>2.992</v>
      </c>
      <c r="K528">
        <v>27.680086867289301</v>
      </c>
      <c r="L528">
        <v>26.051144395541499</v>
      </c>
      <c r="M528">
        <v>2.5937484930196599</v>
      </c>
      <c r="N528">
        <v>49.724606581678501</v>
      </c>
      <c r="O528">
        <v>20.684682491904901</v>
      </c>
      <c r="P528">
        <v>1.8836372834452699</v>
      </c>
      <c r="Q528">
        <v>19.598143603224901</v>
      </c>
      <c r="R528">
        <v>31.397143139026099</v>
      </c>
      <c r="S528">
        <v>-4.6864471709138398</v>
      </c>
      <c r="T528">
        <v>84.983665121400904</v>
      </c>
      <c r="U528">
        <v>4.5678435754407602E-2</v>
      </c>
      <c r="V528">
        <v>41.9168601798183</v>
      </c>
    </row>
    <row r="529" spans="1:22" x14ac:dyDescent="0.25">
      <c r="A529" t="str">
        <f t="shared" si="8"/>
        <v>El Salvador2024</v>
      </c>
      <c r="B529" t="s">
        <v>83</v>
      </c>
      <c r="C529" t="s">
        <v>84</v>
      </c>
      <c r="D529">
        <v>2024</v>
      </c>
      <c r="E529">
        <v>5579.6596916502904</v>
      </c>
      <c r="F529">
        <v>2.6020201612106901</v>
      </c>
      <c r="G529">
        <v>0.85378229256728799</v>
      </c>
      <c r="H529">
        <v>15</v>
      </c>
      <c r="I529">
        <v>8.14861585944133</v>
      </c>
      <c r="J529">
        <v>3.2610000000000001</v>
      </c>
      <c r="K529">
        <v>24.743230226991699</v>
      </c>
      <c r="L529">
        <v>26.885086254869201</v>
      </c>
      <c r="M529">
        <v>1.8141264032595099</v>
      </c>
      <c r="N529">
        <v>49.152974332256001</v>
      </c>
      <c r="O529">
        <v>20.344233388076798</v>
      </c>
      <c r="P529">
        <v>2.1110648125474598</v>
      </c>
      <c r="Q529">
        <v>18.555587193764399</v>
      </c>
      <c r="R529">
        <v>32.760704380833502</v>
      </c>
      <c r="S529">
        <v>-4.5495406770194604</v>
      </c>
      <c r="T529">
        <v>87.369224404827705</v>
      </c>
      <c r="U529">
        <v>3.5808325398457602E-2</v>
      </c>
      <c r="V529">
        <v>41.727691320007601</v>
      </c>
    </row>
    <row r="530" spans="1:22" x14ac:dyDescent="0.25">
      <c r="A530" t="str">
        <f t="shared" si="8"/>
        <v>El Salvador2025</v>
      </c>
      <c r="B530" t="s">
        <v>83</v>
      </c>
      <c r="C530" t="s">
        <v>84</v>
      </c>
      <c r="D530">
        <v>2025</v>
      </c>
      <c r="E530">
        <v>3997.1927958370902</v>
      </c>
      <c r="F530">
        <v>2.4374715906578399</v>
      </c>
      <c r="G530">
        <v>1.09033000581892</v>
      </c>
      <c r="H530">
        <v>15</v>
      </c>
      <c r="I530">
        <v>7.3701381025788297</v>
      </c>
      <c r="J530">
        <v>3.3029999999999999</v>
      </c>
      <c r="K530">
        <v>24.743230226991699</v>
      </c>
      <c r="L530">
        <v>23.688866399340601</v>
      </c>
      <c r="M530">
        <v>1.7162630870751501</v>
      </c>
      <c r="N530">
        <v>53.492804267885099</v>
      </c>
      <c r="O530">
        <v>17.709545663899299</v>
      </c>
      <c r="P530">
        <v>2.7541237717949398</v>
      </c>
      <c r="Q530">
        <v>15.0315465950023</v>
      </c>
      <c r="R530">
        <v>29.029764375866499</v>
      </c>
      <c r="S530">
        <v>-2.8181353455887601</v>
      </c>
      <c r="T530">
        <v>87.2280971189588</v>
      </c>
      <c r="U530">
        <v>-1.24293033124021E-2</v>
      </c>
      <c r="V530">
        <v>40.803177115593797</v>
      </c>
    </row>
    <row r="531" spans="1:22" x14ac:dyDescent="0.25">
      <c r="A531" t="str">
        <f t="shared" si="8"/>
        <v>Estonia2010</v>
      </c>
      <c r="B531" t="s">
        <v>85</v>
      </c>
      <c r="C531" t="s">
        <v>86</v>
      </c>
      <c r="D531">
        <v>2010</v>
      </c>
      <c r="E531">
        <v>14663.7041018705</v>
      </c>
      <c r="F531">
        <v>2.4497502063999002</v>
      </c>
      <c r="G531">
        <v>2.9720451201569298</v>
      </c>
      <c r="H531">
        <v>9</v>
      </c>
      <c r="I531">
        <v>17.440291532117101</v>
      </c>
      <c r="J531">
        <v>16.707000000000001</v>
      </c>
      <c r="K531">
        <v>38.243043608208097</v>
      </c>
      <c r="L531">
        <v>35.706034134580598</v>
      </c>
      <c r="M531">
        <v>1.81653769106526</v>
      </c>
      <c r="N531">
        <v>48.536141312229603</v>
      </c>
      <c r="O531">
        <v>21.587678165560401</v>
      </c>
      <c r="P531">
        <v>1.9793872314660299</v>
      </c>
      <c r="Q531">
        <v>23.360084699314399</v>
      </c>
      <c r="R531">
        <v>75.045940900160801</v>
      </c>
      <c r="S531">
        <v>-1.08789608567769</v>
      </c>
      <c r="T531">
        <v>7.9902264044456004</v>
      </c>
      <c r="U531">
        <v>0.50533442050278599</v>
      </c>
      <c r="V531">
        <v>50.726548765276902</v>
      </c>
    </row>
    <row r="532" spans="1:22" x14ac:dyDescent="0.25">
      <c r="A532" t="str">
        <f t="shared" si="8"/>
        <v>Estonia2011</v>
      </c>
      <c r="B532" t="s">
        <v>85</v>
      </c>
      <c r="C532" t="s">
        <v>86</v>
      </c>
      <c r="D532">
        <v>2011</v>
      </c>
      <c r="E532">
        <v>17555.545523942601</v>
      </c>
      <c r="F532">
        <v>7.6069745891316201</v>
      </c>
      <c r="G532">
        <v>4.9819013145361</v>
      </c>
      <c r="H532">
        <v>9</v>
      </c>
      <c r="I532">
        <v>17.571641400301001</v>
      </c>
      <c r="J532">
        <v>12.327999999999999</v>
      </c>
      <c r="K532">
        <v>34.852764540994499</v>
      </c>
      <c r="L532">
        <v>33.517189879234998</v>
      </c>
      <c r="M532">
        <v>5.5391746755001803</v>
      </c>
      <c r="N532">
        <v>49.263767464087898</v>
      </c>
      <c r="O532">
        <v>25.468166404718399</v>
      </c>
      <c r="P532">
        <v>0.116245534838941</v>
      </c>
      <c r="Q532">
        <v>26.780642326772</v>
      </c>
      <c r="R532">
        <v>86.269617522118395</v>
      </c>
      <c r="S532">
        <v>8.5724107118324899E-2</v>
      </c>
      <c r="T532">
        <v>7.5965275065016602</v>
      </c>
      <c r="U532">
        <v>0.68734568853662004</v>
      </c>
      <c r="V532">
        <v>54.214945835316698</v>
      </c>
    </row>
    <row r="533" spans="1:22" x14ac:dyDescent="0.25">
      <c r="A533" t="str">
        <f t="shared" si="8"/>
        <v>Estonia2012</v>
      </c>
      <c r="B533" t="s">
        <v>85</v>
      </c>
      <c r="C533" t="s">
        <v>86</v>
      </c>
      <c r="D533">
        <v>2012</v>
      </c>
      <c r="E533">
        <v>17568.213796971399</v>
      </c>
      <c r="F533">
        <v>3.6720187250654099</v>
      </c>
      <c r="G533">
        <v>3.9333998729698498</v>
      </c>
      <c r="H533">
        <v>9</v>
      </c>
      <c r="I533">
        <v>17.862818837818399</v>
      </c>
      <c r="J533">
        <v>10.021000000000001</v>
      </c>
      <c r="K533">
        <v>34.195559254803499</v>
      </c>
      <c r="L533">
        <v>34.204405603078001</v>
      </c>
      <c r="M533">
        <v>4.2055298137984103</v>
      </c>
      <c r="N533">
        <v>50.272381586436701</v>
      </c>
      <c r="O533">
        <v>29.080506690078501</v>
      </c>
      <c r="P533">
        <v>0.16636566216134799</v>
      </c>
      <c r="Q533">
        <v>27.197918429978099</v>
      </c>
      <c r="R533">
        <v>85.398090371971804</v>
      </c>
      <c r="S533">
        <v>-0.85591820666837704</v>
      </c>
      <c r="T533">
        <v>11.146951106235701</v>
      </c>
      <c r="U533">
        <v>0.60972580007796995</v>
      </c>
      <c r="V533">
        <v>52.7272962276801</v>
      </c>
    </row>
    <row r="534" spans="1:22" x14ac:dyDescent="0.25">
      <c r="A534" t="str">
        <f t="shared" si="8"/>
        <v>Estonia2013</v>
      </c>
      <c r="B534" t="s">
        <v>85</v>
      </c>
      <c r="C534" t="s">
        <v>86</v>
      </c>
      <c r="D534">
        <v>2013</v>
      </c>
      <c r="E534">
        <v>19310.3874900757</v>
      </c>
      <c r="F534">
        <v>1.75649379621869</v>
      </c>
      <c r="G534">
        <v>2.7805665895498701</v>
      </c>
      <c r="H534">
        <v>9</v>
      </c>
      <c r="I534">
        <v>18.198455975497701</v>
      </c>
      <c r="J534">
        <v>8.6310000000000002</v>
      </c>
      <c r="K534">
        <v>34.114810806173601</v>
      </c>
      <c r="L534">
        <v>33.785534391356002</v>
      </c>
      <c r="M534">
        <v>4.1239538903665496</v>
      </c>
      <c r="N534">
        <v>51.371071291572598</v>
      </c>
      <c r="O534">
        <v>26.869712106481401</v>
      </c>
      <c r="P534">
        <v>0.16524566915744701</v>
      </c>
      <c r="Q534">
        <v>27.076709225330202</v>
      </c>
      <c r="R534">
        <v>83.454110635101202</v>
      </c>
      <c r="S534">
        <v>-0.66432036770419101</v>
      </c>
      <c r="T534">
        <v>11.434919896071801</v>
      </c>
      <c r="U534">
        <v>0.64634999565885498</v>
      </c>
      <c r="V534">
        <v>53.429229343893397</v>
      </c>
    </row>
    <row r="535" spans="1:22" x14ac:dyDescent="0.25">
      <c r="A535" t="str">
        <f t="shared" si="8"/>
        <v>Estonia2014</v>
      </c>
      <c r="B535" t="s">
        <v>85</v>
      </c>
      <c r="C535" t="s">
        <v>86</v>
      </c>
      <c r="D535">
        <v>2014</v>
      </c>
      <c r="E535">
        <v>20581.7898991695</v>
      </c>
      <c r="F535">
        <v>3.3227898818270201</v>
      </c>
      <c r="G535">
        <v>-0.10617514652170899</v>
      </c>
      <c r="H535">
        <v>9</v>
      </c>
      <c r="I535">
        <v>18.560928812919801</v>
      </c>
      <c r="J535">
        <v>7.3520000000000003</v>
      </c>
      <c r="K535">
        <v>33.614559467493699</v>
      </c>
      <c r="L535">
        <v>34.633435433707298</v>
      </c>
      <c r="M535">
        <v>2.8565430839338402</v>
      </c>
      <c r="N535">
        <v>52.547909660379297</v>
      </c>
      <c r="O535">
        <v>26.727615908802999</v>
      </c>
      <c r="P535">
        <v>0.226076725822695</v>
      </c>
      <c r="Q535">
        <v>27.497300787781899</v>
      </c>
      <c r="R535">
        <v>80.589735229735695</v>
      </c>
      <c r="S535">
        <v>0.415270421957047</v>
      </c>
      <c r="T535">
        <v>11.5631374112595</v>
      </c>
      <c r="U535">
        <v>0.74716244177624203</v>
      </c>
      <c r="V535">
        <v>55.361383575103197</v>
      </c>
    </row>
    <row r="536" spans="1:22" x14ac:dyDescent="0.25">
      <c r="A536" t="str">
        <f t="shared" si="8"/>
        <v>Estonia2015</v>
      </c>
      <c r="B536" t="s">
        <v>85</v>
      </c>
      <c r="C536" t="s">
        <v>86</v>
      </c>
      <c r="D536">
        <v>2015</v>
      </c>
      <c r="E536">
        <v>17722.155766952299</v>
      </c>
      <c r="F536">
        <v>1.83815262882932</v>
      </c>
      <c r="G536">
        <v>-0.49232600654737002</v>
      </c>
      <c r="H536">
        <v>9</v>
      </c>
      <c r="I536">
        <v>18.888751962610002</v>
      </c>
      <c r="J536">
        <v>6.4119999999999999</v>
      </c>
      <c r="K536">
        <v>35.820956613679101</v>
      </c>
      <c r="L536">
        <v>35.534438458922601</v>
      </c>
      <c r="M536">
        <v>1.30643907694559</v>
      </c>
      <c r="N536">
        <v>53.6171783124623</v>
      </c>
      <c r="O536">
        <v>24.6409611018289</v>
      </c>
      <c r="P536">
        <v>0.268652200868292</v>
      </c>
      <c r="Q536">
        <v>26.410374765344201</v>
      </c>
      <c r="R536">
        <v>76.034460233350501</v>
      </c>
      <c r="S536">
        <v>-0.24241476681853999</v>
      </c>
      <c r="T536">
        <v>10.7896428947084</v>
      </c>
      <c r="U536">
        <v>0.71934463320470499</v>
      </c>
      <c r="V536">
        <v>54.828232177587303</v>
      </c>
    </row>
    <row r="537" spans="1:22" x14ac:dyDescent="0.25">
      <c r="A537" t="str">
        <f t="shared" si="8"/>
        <v>Estonia2016</v>
      </c>
      <c r="B537" t="s">
        <v>85</v>
      </c>
      <c r="C537" t="s">
        <v>86</v>
      </c>
      <c r="D537">
        <v>2016</v>
      </c>
      <c r="E537">
        <v>18666.373652170601</v>
      </c>
      <c r="F537">
        <v>3.0930192075195899</v>
      </c>
      <c r="G537">
        <v>0.14868490762737199</v>
      </c>
      <c r="H537">
        <v>9</v>
      </c>
      <c r="I537">
        <v>19.186016024634998</v>
      </c>
      <c r="J537">
        <v>6.8819999999999997</v>
      </c>
      <c r="K537">
        <v>35.821419112090801</v>
      </c>
      <c r="L537">
        <v>35.441049758125203</v>
      </c>
      <c r="M537">
        <v>2.4385266072111702</v>
      </c>
      <c r="N537">
        <v>54.648723297975501</v>
      </c>
      <c r="O537">
        <v>24.702353093716599</v>
      </c>
      <c r="P537">
        <v>0.215611038141614</v>
      </c>
      <c r="Q537">
        <v>26.003253282868101</v>
      </c>
      <c r="R537">
        <v>75.476862163745494</v>
      </c>
      <c r="S537">
        <v>-0.61833006143595703</v>
      </c>
      <c r="T537">
        <v>10.2393262234913</v>
      </c>
      <c r="U537">
        <v>0.70523391975703498</v>
      </c>
      <c r="V537">
        <v>54.5577886386858</v>
      </c>
    </row>
    <row r="538" spans="1:22" x14ac:dyDescent="0.25">
      <c r="A538" t="str">
        <f t="shared" si="8"/>
        <v>Estonia2017</v>
      </c>
      <c r="B538" t="s">
        <v>85</v>
      </c>
      <c r="C538" t="s">
        <v>86</v>
      </c>
      <c r="D538">
        <v>2017</v>
      </c>
      <c r="E538">
        <v>20851.5223496861</v>
      </c>
      <c r="F538">
        <v>5.6346724896399101</v>
      </c>
      <c r="G538">
        <v>3.4172354948805399</v>
      </c>
      <c r="H538">
        <v>9</v>
      </c>
      <c r="I538">
        <v>19.4674154002753</v>
      </c>
      <c r="J538">
        <v>5.8070000000000004</v>
      </c>
      <c r="K538">
        <v>34.698382583174599</v>
      </c>
      <c r="L538">
        <v>34.6786425909497</v>
      </c>
      <c r="M538">
        <v>3.7410984726948899</v>
      </c>
      <c r="N538">
        <v>55.624964560455098</v>
      </c>
      <c r="O538">
        <v>25.938197621092399</v>
      </c>
      <c r="P538">
        <v>0.19194566399579599</v>
      </c>
      <c r="Q538">
        <v>28.269790661555898</v>
      </c>
      <c r="R538">
        <v>74.305558382898198</v>
      </c>
      <c r="S538">
        <v>-1.0658993022327099</v>
      </c>
      <c r="T538">
        <v>9.4344782660727606</v>
      </c>
      <c r="U538">
        <v>0.73358814998854405</v>
      </c>
      <c r="V538">
        <v>55.101221002688902</v>
      </c>
    </row>
    <row r="539" spans="1:22" x14ac:dyDescent="0.25">
      <c r="A539" t="str">
        <f t="shared" si="8"/>
        <v>Estonia2018</v>
      </c>
      <c r="B539" t="s">
        <v>85</v>
      </c>
      <c r="C539" t="s">
        <v>86</v>
      </c>
      <c r="D539">
        <v>2018</v>
      </c>
      <c r="E539">
        <v>23618.136125458099</v>
      </c>
      <c r="F539">
        <v>3.6996975616172598</v>
      </c>
      <c r="G539">
        <v>3.4363268842044601</v>
      </c>
      <c r="H539">
        <v>9</v>
      </c>
      <c r="I539">
        <v>19.6754905294355</v>
      </c>
      <c r="J539">
        <v>5.4119999999999999</v>
      </c>
      <c r="K539">
        <v>35.216861246746802</v>
      </c>
      <c r="L539">
        <v>34.427481285605303</v>
      </c>
      <c r="M539">
        <v>4.8490746176821196</v>
      </c>
      <c r="N539">
        <v>56.346143611516801</v>
      </c>
      <c r="O539">
        <v>27.850399221256101</v>
      </c>
      <c r="P539">
        <v>0.37165125220013001</v>
      </c>
      <c r="Q539">
        <v>28.398851972574001</v>
      </c>
      <c r="R539">
        <v>72.900495157208795</v>
      </c>
      <c r="S539">
        <v>-1.1463837179747101</v>
      </c>
      <c r="T539">
        <v>8.5069187033445193</v>
      </c>
      <c r="U539">
        <v>0.71934948266230103</v>
      </c>
      <c r="V539">
        <v>54.828325121468502</v>
      </c>
    </row>
    <row r="540" spans="1:22" x14ac:dyDescent="0.25">
      <c r="A540" t="str">
        <f t="shared" si="8"/>
        <v>Estonia2019</v>
      </c>
      <c r="B540" t="s">
        <v>85</v>
      </c>
      <c r="C540" t="s">
        <v>86</v>
      </c>
      <c r="D540">
        <v>2019</v>
      </c>
      <c r="E540">
        <v>24021.250141330602</v>
      </c>
      <c r="F540">
        <v>3.7266494346688401</v>
      </c>
      <c r="G540">
        <v>2.2772593124352198</v>
      </c>
      <c r="H540">
        <v>9</v>
      </c>
      <c r="I540">
        <v>19.8965346883511</v>
      </c>
      <c r="J540">
        <v>4.5140000000000002</v>
      </c>
      <c r="K540">
        <v>35.651087172713801</v>
      </c>
      <c r="L540">
        <v>35.202577347486198</v>
      </c>
      <c r="M540">
        <v>3.8226798680774001</v>
      </c>
      <c r="N540">
        <v>57.063549932766399</v>
      </c>
      <c r="O540">
        <v>26.356088071314002</v>
      </c>
      <c r="P540">
        <v>0.70587598566314302</v>
      </c>
      <c r="Q540">
        <v>28.362298029769299</v>
      </c>
      <c r="R540">
        <v>72.019154354919806</v>
      </c>
      <c r="S540">
        <v>-0.109401076002228</v>
      </c>
      <c r="T540">
        <v>9.0467637396099896</v>
      </c>
      <c r="U540">
        <v>0.81318553529432502</v>
      </c>
      <c r="V540">
        <v>56.6267709792535</v>
      </c>
    </row>
    <row r="541" spans="1:22" x14ac:dyDescent="0.25">
      <c r="A541" t="str">
        <f t="shared" si="8"/>
        <v>Estonia2020</v>
      </c>
      <c r="B541" t="s">
        <v>85</v>
      </c>
      <c r="C541" t="s">
        <v>86</v>
      </c>
      <c r="D541">
        <v>2020</v>
      </c>
      <c r="E541">
        <v>23933.993942106499</v>
      </c>
      <c r="F541">
        <v>-2.88380751483778</v>
      </c>
      <c r="G541">
        <v>-0.44453109767982901</v>
      </c>
      <c r="H541">
        <v>9</v>
      </c>
      <c r="I541">
        <v>20.200094835596399</v>
      </c>
      <c r="J541">
        <v>6.9560000000000004</v>
      </c>
      <c r="K541">
        <v>40.908438115559903</v>
      </c>
      <c r="L541">
        <v>35.202621287284103</v>
      </c>
      <c r="M541">
        <v>0.75333845671808297</v>
      </c>
      <c r="N541">
        <v>57.824493177873798</v>
      </c>
      <c r="O541">
        <v>29.653868768869199</v>
      </c>
      <c r="P541">
        <v>0.98479697947866696</v>
      </c>
      <c r="Q541">
        <v>27.1478752550533</v>
      </c>
      <c r="R541">
        <v>68.154553405867603</v>
      </c>
      <c r="S541">
        <v>-5.4241096324097304</v>
      </c>
      <c r="T541">
        <v>19.098124574648001</v>
      </c>
      <c r="U541">
        <v>0.41375441226846299</v>
      </c>
      <c r="V541">
        <v>48.971341871495703</v>
      </c>
    </row>
    <row r="542" spans="1:22" x14ac:dyDescent="0.25">
      <c r="A542" t="str">
        <f t="shared" si="8"/>
        <v>Estonia2021</v>
      </c>
      <c r="B542" t="s">
        <v>85</v>
      </c>
      <c r="C542" t="s">
        <v>86</v>
      </c>
      <c r="D542">
        <v>2021</v>
      </c>
      <c r="E542">
        <v>27951.1659277744</v>
      </c>
      <c r="F542">
        <v>8.2548804458003104</v>
      </c>
      <c r="G542">
        <v>4.6531667384747202</v>
      </c>
      <c r="H542">
        <v>9</v>
      </c>
      <c r="I542">
        <v>20.4337977975588</v>
      </c>
      <c r="J542">
        <v>6.1779999999999999</v>
      </c>
      <c r="K542">
        <v>38.236035739700903</v>
      </c>
      <c r="L542">
        <v>35.642668230211498</v>
      </c>
      <c r="M542">
        <v>4.2914927000328902</v>
      </c>
      <c r="N542">
        <v>58.266236198562297</v>
      </c>
      <c r="O542">
        <v>30.947849595367</v>
      </c>
      <c r="P542">
        <v>0.86326311127948097</v>
      </c>
      <c r="Q542">
        <v>27.274187171752398</v>
      </c>
      <c r="R542">
        <v>79.615908823340803</v>
      </c>
      <c r="S542">
        <v>-2.56931302301729</v>
      </c>
      <c r="T542">
        <v>18.425087852438999</v>
      </c>
      <c r="U542">
        <v>0.73029833528893295</v>
      </c>
      <c r="V542">
        <v>55.038168972542302</v>
      </c>
    </row>
    <row r="543" spans="1:22" x14ac:dyDescent="0.25">
      <c r="A543" t="str">
        <f t="shared" si="8"/>
        <v>Estonia2022</v>
      </c>
      <c r="B543" t="s">
        <v>85</v>
      </c>
      <c r="C543" t="s">
        <v>86</v>
      </c>
      <c r="D543">
        <v>2022</v>
      </c>
      <c r="E543">
        <v>28340.3826549406</v>
      </c>
      <c r="F543">
        <v>-1.2261696658779599</v>
      </c>
      <c r="G543">
        <v>19.398263408061599</v>
      </c>
      <c r="H543">
        <v>9</v>
      </c>
      <c r="I543">
        <v>20.630046185758498</v>
      </c>
      <c r="J543">
        <v>5.5709999999999997</v>
      </c>
      <c r="K543">
        <v>35.416450935261203</v>
      </c>
      <c r="L543">
        <v>35.106266019046799</v>
      </c>
      <c r="M543">
        <v>16.844809078341001</v>
      </c>
      <c r="N543">
        <v>58.386193745053497</v>
      </c>
      <c r="O543">
        <v>27.7279089870074</v>
      </c>
      <c r="P543">
        <v>0.72608698724183096</v>
      </c>
      <c r="Q543">
        <v>25.744495305161902</v>
      </c>
      <c r="R543">
        <v>87.429938083950304</v>
      </c>
      <c r="S543">
        <v>-1.0788914774359699</v>
      </c>
      <c r="T543">
        <v>19.187111735153799</v>
      </c>
      <c r="U543">
        <v>0.73720577356349704</v>
      </c>
      <c r="V543">
        <v>55.170555762100797</v>
      </c>
    </row>
    <row r="544" spans="1:22" x14ac:dyDescent="0.25">
      <c r="A544" t="str">
        <f t="shared" si="8"/>
        <v>Estonia2023</v>
      </c>
      <c r="B544" t="s">
        <v>85</v>
      </c>
      <c r="C544" t="s">
        <v>86</v>
      </c>
      <c r="D544">
        <v>2023</v>
      </c>
      <c r="E544">
        <v>30264.0064885057</v>
      </c>
      <c r="F544">
        <v>-2.74421914571231</v>
      </c>
      <c r="G544">
        <v>9.1592250798398194</v>
      </c>
      <c r="H544">
        <v>9</v>
      </c>
      <c r="I544">
        <v>20.9140825455897</v>
      </c>
      <c r="J544">
        <v>6.3780000000000001</v>
      </c>
      <c r="K544">
        <v>37.688430091557699</v>
      </c>
      <c r="L544">
        <v>36.239015482715203</v>
      </c>
      <c r="M544">
        <v>8.6352827532791991</v>
      </c>
      <c r="N544">
        <v>58.434347872335501</v>
      </c>
      <c r="O544">
        <v>25.2415123920517</v>
      </c>
      <c r="P544">
        <v>0.86704297573863198</v>
      </c>
      <c r="Q544">
        <v>23.854230479918002</v>
      </c>
      <c r="R544">
        <v>77.774659701098301</v>
      </c>
      <c r="S544">
        <v>-3.0665823282512998</v>
      </c>
      <c r="T544">
        <v>20.171082526669</v>
      </c>
      <c r="U544">
        <v>0.64014670000073104</v>
      </c>
      <c r="V544">
        <v>53.310338032206197</v>
      </c>
    </row>
    <row r="545" spans="1:22" x14ac:dyDescent="0.25">
      <c r="A545" t="str">
        <f t="shared" si="8"/>
        <v>Estonia2024</v>
      </c>
      <c r="B545" t="s">
        <v>85</v>
      </c>
      <c r="C545" t="s">
        <v>86</v>
      </c>
      <c r="D545">
        <v>2024</v>
      </c>
      <c r="E545">
        <v>31428.3547816104</v>
      </c>
      <c r="F545">
        <v>-9.0042864849380094E-2</v>
      </c>
      <c r="G545">
        <v>3.5194118998391999</v>
      </c>
      <c r="H545">
        <v>9</v>
      </c>
      <c r="I545">
        <v>21.297332100494899</v>
      </c>
      <c r="J545">
        <v>7.6</v>
      </c>
      <c r="K545">
        <v>35.533769053987498</v>
      </c>
      <c r="L545">
        <v>38.307814866507897</v>
      </c>
      <c r="M545">
        <v>3.9898438947806301</v>
      </c>
      <c r="N545">
        <v>58.566347918120599</v>
      </c>
      <c r="O545">
        <v>24.5542382524843</v>
      </c>
      <c r="P545">
        <v>0.67761671842265203</v>
      </c>
      <c r="Q545">
        <v>23.968889365288501</v>
      </c>
      <c r="R545">
        <v>75.669483321314203</v>
      </c>
      <c r="S545">
        <v>-1.5404712185756999</v>
      </c>
      <c r="T545">
        <v>23.472090645017602</v>
      </c>
      <c r="U545">
        <v>0.73081368660345702</v>
      </c>
      <c r="V545">
        <v>55.0480461083649</v>
      </c>
    </row>
    <row r="546" spans="1:22" x14ac:dyDescent="0.25">
      <c r="A546" t="str">
        <f t="shared" si="8"/>
        <v>Estonia2025</v>
      </c>
      <c r="B546" t="s">
        <v>85</v>
      </c>
      <c r="C546" t="s">
        <v>86</v>
      </c>
      <c r="D546">
        <v>2025</v>
      </c>
      <c r="E546">
        <v>20851.5223496861</v>
      </c>
      <c r="F546">
        <v>3.0930192075195899</v>
      </c>
      <c r="G546">
        <v>3.4172354948805399</v>
      </c>
      <c r="H546">
        <v>9</v>
      </c>
      <c r="I546">
        <v>19.4674154002753</v>
      </c>
      <c r="J546">
        <v>8.3130000000000006</v>
      </c>
      <c r="K546">
        <v>35.533769053987498</v>
      </c>
      <c r="L546">
        <v>35.202577347486198</v>
      </c>
      <c r="M546">
        <v>3.9898438947806301</v>
      </c>
      <c r="N546">
        <v>55.624964560455098</v>
      </c>
      <c r="O546">
        <v>26.356088071314002</v>
      </c>
      <c r="P546">
        <v>0.37165125220013001</v>
      </c>
      <c r="Q546">
        <v>27.076709225330202</v>
      </c>
      <c r="R546">
        <v>76.034460233350501</v>
      </c>
      <c r="S546">
        <v>-1.33140302764024</v>
      </c>
      <c r="T546">
        <v>24.187987098644999</v>
      </c>
      <c r="U546">
        <v>0.61525983969359899</v>
      </c>
      <c r="V546">
        <v>52.833360691650803</v>
      </c>
    </row>
    <row r="547" spans="1:22" x14ac:dyDescent="0.25">
      <c r="A547" t="str">
        <f t="shared" si="8"/>
        <v>Eswatini2010</v>
      </c>
      <c r="B547" t="s">
        <v>87</v>
      </c>
      <c r="C547" t="s">
        <v>88</v>
      </c>
      <c r="D547">
        <v>2010</v>
      </c>
      <c r="E547">
        <v>3922.7403939073301</v>
      </c>
      <c r="F547">
        <v>3.8244348742976699</v>
      </c>
      <c r="G547">
        <v>4.5092369177436904</v>
      </c>
      <c r="H547">
        <v>7</v>
      </c>
      <c r="I547">
        <v>2.9546170107497902</v>
      </c>
      <c r="J547">
        <v>26.856000000000002</v>
      </c>
      <c r="K547">
        <v>25.128825236690801</v>
      </c>
      <c r="L547">
        <v>17.421331131499901</v>
      </c>
      <c r="M547">
        <v>2.9400709893044201</v>
      </c>
      <c r="N547">
        <v>71.690822151382605</v>
      </c>
      <c r="O547">
        <v>17.527278366064898</v>
      </c>
      <c r="P547">
        <v>2.9627280222152201</v>
      </c>
      <c r="Q547">
        <v>23.442061552339901</v>
      </c>
      <c r="R547">
        <v>44.687027345742898</v>
      </c>
      <c r="S547">
        <v>-9.33835065893315</v>
      </c>
      <c r="T547">
        <v>14.2449148784256</v>
      </c>
      <c r="U547">
        <v>-1.20353031350851</v>
      </c>
      <c r="V547">
        <v>17.974737321870698</v>
      </c>
    </row>
    <row r="548" spans="1:22" x14ac:dyDescent="0.25">
      <c r="A548" t="str">
        <f t="shared" si="8"/>
        <v>Eswatini2011</v>
      </c>
      <c r="B548" t="s">
        <v>87</v>
      </c>
      <c r="C548" t="s">
        <v>88</v>
      </c>
      <c r="D548">
        <v>2011</v>
      </c>
      <c r="E548">
        <v>4225.0604941191104</v>
      </c>
      <c r="F548">
        <v>1.83973625916165</v>
      </c>
      <c r="G548">
        <v>6.10742714590251</v>
      </c>
      <c r="H548">
        <v>7</v>
      </c>
      <c r="I548">
        <v>3.0506779408561302</v>
      </c>
      <c r="J548">
        <v>26.105</v>
      </c>
      <c r="K548">
        <v>22.682374398299601</v>
      </c>
      <c r="L548">
        <v>17.475128469560499</v>
      </c>
      <c r="M548">
        <v>5.47649943337463</v>
      </c>
      <c r="N548">
        <v>70.657205320175393</v>
      </c>
      <c r="O548">
        <v>17.527278366064898</v>
      </c>
      <c r="P548">
        <v>2.9501249115202701</v>
      </c>
      <c r="Q548">
        <v>23.442061552339901</v>
      </c>
      <c r="R548">
        <v>44.687027345742898</v>
      </c>
      <c r="S548">
        <v>-3.8765468335142499</v>
      </c>
      <c r="T548">
        <v>14.5934500265429</v>
      </c>
      <c r="U548">
        <v>-0.97217324819430495</v>
      </c>
      <c r="V548">
        <v>22.408887567036199</v>
      </c>
    </row>
    <row r="549" spans="1:22" x14ac:dyDescent="0.25">
      <c r="A549" t="str">
        <f t="shared" si="8"/>
        <v>Eswatini2012</v>
      </c>
      <c r="B549" t="s">
        <v>87</v>
      </c>
      <c r="C549" t="s">
        <v>88</v>
      </c>
      <c r="D549">
        <v>2012</v>
      </c>
      <c r="E549">
        <v>4224.54789174487</v>
      </c>
      <c r="F549">
        <v>4.0904819012459201</v>
      </c>
      <c r="G549">
        <v>8.93964682788212</v>
      </c>
      <c r="H549">
        <v>7</v>
      </c>
      <c r="I549">
        <v>3.1441540720915002</v>
      </c>
      <c r="J549">
        <v>25.225999999999999</v>
      </c>
      <c r="K549">
        <v>22.982780539651301</v>
      </c>
      <c r="L549">
        <v>29.680229978820499</v>
      </c>
      <c r="M549">
        <v>9.1968020282588991</v>
      </c>
      <c r="N549">
        <v>69.822978761984601</v>
      </c>
      <c r="O549">
        <v>17.527278366064898</v>
      </c>
      <c r="P549">
        <v>3.6559342215752402</v>
      </c>
      <c r="Q549">
        <v>23.442061552339901</v>
      </c>
      <c r="R549">
        <v>44.687027345742898</v>
      </c>
      <c r="S549">
        <v>3.3939606842288099</v>
      </c>
      <c r="T549">
        <v>14.814623151113301</v>
      </c>
      <c r="U549">
        <v>-0.426536791849015</v>
      </c>
      <c r="V549">
        <v>32.866463277502604</v>
      </c>
    </row>
    <row r="550" spans="1:22" x14ac:dyDescent="0.25">
      <c r="A550" t="str">
        <f t="shared" si="8"/>
        <v>Eswatini2013</v>
      </c>
      <c r="B550" t="s">
        <v>87</v>
      </c>
      <c r="C550" t="s">
        <v>88</v>
      </c>
      <c r="D550">
        <v>2013</v>
      </c>
      <c r="E550">
        <v>3949.9431003990699</v>
      </c>
      <c r="F550">
        <v>4.0945852211922604</v>
      </c>
      <c r="G550">
        <v>5.62130623468948</v>
      </c>
      <c r="H550">
        <v>7</v>
      </c>
      <c r="I550">
        <v>3.2287011389481299</v>
      </c>
      <c r="J550">
        <v>24.556000000000001</v>
      </c>
      <c r="K550">
        <v>25.3036093481814</v>
      </c>
      <c r="L550">
        <v>25.807904303186099</v>
      </c>
      <c r="M550">
        <v>6.2079360171695201</v>
      </c>
      <c r="N550">
        <v>69.047312722344103</v>
      </c>
      <c r="O550">
        <v>16.134578117674501</v>
      </c>
      <c r="P550">
        <v>3.9184429280845601</v>
      </c>
      <c r="Q550">
        <v>26.927311072907202</v>
      </c>
      <c r="R550">
        <v>41.807076926062102</v>
      </c>
      <c r="S550">
        <v>0.57448926470155703</v>
      </c>
      <c r="T550">
        <v>15.157116700605</v>
      </c>
      <c r="U550">
        <v>-0.53487849125574705</v>
      </c>
      <c r="V550">
        <v>30.790004655702699</v>
      </c>
    </row>
    <row r="551" spans="1:22" x14ac:dyDescent="0.25">
      <c r="A551" t="str">
        <f t="shared" si="8"/>
        <v>Eswatini2014</v>
      </c>
      <c r="B551" t="s">
        <v>87</v>
      </c>
      <c r="C551" t="s">
        <v>88</v>
      </c>
      <c r="D551">
        <v>2014</v>
      </c>
      <c r="E551">
        <v>3771.0722838193801</v>
      </c>
      <c r="F551">
        <v>2.0573817924658599</v>
      </c>
      <c r="G551">
        <v>5.68134885776447</v>
      </c>
      <c r="H551">
        <v>7</v>
      </c>
      <c r="I551">
        <v>3.31484054813038</v>
      </c>
      <c r="J551">
        <v>23.931000000000001</v>
      </c>
      <c r="K551">
        <v>25.3036093481814</v>
      </c>
      <c r="L551">
        <v>30.407158459344402</v>
      </c>
      <c r="M551">
        <v>5.7374565093195997</v>
      </c>
      <c r="N551">
        <v>68.156990071581106</v>
      </c>
      <c r="O551">
        <v>19.627588507667902</v>
      </c>
      <c r="P551">
        <v>3.4998841836785402</v>
      </c>
      <c r="Q551">
        <v>31.550646935204298</v>
      </c>
      <c r="R551">
        <v>45.320669357861902</v>
      </c>
      <c r="S551">
        <v>-1.1642227133712499</v>
      </c>
      <c r="T551">
        <v>14.058414466593099</v>
      </c>
      <c r="U551">
        <v>-0.53314308489666296</v>
      </c>
      <c r="V551">
        <v>30.823265159427301</v>
      </c>
    </row>
    <row r="552" spans="1:22" x14ac:dyDescent="0.25">
      <c r="A552" t="str">
        <f t="shared" si="8"/>
        <v>Eswatini2015</v>
      </c>
      <c r="B552" t="s">
        <v>87</v>
      </c>
      <c r="C552" t="s">
        <v>88</v>
      </c>
      <c r="D552">
        <v>2015</v>
      </c>
      <c r="E552">
        <v>3419.8227655952801</v>
      </c>
      <c r="F552">
        <v>1.7042580601728901</v>
      </c>
      <c r="G552">
        <v>4.9512449370491902</v>
      </c>
      <c r="H552">
        <v>7</v>
      </c>
      <c r="I552">
        <v>3.3963576702214899</v>
      </c>
      <c r="J552">
        <v>23.431000000000001</v>
      </c>
      <c r="K552">
        <v>26.718470909389801</v>
      </c>
      <c r="L552">
        <v>28.637536007217701</v>
      </c>
      <c r="M552">
        <v>5.3247052182582699</v>
      </c>
      <c r="N552">
        <v>67.162971804368297</v>
      </c>
      <c r="O552">
        <v>17.221706182825098</v>
      </c>
      <c r="P552">
        <v>3.1404124364988499</v>
      </c>
      <c r="Q552">
        <v>30.668197157477699</v>
      </c>
      <c r="R552">
        <v>44.8587759692711</v>
      </c>
      <c r="S552">
        <v>-5.8850310460717896</v>
      </c>
      <c r="T552">
        <v>15.9886500013821</v>
      </c>
      <c r="U552">
        <v>-0.73459727498389304</v>
      </c>
      <c r="V552">
        <v>26.9622283453939</v>
      </c>
    </row>
    <row r="553" spans="1:22" x14ac:dyDescent="0.25">
      <c r="A553" t="str">
        <f t="shared" si="8"/>
        <v>Eswatini2016</v>
      </c>
      <c r="B553" t="s">
        <v>87</v>
      </c>
      <c r="C553" t="s">
        <v>88</v>
      </c>
      <c r="D553">
        <v>2016</v>
      </c>
      <c r="E553">
        <v>3238.1761196136399</v>
      </c>
      <c r="F553">
        <v>2.9491682105991099</v>
      </c>
      <c r="G553">
        <v>7.8472745908567996</v>
      </c>
      <c r="H553">
        <v>7</v>
      </c>
      <c r="I553">
        <v>3.4750534468022201</v>
      </c>
      <c r="J553">
        <v>22.718</v>
      </c>
      <c r="K553">
        <v>27.7982484296625</v>
      </c>
      <c r="L553">
        <v>25.266478312752501</v>
      </c>
      <c r="M553">
        <v>6.7646608357096802</v>
      </c>
      <c r="N553">
        <v>66.254516107570893</v>
      </c>
      <c r="O553">
        <v>17.3577663965022</v>
      </c>
      <c r="P553">
        <v>3.4007165812671998</v>
      </c>
      <c r="Q553">
        <v>25.425713113186301</v>
      </c>
      <c r="R553">
        <v>45.286930603288297</v>
      </c>
      <c r="S553">
        <v>-8.3617695527315696</v>
      </c>
      <c r="T553">
        <v>20.111626236753199</v>
      </c>
      <c r="U553">
        <v>-0.89845517521490903</v>
      </c>
      <c r="V553">
        <v>23.8217556414595</v>
      </c>
    </row>
    <row r="554" spans="1:22" x14ac:dyDescent="0.25">
      <c r="A554" t="str">
        <f t="shared" si="8"/>
        <v>Eswatini2017</v>
      </c>
      <c r="B554" t="s">
        <v>87</v>
      </c>
      <c r="C554" t="s">
        <v>88</v>
      </c>
      <c r="D554">
        <v>2017</v>
      </c>
      <c r="E554">
        <v>3853.0995656967898</v>
      </c>
      <c r="F554">
        <v>3.5209534598798302</v>
      </c>
      <c r="G554">
        <v>6.2213752893311796</v>
      </c>
      <c r="H554">
        <v>7</v>
      </c>
      <c r="I554">
        <v>3.5758674385001799</v>
      </c>
      <c r="J554">
        <v>24.542999999999999</v>
      </c>
      <c r="K554">
        <v>27.072012615129001</v>
      </c>
      <c r="L554">
        <v>27.403115916594999</v>
      </c>
      <c r="M554">
        <v>4.9448137038311</v>
      </c>
      <c r="N554">
        <v>65.440829864612795</v>
      </c>
      <c r="O554">
        <v>17.6967903356276</v>
      </c>
      <c r="P554">
        <v>2.7845047431066399</v>
      </c>
      <c r="Q554">
        <v>23.989723890174702</v>
      </c>
      <c r="R554">
        <v>43.156299016959601</v>
      </c>
      <c r="S554">
        <v>-5.6361029336183304</v>
      </c>
      <c r="T554">
        <v>21.703994849811501</v>
      </c>
      <c r="U554">
        <v>-0.80573929777169795</v>
      </c>
      <c r="V554">
        <v>25.5987324117051</v>
      </c>
    </row>
    <row r="555" spans="1:22" x14ac:dyDescent="0.25">
      <c r="A555" t="str">
        <f t="shared" si="8"/>
        <v>Eswatini2018</v>
      </c>
      <c r="B555" t="s">
        <v>87</v>
      </c>
      <c r="C555" t="s">
        <v>88</v>
      </c>
      <c r="D555">
        <v>2018</v>
      </c>
      <c r="E555">
        <v>3972.6545062035698</v>
      </c>
      <c r="F555">
        <v>6.5395655784357104E-2</v>
      </c>
      <c r="G555">
        <v>4.81506167461513</v>
      </c>
      <c r="H555">
        <v>7</v>
      </c>
      <c r="I555">
        <v>3.6864070929855099</v>
      </c>
      <c r="J555">
        <v>26.471</v>
      </c>
      <c r="K555">
        <v>26.763771617808999</v>
      </c>
      <c r="L555">
        <v>24.811836053016599</v>
      </c>
      <c r="M555">
        <v>3.2936824590990499</v>
      </c>
      <c r="N555">
        <v>64.591150955856193</v>
      </c>
      <c r="O555">
        <v>19.849038302628401</v>
      </c>
      <c r="P555">
        <v>2.0923150735045901</v>
      </c>
      <c r="Q555">
        <v>20.9219675383398</v>
      </c>
      <c r="R555">
        <v>40.872119589936901</v>
      </c>
      <c r="S555">
        <v>-6.5851826988040596</v>
      </c>
      <c r="T555">
        <v>26.4595004768187</v>
      </c>
      <c r="U555">
        <v>-1.02574693338447</v>
      </c>
      <c r="V555">
        <v>21.382103409838301</v>
      </c>
    </row>
    <row r="556" spans="1:22" x14ac:dyDescent="0.25">
      <c r="A556" t="str">
        <f t="shared" si="8"/>
        <v>Eswatini2019</v>
      </c>
      <c r="B556" t="s">
        <v>87</v>
      </c>
      <c r="C556" t="s">
        <v>88</v>
      </c>
      <c r="D556">
        <v>2019</v>
      </c>
      <c r="E556">
        <v>3913.1457754733601</v>
      </c>
      <c r="F556">
        <v>6.4318688869157397</v>
      </c>
      <c r="G556">
        <v>2.5980162031107699</v>
      </c>
      <c r="H556">
        <v>7</v>
      </c>
      <c r="I556">
        <v>3.79565953652678</v>
      </c>
      <c r="J556">
        <v>28.222000000000001</v>
      </c>
      <c r="K556">
        <v>25.280512073659899</v>
      </c>
      <c r="L556">
        <v>25.807904303186099</v>
      </c>
      <c r="M556">
        <v>1.9650617024064401</v>
      </c>
      <c r="N556">
        <v>63.701321404984803</v>
      </c>
      <c r="O556">
        <v>16.2318349707561</v>
      </c>
      <c r="P556">
        <v>2.1144321635375198</v>
      </c>
      <c r="Q556">
        <v>19.5768755566476</v>
      </c>
      <c r="R556">
        <v>44.761484515903497</v>
      </c>
      <c r="S556">
        <v>-6.22852803854994</v>
      </c>
      <c r="T556">
        <v>30.496159888983399</v>
      </c>
      <c r="U556">
        <v>-0.93318745487667998</v>
      </c>
      <c r="V556">
        <v>23.156082664633701</v>
      </c>
    </row>
    <row r="557" spans="1:22" x14ac:dyDescent="0.25">
      <c r="A557" t="str">
        <f t="shared" si="8"/>
        <v>Eswatini2020</v>
      </c>
      <c r="B557" t="s">
        <v>87</v>
      </c>
      <c r="C557" t="s">
        <v>88</v>
      </c>
      <c r="D557">
        <v>2020</v>
      </c>
      <c r="E557">
        <v>3466.5693627814499</v>
      </c>
      <c r="F557">
        <v>-2.9518345340928702</v>
      </c>
      <c r="G557">
        <v>5.6513275462269696</v>
      </c>
      <c r="H557">
        <v>7</v>
      </c>
      <c r="I557">
        <v>3.8748517580893198</v>
      </c>
      <c r="J557">
        <v>32.978000000000002</v>
      </c>
      <c r="K557">
        <v>26.069518097239801</v>
      </c>
      <c r="L557">
        <v>27.273160668461301</v>
      </c>
      <c r="M557">
        <v>5.1650475658976696</v>
      </c>
      <c r="N557">
        <v>62.763014788462399</v>
      </c>
      <c r="O557">
        <v>15.290228217358599</v>
      </c>
      <c r="P557">
        <v>2.98522908769535</v>
      </c>
      <c r="Q557">
        <v>22.5033084383724</v>
      </c>
      <c r="R557">
        <v>43.603193617452398</v>
      </c>
      <c r="S557">
        <v>-4.2075808173515501</v>
      </c>
      <c r="T557">
        <v>37.686837389306099</v>
      </c>
      <c r="U557">
        <v>-0.98909654662958402</v>
      </c>
      <c r="V557">
        <v>22.084538501647199</v>
      </c>
    </row>
    <row r="558" spans="1:22" x14ac:dyDescent="0.25">
      <c r="A558" t="str">
        <f t="shared" si="8"/>
        <v>Eswatini2021</v>
      </c>
      <c r="B558" t="s">
        <v>87</v>
      </c>
      <c r="C558" t="s">
        <v>88</v>
      </c>
      <c r="D558">
        <v>2021</v>
      </c>
      <c r="E558">
        <v>3984.0022917430601</v>
      </c>
      <c r="F558">
        <v>4.2362191361541903</v>
      </c>
      <c r="G558">
        <v>5.6513275462269696</v>
      </c>
      <c r="H558">
        <v>7</v>
      </c>
      <c r="I558">
        <v>3.9229036125256802</v>
      </c>
      <c r="J558">
        <v>34.152999999999999</v>
      </c>
      <c r="K558">
        <v>24.6155754063595</v>
      </c>
      <c r="L558">
        <v>25.088037376212501</v>
      </c>
      <c r="M558">
        <v>0.11405772453223099</v>
      </c>
      <c r="N558">
        <v>61.8328842416431</v>
      </c>
      <c r="O558">
        <v>19.788587141302099</v>
      </c>
      <c r="P558">
        <v>2.5779853275999098</v>
      </c>
      <c r="Q558">
        <v>22.8943992145051</v>
      </c>
      <c r="R558">
        <v>44.612570175582398</v>
      </c>
      <c r="S558">
        <v>-4.5515716977085896</v>
      </c>
      <c r="T558">
        <v>37.347149820130298</v>
      </c>
      <c r="U558">
        <v>-1.02308679260052</v>
      </c>
      <c r="V558">
        <v>21.433087216593201</v>
      </c>
    </row>
    <row r="559" spans="1:22" x14ac:dyDescent="0.25">
      <c r="A559" t="str">
        <f t="shared" si="8"/>
        <v>Eswatini2022</v>
      </c>
      <c r="B559" t="s">
        <v>87</v>
      </c>
      <c r="C559" t="s">
        <v>88</v>
      </c>
      <c r="D559">
        <v>2022</v>
      </c>
      <c r="E559">
        <v>3894.1620089869002</v>
      </c>
      <c r="F559">
        <v>0.38607083556270499</v>
      </c>
      <c r="G559">
        <v>5.6513275462269696</v>
      </c>
      <c r="H559">
        <v>7</v>
      </c>
      <c r="I559">
        <v>4.0150412271882399</v>
      </c>
      <c r="J559">
        <v>36.472000000000001</v>
      </c>
      <c r="K559">
        <v>25.3036093481814</v>
      </c>
      <c r="L559">
        <v>25.807904303186099</v>
      </c>
      <c r="M559">
        <v>8.8686547002656795</v>
      </c>
      <c r="N559">
        <v>61.200849569131996</v>
      </c>
      <c r="O559">
        <v>22.092560453843902</v>
      </c>
      <c r="P559">
        <v>1.9401042548010601</v>
      </c>
      <c r="Q559">
        <v>19.7223198024429</v>
      </c>
      <c r="R559">
        <v>44.495393721387302</v>
      </c>
      <c r="S559">
        <v>-5.2660022978663497</v>
      </c>
      <c r="T559">
        <v>39.456478370366298</v>
      </c>
      <c r="U559">
        <v>-1.18149939862331</v>
      </c>
      <c r="V559">
        <v>18.396978097214099</v>
      </c>
    </row>
    <row r="560" spans="1:22" x14ac:dyDescent="0.25">
      <c r="A560" t="str">
        <f t="shared" si="8"/>
        <v>Eswatini2023</v>
      </c>
      <c r="B560" t="s">
        <v>87</v>
      </c>
      <c r="C560" t="s">
        <v>88</v>
      </c>
      <c r="D560">
        <v>2023</v>
      </c>
      <c r="E560">
        <v>3755.5211123246399</v>
      </c>
      <c r="F560">
        <v>3.5325766283621101</v>
      </c>
      <c r="G560">
        <v>5.6513275462269696</v>
      </c>
      <c r="H560">
        <v>7</v>
      </c>
      <c r="I560">
        <v>4.1468712870965296</v>
      </c>
      <c r="J560">
        <v>34.61</v>
      </c>
      <c r="K560">
        <v>25.3036093481814</v>
      </c>
      <c r="L560">
        <v>25.807904303186099</v>
      </c>
      <c r="M560">
        <v>6.0536904788027099</v>
      </c>
      <c r="N560">
        <v>60.812749941190297</v>
      </c>
      <c r="O560">
        <v>20.827751908212299</v>
      </c>
      <c r="P560">
        <v>2.0572468378903799</v>
      </c>
      <c r="Q560">
        <v>24.255271096148299</v>
      </c>
      <c r="R560">
        <v>48.501022333794403</v>
      </c>
      <c r="S560">
        <v>-0.65765288535806998</v>
      </c>
      <c r="T560">
        <v>39.448212999017798</v>
      </c>
      <c r="U560">
        <v>-0.83402425501764998</v>
      </c>
      <c r="V560">
        <v>25.056627721985301</v>
      </c>
    </row>
    <row r="561" spans="1:22" x14ac:dyDescent="0.25">
      <c r="A561" t="str">
        <f t="shared" si="8"/>
        <v>Eswatini2024</v>
      </c>
      <c r="B561" t="s">
        <v>87</v>
      </c>
      <c r="C561" t="s">
        <v>88</v>
      </c>
      <c r="D561">
        <v>2024</v>
      </c>
      <c r="E561">
        <v>3909.5589237818199</v>
      </c>
      <c r="F561">
        <v>2.9739107597398502</v>
      </c>
      <c r="G561">
        <v>5.6513275462269696</v>
      </c>
      <c r="H561">
        <v>7</v>
      </c>
      <c r="I561">
        <v>4.2619555583806701</v>
      </c>
      <c r="J561">
        <v>34.643000000000001</v>
      </c>
      <c r="K561">
        <v>25.3036093481814</v>
      </c>
      <c r="L561">
        <v>25.807904303186099</v>
      </c>
      <c r="M561">
        <v>1.3550202412418699</v>
      </c>
      <c r="N561">
        <v>60.292979632266501</v>
      </c>
      <c r="O561">
        <v>14.972098416299101</v>
      </c>
      <c r="P561">
        <v>1.9098481157540901</v>
      </c>
      <c r="Q561">
        <v>21.4850341207617</v>
      </c>
      <c r="R561">
        <v>53.7558918717287</v>
      </c>
      <c r="S561">
        <v>-1.06459183488794</v>
      </c>
      <c r="T561">
        <v>40.0954946688829</v>
      </c>
      <c r="U561">
        <v>-0.79363613322372195</v>
      </c>
      <c r="V561">
        <v>25.830699609139899</v>
      </c>
    </row>
    <row r="562" spans="1:22" x14ac:dyDescent="0.25">
      <c r="A562" t="str">
        <f t="shared" si="8"/>
        <v>Eswatini2025</v>
      </c>
      <c r="B562" t="s">
        <v>87</v>
      </c>
      <c r="C562" t="s">
        <v>88</v>
      </c>
      <c r="D562">
        <v>2025</v>
      </c>
      <c r="E562">
        <v>3909.5589237818199</v>
      </c>
      <c r="F562">
        <v>2.9739107597398502</v>
      </c>
      <c r="G562">
        <v>5.6513275462269696</v>
      </c>
      <c r="H562">
        <v>7</v>
      </c>
      <c r="I562">
        <v>3.5758674385001799</v>
      </c>
      <c r="J562">
        <v>34.201999999999998</v>
      </c>
      <c r="K562">
        <v>25.3036093481814</v>
      </c>
      <c r="L562">
        <v>25.807904303186099</v>
      </c>
      <c r="M562">
        <v>5.3247052182582699</v>
      </c>
      <c r="N562">
        <v>65.440829864612795</v>
      </c>
      <c r="O562">
        <v>17.527278366064898</v>
      </c>
      <c r="P562">
        <v>2.9501249115202701</v>
      </c>
      <c r="Q562">
        <v>23.442061552339901</v>
      </c>
      <c r="R562">
        <v>44.687027345742898</v>
      </c>
      <c r="S562">
        <v>-6.1363330829089104</v>
      </c>
      <c r="T562">
        <v>44.850902361935702</v>
      </c>
      <c r="U562">
        <v>-1.11719275913327</v>
      </c>
      <c r="V562">
        <v>19.629468234799798</v>
      </c>
    </row>
    <row r="563" spans="1:22" x14ac:dyDescent="0.25">
      <c r="A563" t="str">
        <f t="shared" si="8"/>
        <v>Ethiopia2010</v>
      </c>
      <c r="B563" t="s">
        <v>89</v>
      </c>
      <c r="C563" t="s">
        <v>90</v>
      </c>
      <c r="D563">
        <v>2010</v>
      </c>
      <c r="E563">
        <v>330.61941279864402</v>
      </c>
      <c r="F563">
        <v>12.550538334763299</v>
      </c>
      <c r="G563">
        <v>8.1492640296508192</v>
      </c>
      <c r="H563">
        <v>8</v>
      </c>
      <c r="I563">
        <v>2.7434761230092399</v>
      </c>
      <c r="J563">
        <v>2.2949999999999999</v>
      </c>
      <c r="K563">
        <v>12.5031975516212</v>
      </c>
      <c r="L563">
        <v>10.761837517195699</v>
      </c>
      <c r="M563">
        <v>1.4445723274722899</v>
      </c>
      <c r="N563">
        <v>93.998755550637796</v>
      </c>
      <c r="O563">
        <v>0</v>
      </c>
      <c r="P563">
        <v>2.69323946325897</v>
      </c>
      <c r="Q563">
        <v>28.8438977109173</v>
      </c>
      <c r="R563">
        <v>8.0919627012924291</v>
      </c>
      <c r="S563">
        <v>-1.32075133057146</v>
      </c>
      <c r="T563">
        <v>39.436000815572299</v>
      </c>
      <c r="U563">
        <v>-0.60376182828823599</v>
      </c>
      <c r="V563">
        <v>29.4697983098295</v>
      </c>
    </row>
    <row r="564" spans="1:22" x14ac:dyDescent="0.25">
      <c r="A564" t="str">
        <f t="shared" si="8"/>
        <v>Ethiopia2011</v>
      </c>
      <c r="B564" t="s">
        <v>89</v>
      </c>
      <c r="C564" t="s">
        <v>90</v>
      </c>
      <c r="D564">
        <v>2011</v>
      </c>
      <c r="E564">
        <v>343.02494235188698</v>
      </c>
      <c r="F564">
        <v>11.1782962297008</v>
      </c>
      <c r="G564">
        <v>33.249959882334402</v>
      </c>
      <c r="H564">
        <v>8</v>
      </c>
      <c r="I564">
        <v>2.7833589211032499</v>
      </c>
      <c r="J564">
        <v>2.27</v>
      </c>
      <c r="K564">
        <v>10.583931315438001</v>
      </c>
      <c r="L564">
        <v>10.876474079319101</v>
      </c>
      <c r="M564">
        <v>20.0618750792177</v>
      </c>
      <c r="N564">
        <v>92.165961714092006</v>
      </c>
      <c r="O564">
        <v>32.107666469452099</v>
      </c>
      <c r="P564">
        <v>2.87144325080089</v>
      </c>
      <c r="Q564">
        <v>32.558275819566198</v>
      </c>
      <c r="R564">
        <v>16.686853199733701</v>
      </c>
      <c r="S564">
        <v>-1.60712779449919</v>
      </c>
      <c r="T564">
        <v>44.564936065500802</v>
      </c>
      <c r="U564">
        <v>-0.90619244181139402</v>
      </c>
      <c r="V564">
        <v>23.673464503131299</v>
      </c>
    </row>
    <row r="565" spans="1:22" x14ac:dyDescent="0.25">
      <c r="A565" t="str">
        <f t="shared" si="8"/>
        <v>Ethiopia2012</v>
      </c>
      <c r="B565" t="s">
        <v>89</v>
      </c>
      <c r="C565" t="s">
        <v>90</v>
      </c>
      <c r="D565">
        <v>2012</v>
      </c>
      <c r="E565">
        <v>452.10103188575403</v>
      </c>
      <c r="F565">
        <v>8.6478116351392593</v>
      </c>
      <c r="G565">
        <v>23.600417677317001</v>
      </c>
      <c r="H565">
        <v>8</v>
      </c>
      <c r="I565">
        <v>2.8274706291365899</v>
      </c>
      <c r="J565">
        <v>2.2519999999999998</v>
      </c>
      <c r="K565">
        <v>8.4663798445963891</v>
      </c>
      <c r="L565">
        <v>11.070440658964699</v>
      </c>
      <c r="M565">
        <v>33.541405015827003</v>
      </c>
      <c r="N565">
        <v>90.2361319500354</v>
      </c>
      <c r="O565">
        <v>37.097961967354202</v>
      </c>
      <c r="P565">
        <v>1.94022284437674</v>
      </c>
      <c r="Q565">
        <v>30.912255614516599</v>
      </c>
      <c r="R565">
        <v>13.7672981990263</v>
      </c>
      <c r="S565">
        <v>-1.1719387866828901</v>
      </c>
      <c r="T565">
        <v>39.358315379898997</v>
      </c>
      <c r="U565">
        <v>-0.974846349977876</v>
      </c>
      <c r="V565">
        <v>22.357655351962599</v>
      </c>
    </row>
    <row r="566" spans="1:22" x14ac:dyDescent="0.25">
      <c r="A566" t="str">
        <f t="shared" si="8"/>
        <v>Ethiopia2013</v>
      </c>
      <c r="B566" t="s">
        <v>89</v>
      </c>
      <c r="C566" t="s">
        <v>90</v>
      </c>
      <c r="D566">
        <v>2013</v>
      </c>
      <c r="E566">
        <v>484.03983310406198</v>
      </c>
      <c r="F566">
        <v>10.5822700502552</v>
      </c>
      <c r="G566">
        <v>7.4640219294451704</v>
      </c>
      <c r="H566">
        <v>8</v>
      </c>
      <c r="I566">
        <v>2.8697357202348099</v>
      </c>
      <c r="J566">
        <v>2.2509999999999999</v>
      </c>
      <c r="K566">
        <v>10.2119139511192</v>
      </c>
      <c r="L566">
        <v>10.440287579858101</v>
      </c>
      <c r="M566">
        <v>4.9019792971924998</v>
      </c>
      <c r="N566">
        <v>88.276154818898902</v>
      </c>
      <c r="O566">
        <v>34.081118315587197</v>
      </c>
      <c r="P566">
        <v>1.9709700911463801</v>
      </c>
      <c r="Q566">
        <v>28.334763591027102</v>
      </c>
      <c r="R566">
        <v>12.484073558977</v>
      </c>
      <c r="S566">
        <v>-1.9305311617140899</v>
      </c>
      <c r="T566">
        <v>44.103874620381298</v>
      </c>
      <c r="U566">
        <v>-0.972372876274748</v>
      </c>
      <c r="V566">
        <v>22.4050615291296</v>
      </c>
    </row>
    <row r="567" spans="1:22" x14ac:dyDescent="0.25">
      <c r="A567" t="str">
        <f t="shared" si="8"/>
        <v>Ethiopia2014</v>
      </c>
      <c r="B567" t="s">
        <v>89</v>
      </c>
      <c r="C567" t="s">
        <v>90</v>
      </c>
      <c r="D567">
        <v>2014</v>
      </c>
      <c r="E567">
        <v>549.98657708258804</v>
      </c>
      <c r="F567">
        <v>10.257492962747699</v>
      </c>
      <c r="G567">
        <v>6.8900195159719102</v>
      </c>
      <c r="H567">
        <v>8</v>
      </c>
      <c r="I567">
        <v>2.9082577008053301</v>
      </c>
      <c r="J567">
        <v>2.3610000000000002</v>
      </c>
      <c r="K567">
        <v>9.5524336765539903</v>
      </c>
      <c r="L567">
        <v>9.7374529864063604</v>
      </c>
      <c r="M567">
        <v>10.981788289114601</v>
      </c>
      <c r="N567">
        <v>86.334659858325693</v>
      </c>
      <c r="O567">
        <v>37.993725303737797</v>
      </c>
      <c r="P567">
        <v>2.3002950163836999</v>
      </c>
      <c r="Q567">
        <v>31.450331780095201</v>
      </c>
      <c r="R567">
        <v>11.6416199095703</v>
      </c>
      <c r="S567">
        <v>-2.58229115168146</v>
      </c>
      <c r="T567">
        <v>44.152450314709199</v>
      </c>
      <c r="U567">
        <v>-1.0174037240345799</v>
      </c>
      <c r="V567">
        <v>21.542007944130699</v>
      </c>
    </row>
    <row r="568" spans="1:22" x14ac:dyDescent="0.25">
      <c r="A568" t="str">
        <f t="shared" si="8"/>
        <v>Ethiopia2015</v>
      </c>
      <c r="B568" t="s">
        <v>89</v>
      </c>
      <c r="C568" t="s">
        <v>90</v>
      </c>
      <c r="D568">
        <v>2015</v>
      </c>
      <c r="E568">
        <v>597.91211321866297</v>
      </c>
      <c r="F568">
        <v>10.3924630141307</v>
      </c>
      <c r="G568">
        <v>9.5688995596862298</v>
      </c>
      <c r="H568">
        <v>8</v>
      </c>
      <c r="I568">
        <v>2.9350703807083498</v>
      </c>
      <c r="J568">
        <v>2.4420000000000002</v>
      </c>
      <c r="K568">
        <v>10.377637013547201</v>
      </c>
      <c r="L568">
        <v>9.9433443440877607</v>
      </c>
      <c r="M568">
        <v>10.836542785101701</v>
      </c>
      <c r="N568">
        <v>84.457179509596799</v>
      </c>
      <c r="O568">
        <v>40.671272984812198</v>
      </c>
      <c r="P568">
        <v>2.2815276871976899</v>
      </c>
      <c r="Q568">
        <v>29.9299223759269</v>
      </c>
      <c r="R568">
        <v>9.3633135973592605</v>
      </c>
      <c r="S568">
        <v>-1.9470670053957799</v>
      </c>
      <c r="T568">
        <v>50.743119629039199</v>
      </c>
      <c r="U568">
        <v>-1.0324071019852299</v>
      </c>
      <c r="V568">
        <v>21.254455748878598</v>
      </c>
    </row>
    <row r="569" spans="1:22" x14ac:dyDescent="0.25">
      <c r="A569" t="str">
        <f t="shared" si="8"/>
        <v>Ethiopia2016</v>
      </c>
      <c r="B569" t="s">
        <v>89</v>
      </c>
      <c r="C569" t="s">
        <v>90</v>
      </c>
      <c r="D569">
        <v>2016</v>
      </c>
      <c r="E569">
        <v>641.65152328623299</v>
      </c>
      <c r="F569">
        <v>9.4334826598190507</v>
      </c>
      <c r="G569">
        <v>6.6281333723092404</v>
      </c>
      <c r="H569">
        <v>8</v>
      </c>
      <c r="I569">
        <v>2.9534213679579699</v>
      </c>
      <c r="J569">
        <v>2.556</v>
      </c>
      <c r="K569">
        <v>10.089293641779999</v>
      </c>
      <c r="L569">
        <v>9.3582173027143494</v>
      </c>
      <c r="M569">
        <v>10.397957269054199</v>
      </c>
      <c r="N569">
        <v>82.662242576723997</v>
      </c>
      <c r="O569">
        <v>37.348762969964604</v>
      </c>
      <c r="P569">
        <v>1.78101039203727</v>
      </c>
      <c r="Q569">
        <v>31.789987068938402</v>
      </c>
      <c r="R569">
        <v>7.8120625822914</v>
      </c>
      <c r="S569">
        <v>-2.30045426331561</v>
      </c>
      <c r="T569">
        <v>51.803215481394297</v>
      </c>
      <c r="U569">
        <v>-1.0183947611172299</v>
      </c>
      <c r="V569">
        <v>21.523013895615101</v>
      </c>
    </row>
    <row r="570" spans="1:22" x14ac:dyDescent="0.25">
      <c r="A570" t="str">
        <f t="shared" si="8"/>
        <v>Ethiopia2017</v>
      </c>
      <c r="B570" t="s">
        <v>89</v>
      </c>
      <c r="C570" t="s">
        <v>90</v>
      </c>
      <c r="D570">
        <v>2017</v>
      </c>
      <c r="E570">
        <v>696.34842907621601</v>
      </c>
      <c r="F570">
        <v>9.5641896575401404</v>
      </c>
      <c r="G570">
        <v>10.687115028423801</v>
      </c>
      <c r="H570">
        <v>8</v>
      </c>
      <c r="I570">
        <v>2.9772729736809902</v>
      </c>
      <c r="J570">
        <v>2.665</v>
      </c>
      <c r="K570">
        <v>11.2325037938413</v>
      </c>
      <c r="L570">
        <v>9.4448283564707207</v>
      </c>
      <c r="M570">
        <v>6.6768222196087104</v>
      </c>
      <c r="N570">
        <v>80.985426055129594</v>
      </c>
      <c r="O570">
        <v>38.443987156980597</v>
      </c>
      <c r="P570">
        <v>1.8448471627707299</v>
      </c>
      <c r="Q570">
        <v>26.830587346407899</v>
      </c>
      <c r="R570">
        <v>7.6293747152501599</v>
      </c>
      <c r="S570">
        <v>-3.2433695126502702</v>
      </c>
      <c r="T570">
        <v>55.278047932953299</v>
      </c>
      <c r="U570">
        <v>-1.0999625809039499</v>
      </c>
      <c r="V570">
        <v>19.959698906234099</v>
      </c>
    </row>
    <row r="571" spans="1:22" x14ac:dyDescent="0.25">
      <c r="A571" t="str">
        <f t="shared" si="8"/>
        <v>Ethiopia2018</v>
      </c>
      <c r="B571" t="s">
        <v>89</v>
      </c>
      <c r="C571" t="s">
        <v>90</v>
      </c>
      <c r="D571">
        <v>2018</v>
      </c>
      <c r="E571">
        <v>739.70202227208597</v>
      </c>
      <c r="F571">
        <v>6.8161477855728201</v>
      </c>
      <c r="G571">
        <v>13.8330356586661</v>
      </c>
      <c r="H571">
        <v>8</v>
      </c>
      <c r="I571">
        <v>3.00590065682161</v>
      </c>
      <c r="J571">
        <v>2.8109999999999999</v>
      </c>
      <c r="K571">
        <v>10.817477417795899</v>
      </c>
      <c r="L571">
        <v>8.9733653469147896</v>
      </c>
      <c r="M571">
        <v>12.382276100106999</v>
      </c>
      <c r="N571">
        <v>79.517919573295302</v>
      </c>
      <c r="O571">
        <v>34.162955112418203</v>
      </c>
      <c r="P571">
        <v>2.3537373291229202</v>
      </c>
      <c r="Q571">
        <v>33.269988123022301</v>
      </c>
      <c r="R571">
        <v>8.37267815589761</v>
      </c>
      <c r="S571">
        <v>-3.0290694451613298</v>
      </c>
      <c r="T571">
        <v>58.448870837283401</v>
      </c>
      <c r="U571">
        <v>-1.0213015455681</v>
      </c>
      <c r="V571">
        <v>21.467302958203302</v>
      </c>
    </row>
    <row r="572" spans="1:22" x14ac:dyDescent="0.25">
      <c r="A572" t="str">
        <f t="shared" si="8"/>
        <v>Ethiopia2019</v>
      </c>
      <c r="B572" t="s">
        <v>89</v>
      </c>
      <c r="C572" t="s">
        <v>90</v>
      </c>
      <c r="D572">
        <v>2019</v>
      </c>
      <c r="E572">
        <v>793.47324721026405</v>
      </c>
      <c r="F572">
        <v>8.3640857331405396</v>
      </c>
      <c r="G572">
        <v>15.8096321719344</v>
      </c>
      <c r="H572">
        <v>8</v>
      </c>
      <c r="I572">
        <v>3.03819036170098</v>
      </c>
      <c r="J572">
        <v>2.9279999999999999</v>
      </c>
      <c r="K572">
        <v>9.7054157674262296</v>
      </c>
      <c r="L572">
        <v>7.7882192883350196</v>
      </c>
      <c r="M572">
        <v>12.8604326413094</v>
      </c>
      <c r="N572">
        <v>78.249767021793801</v>
      </c>
      <c r="O572">
        <v>35.263975625481102</v>
      </c>
      <c r="P572">
        <v>1.80527864372518</v>
      </c>
      <c r="Q572">
        <v>29.353031830807499</v>
      </c>
      <c r="R572">
        <v>7.93996502459584</v>
      </c>
      <c r="S572">
        <v>-2.53341252610858</v>
      </c>
      <c r="T572">
        <v>54.698545244413403</v>
      </c>
      <c r="U572">
        <v>-1.0400981766692301</v>
      </c>
      <c r="V572">
        <v>21.107049916904799</v>
      </c>
    </row>
    <row r="573" spans="1:22" x14ac:dyDescent="0.25">
      <c r="A573" t="str">
        <f t="shared" si="8"/>
        <v>Ethiopia2020</v>
      </c>
      <c r="B573" t="s">
        <v>89</v>
      </c>
      <c r="C573" t="s">
        <v>90</v>
      </c>
      <c r="D573">
        <v>2020</v>
      </c>
      <c r="E573">
        <v>829.79098254794701</v>
      </c>
      <c r="F573">
        <v>6.0595308905480696</v>
      </c>
      <c r="G573">
        <v>20.3563468559061</v>
      </c>
      <c r="H573">
        <v>8</v>
      </c>
      <c r="I573">
        <v>3.0690489091858799</v>
      </c>
      <c r="J573">
        <v>3.9980000000000002</v>
      </c>
      <c r="K573">
        <v>8.4122686684483305</v>
      </c>
      <c r="L573">
        <v>7.10462875417908</v>
      </c>
      <c r="M573">
        <v>18.254572677522201</v>
      </c>
      <c r="N573">
        <v>77.053210192288901</v>
      </c>
      <c r="O573">
        <v>30.578968659494301</v>
      </c>
      <c r="P573">
        <v>2.0485790156117401</v>
      </c>
      <c r="Q573">
        <v>27.7544481026566</v>
      </c>
      <c r="R573">
        <v>7.1271998966880297</v>
      </c>
      <c r="S573">
        <v>-2.7643067947241202</v>
      </c>
      <c r="T573">
        <v>53.248781406092597</v>
      </c>
      <c r="U573">
        <v>-1.0669332088249699</v>
      </c>
      <c r="V573">
        <v>20.592734245365701</v>
      </c>
    </row>
    <row r="574" spans="1:22" x14ac:dyDescent="0.25">
      <c r="A574" t="str">
        <f t="shared" si="8"/>
        <v>Ethiopia2021</v>
      </c>
      <c r="B574" t="s">
        <v>89</v>
      </c>
      <c r="C574" t="s">
        <v>90</v>
      </c>
      <c r="D574">
        <v>2021</v>
      </c>
      <c r="E574">
        <v>893.00983544905</v>
      </c>
      <c r="F574">
        <v>5.64153069257077</v>
      </c>
      <c r="G574">
        <v>26.839522155772201</v>
      </c>
      <c r="H574">
        <v>8</v>
      </c>
      <c r="I574">
        <v>3.0936119750556998</v>
      </c>
      <c r="J574">
        <v>3.9350000000000001</v>
      </c>
      <c r="K574">
        <v>8.4174192767289409</v>
      </c>
      <c r="L574">
        <v>6.5546043599759303</v>
      </c>
      <c r="M574">
        <v>21.763272571700501</v>
      </c>
      <c r="N574">
        <v>75.927506543307004</v>
      </c>
      <c r="O574">
        <v>28.025295410936302</v>
      </c>
      <c r="P574">
        <v>0.92146131951931998</v>
      </c>
      <c r="Q574">
        <v>25.2121637037197</v>
      </c>
      <c r="R574">
        <v>7.63170919111601</v>
      </c>
      <c r="S574">
        <v>-2.7670549724639599</v>
      </c>
      <c r="T574">
        <v>53.783673628933698</v>
      </c>
      <c r="U574">
        <v>-1.0741853584660701</v>
      </c>
      <c r="V574">
        <v>20.453740776264599</v>
      </c>
    </row>
    <row r="575" spans="1:22" x14ac:dyDescent="0.25">
      <c r="A575" t="str">
        <f t="shared" si="8"/>
        <v>Ethiopia2022</v>
      </c>
      <c r="B575" t="s">
        <v>89</v>
      </c>
      <c r="C575" t="s">
        <v>90</v>
      </c>
      <c r="D575">
        <v>2022</v>
      </c>
      <c r="E575">
        <v>982.10316150699202</v>
      </c>
      <c r="F575">
        <v>5.3217598840337796</v>
      </c>
      <c r="G575">
        <v>33.889879710089801</v>
      </c>
      <c r="H575">
        <v>8</v>
      </c>
      <c r="I575">
        <v>3.1244162321727602</v>
      </c>
      <c r="J575">
        <v>3.3860000000000001</v>
      </c>
      <c r="K575">
        <v>7.3017831362265602</v>
      </c>
      <c r="L575">
        <v>5.05571917893666</v>
      </c>
      <c r="M575">
        <v>34.666605000446999</v>
      </c>
      <c r="N575">
        <v>74.917585217650796</v>
      </c>
      <c r="O575">
        <v>25.3422268254436</v>
      </c>
      <c r="P575">
        <v>0.578588743645569</v>
      </c>
      <c r="Q575">
        <v>21.731773207820101</v>
      </c>
      <c r="R575">
        <v>8.2439603779890192</v>
      </c>
      <c r="S575">
        <v>-4.1587278780031802</v>
      </c>
      <c r="T575">
        <v>46.944803319202201</v>
      </c>
      <c r="U575">
        <v>-1.13146886958131</v>
      </c>
      <c r="V575">
        <v>19.355854725062201</v>
      </c>
    </row>
    <row r="576" spans="1:22" x14ac:dyDescent="0.25">
      <c r="A576" t="str">
        <f t="shared" si="8"/>
        <v>Ethiopia2023</v>
      </c>
      <c r="B576" t="s">
        <v>89</v>
      </c>
      <c r="C576" t="s">
        <v>90</v>
      </c>
      <c r="D576">
        <v>2023</v>
      </c>
      <c r="E576">
        <v>1055.8109159252699</v>
      </c>
      <c r="F576">
        <v>6.59424599357075</v>
      </c>
      <c r="G576">
        <v>30.218827813527799</v>
      </c>
      <c r="H576">
        <v>8</v>
      </c>
      <c r="I576">
        <v>3.17131039041743</v>
      </c>
      <c r="J576">
        <v>3.375</v>
      </c>
      <c r="K576">
        <v>6.1216215860361496</v>
      </c>
      <c r="L576">
        <v>4.5049631886026598</v>
      </c>
      <c r="M576">
        <v>32.913072265467598</v>
      </c>
      <c r="N576">
        <v>74.024865715664205</v>
      </c>
      <c r="O576">
        <v>22.169403960471801</v>
      </c>
      <c r="P576">
        <v>1.04253332393312</v>
      </c>
      <c r="Q576">
        <v>20.099339460221</v>
      </c>
      <c r="R576">
        <v>6.5959182901429303</v>
      </c>
      <c r="S576">
        <v>-2.5992146195764998</v>
      </c>
      <c r="T576">
        <v>38.734984950697402</v>
      </c>
      <c r="U576">
        <v>-1.0174343290760699</v>
      </c>
      <c r="V576">
        <v>21.5414213731001</v>
      </c>
    </row>
    <row r="577" spans="1:22" x14ac:dyDescent="0.25">
      <c r="A577" t="str">
        <f t="shared" si="8"/>
        <v>Ethiopia2024</v>
      </c>
      <c r="B577" t="s">
        <v>89</v>
      </c>
      <c r="C577" t="s">
        <v>90</v>
      </c>
      <c r="D577">
        <v>2024</v>
      </c>
      <c r="E577">
        <v>1133.88279681719</v>
      </c>
      <c r="F577">
        <v>7.6127744751107302</v>
      </c>
      <c r="G577">
        <v>21.037746057770999</v>
      </c>
      <c r="H577">
        <v>8</v>
      </c>
      <c r="I577">
        <v>3.2299844841086802</v>
      </c>
      <c r="J577">
        <v>3.3570000000000002</v>
      </c>
      <c r="K577">
        <v>9.8973547046031101</v>
      </c>
      <c r="L577">
        <v>4.07207549838974</v>
      </c>
      <c r="M577">
        <v>25.538781789877799</v>
      </c>
      <c r="N577">
        <v>73.279895167971503</v>
      </c>
      <c r="O577">
        <v>20.575472315317501</v>
      </c>
      <c r="P577">
        <v>1.78062348919911</v>
      </c>
      <c r="Q577">
        <v>19.6728981679166</v>
      </c>
      <c r="R577">
        <v>5.5392708216641502</v>
      </c>
      <c r="S577">
        <v>-1.9887866432240899</v>
      </c>
      <c r="T577">
        <v>33.381863746337203</v>
      </c>
      <c r="U577">
        <v>-0.91970671863582298</v>
      </c>
      <c r="V577">
        <v>23.4144521673166</v>
      </c>
    </row>
    <row r="578" spans="1:22" x14ac:dyDescent="0.25">
      <c r="A578" t="str">
        <f t="shared" si="8"/>
        <v>Ethiopia2025</v>
      </c>
      <c r="B578" t="s">
        <v>89</v>
      </c>
      <c r="C578" t="s">
        <v>90</v>
      </c>
      <c r="D578">
        <v>2025</v>
      </c>
      <c r="E578">
        <v>696.34842907621601</v>
      </c>
      <c r="F578">
        <v>8.6478116351392593</v>
      </c>
      <c r="G578">
        <v>15.8096321719344</v>
      </c>
      <c r="H578">
        <v>8</v>
      </c>
      <c r="I578">
        <v>2.9772729736809902</v>
      </c>
      <c r="J578">
        <v>3.323</v>
      </c>
      <c r="K578">
        <v>9.8973547046031101</v>
      </c>
      <c r="L578">
        <v>9.3582173027143494</v>
      </c>
      <c r="M578">
        <v>12.8604326413094</v>
      </c>
      <c r="N578">
        <v>80.985426055129594</v>
      </c>
      <c r="O578">
        <v>34.081118315587197</v>
      </c>
      <c r="P578">
        <v>1.94022284437674</v>
      </c>
      <c r="Q578">
        <v>28.8438977109173</v>
      </c>
      <c r="R578">
        <v>8.0919627012924291</v>
      </c>
      <c r="S578">
        <v>-1.1876652499051701</v>
      </c>
      <c r="T578">
        <v>43.080797317919199</v>
      </c>
      <c r="U578">
        <v>-0.94883977501845396</v>
      </c>
      <c r="V578">
        <v>22.856092953492599</v>
      </c>
    </row>
    <row r="579" spans="1:22" x14ac:dyDescent="0.25">
      <c r="A579" t="str">
        <f t="shared" si="8"/>
        <v>Finland2010</v>
      </c>
      <c r="B579" t="s">
        <v>91</v>
      </c>
      <c r="C579" t="s">
        <v>92</v>
      </c>
      <c r="D579">
        <v>2010</v>
      </c>
      <c r="E579">
        <v>46506.291901656601</v>
      </c>
      <c r="F579">
        <v>3.1682879121620999</v>
      </c>
      <c r="G579">
        <v>1.1841352315464599</v>
      </c>
      <c r="H579">
        <v>9</v>
      </c>
      <c r="I579">
        <v>17.259416478561299</v>
      </c>
      <c r="J579">
        <v>8.3940000000000001</v>
      </c>
      <c r="K579">
        <v>38.416238366808898</v>
      </c>
      <c r="L579">
        <v>35.3027154299564</v>
      </c>
      <c r="M579">
        <v>0.34887294642480499</v>
      </c>
      <c r="N579">
        <v>51.095064476706703</v>
      </c>
      <c r="O579">
        <v>22.6073229974435</v>
      </c>
      <c r="P579">
        <v>1.0480824758359999</v>
      </c>
      <c r="Q579">
        <v>24.091708062785202</v>
      </c>
      <c r="R579">
        <v>38.413049370970597</v>
      </c>
      <c r="S579">
        <v>-2.5745826401696501</v>
      </c>
      <c r="T579">
        <v>50.112885672810798</v>
      </c>
      <c r="U579">
        <v>0.57274675537543296</v>
      </c>
      <c r="V579">
        <v>52.0185621334304</v>
      </c>
    </row>
    <row r="580" spans="1:22" x14ac:dyDescent="0.25">
      <c r="A580" t="str">
        <f t="shared" ref="A580:A643" si="9">C580&amp;D580</f>
        <v>Finland2011</v>
      </c>
      <c r="B580" t="s">
        <v>91</v>
      </c>
      <c r="C580" t="s">
        <v>92</v>
      </c>
      <c r="D580">
        <v>2011</v>
      </c>
      <c r="E580">
        <v>51060.324258976703</v>
      </c>
      <c r="F580">
        <v>2.3903945539682798</v>
      </c>
      <c r="G580">
        <v>3.4168075425521098</v>
      </c>
      <c r="H580">
        <v>9</v>
      </c>
      <c r="I580">
        <v>17.821391062500702</v>
      </c>
      <c r="J580">
        <v>7.7809999999999997</v>
      </c>
      <c r="K580">
        <v>37.994991272672102</v>
      </c>
      <c r="L580">
        <v>36.845007715463801</v>
      </c>
      <c r="M580">
        <v>2.6009284003848201</v>
      </c>
      <c r="N580">
        <v>52.225693993208402</v>
      </c>
      <c r="O580">
        <v>24.338873289317199</v>
      </c>
      <c r="P580">
        <v>0.94328091677419501</v>
      </c>
      <c r="Q580">
        <v>22.9803737899697</v>
      </c>
      <c r="R580">
        <v>38.967392679163197</v>
      </c>
      <c r="S580">
        <v>-1.01287597075712</v>
      </c>
      <c r="T580">
        <v>52.024431968239099</v>
      </c>
      <c r="U580">
        <v>0.67435184732417797</v>
      </c>
      <c r="V580">
        <v>53.9659080801068</v>
      </c>
    </row>
    <row r="581" spans="1:22" x14ac:dyDescent="0.25">
      <c r="A581" t="str">
        <f t="shared" si="9"/>
        <v>Finland2012</v>
      </c>
      <c r="B581" t="s">
        <v>91</v>
      </c>
      <c r="C581" t="s">
        <v>92</v>
      </c>
      <c r="D581">
        <v>2012</v>
      </c>
      <c r="E581">
        <v>47551.674084136903</v>
      </c>
      <c r="F581">
        <v>-1.5228401304068899</v>
      </c>
      <c r="G581">
        <v>2.8083362256157298</v>
      </c>
      <c r="H581">
        <v>9</v>
      </c>
      <c r="I581">
        <v>18.449958593243402</v>
      </c>
      <c r="J581">
        <v>7.6890000000000001</v>
      </c>
      <c r="K581">
        <v>39.073151743205301</v>
      </c>
      <c r="L581">
        <v>37.367375660002601</v>
      </c>
      <c r="M581">
        <v>2.9453460228264601</v>
      </c>
      <c r="N581">
        <v>53.592099865471397</v>
      </c>
      <c r="O581">
        <v>23.628342432802</v>
      </c>
      <c r="P581">
        <v>1.07453583832037</v>
      </c>
      <c r="Q581">
        <v>21.330989450598999</v>
      </c>
      <c r="R581">
        <v>38.934913014402802</v>
      </c>
      <c r="S581">
        <v>-2.1549271876153999</v>
      </c>
      <c r="T581">
        <v>57.856151872960098</v>
      </c>
      <c r="U581">
        <v>0.55420815907559795</v>
      </c>
      <c r="V581">
        <v>51.663254543336699</v>
      </c>
    </row>
    <row r="582" spans="1:22" x14ac:dyDescent="0.25">
      <c r="A582" t="str">
        <f t="shared" si="9"/>
        <v>Finland2013</v>
      </c>
      <c r="B582" t="s">
        <v>91</v>
      </c>
      <c r="C582" t="s">
        <v>92</v>
      </c>
      <c r="D582">
        <v>2013</v>
      </c>
      <c r="E582">
        <v>49691.014520073899</v>
      </c>
      <c r="F582">
        <v>-0.97974102494961801</v>
      </c>
      <c r="G582">
        <v>1.4782861568880901</v>
      </c>
      <c r="H582">
        <v>9</v>
      </c>
      <c r="I582">
        <v>19.0733570715343</v>
      </c>
      <c r="J582">
        <v>8.1929999999999996</v>
      </c>
      <c r="K582">
        <v>40.286588991483903</v>
      </c>
      <c r="L582">
        <v>37.7352000275188</v>
      </c>
      <c r="M582">
        <v>2.5613941595223202</v>
      </c>
      <c r="N582">
        <v>55.028223884783202</v>
      </c>
      <c r="O582">
        <v>22.657827879526501</v>
      </c>
      <c r="P582">
        <v>1.08888560986081</v>
      </c>
      <c r="Q582">
        <v>20.4507528095933</v>
      </c>
      <c r="R582">
        <v>38.250195334574997</v>
      </c>
      <c r="S582">
        <v>-2.5219044998206299</v>
      </c>
      <c r="T582">
        <v>60.811707297896199</v>
      </c>
      <c r="U582">
        <v>0.55957616059162896</v>
      </c>
      <c r="V582">
        <v>51.766136749272498</v>
      </c>
    </row>
    <row r="583" spans="1:22" x14ac:dyDescent="0.25">
      <c r="A583" t="str">
        <f t="shared" si="9"/>
        <v>Finland2014</v>
      </c>
      <c r="B583" t="s">
        <v>91</v>
      </c>
      <c r="C583" t="s">
        <v>92</v>
      </c>
      <c r="D583">
        <v>2014</v>
      </c>
      <c r="E583">
        <v>50073.776081587101</v>
      </c>
      <c r="F583">
        <v>-0.47806842478369999</v>
      </c>
      <c r="G583">
        <v>1.04119621178439</v>
      </c>
      <c r="H583">
        <v>9</v>
      </c>
      <c r="I583">
        <v>19.6661048130943</v>
      </c>
      <c r="J583">
        <v>8.6630000000000003</v>
      </c>
      <c r="K583">
        <v>40.793276821063401</v>
      </c>
      <c r="L583">
        <v>37.760559617206297</v>
      </c>
      <c r="M583">
        <v>1.6446705160891399</v>
      </c>
      <c r="N583">
        <v>56.416303801180597</v>
      </c>
      <c r="O583">
        <v>22.169002453183101</v>
      </c>
      <c r="P583">
        <v>1.0351156815221201</v>
      </c>
      <c r="Q583">
        <v>20.632192483798999</v>
      </c>
      <c r="R583">
        <v>36.806004226275803</v>
      </c>
      <c r="S583">
        <v>-2.9948264555147999</v>
      </c>
      <c r="T583">
        <v>64.812610818294402</v>
      </c>
      <c r="U583">
        <v>0.53287209716594397</v>
      </c>
      <c r="V583">
        <v>51.254331202183998</v>
      </c>
    </row>
    <row r="584" spans="1:22" x14ac:dyDescent="0.25">
      <c r="A584" t="str">
        <f t="shared" si="9"/>
        <v>Finland2015</v>
      </c>
      <c r="B584" t="s">
        <v>91</v>
      </c>
      <c r="C584" t="s">
        <v>92</v>
      </c>
      <c r="D584">
        <v>2015</v>
      </c>
      <c r="E584">
        <v>42560.345676710298</v>
      </c>
      <c r="F584">
        <v>0.46650376632267399</v>
      </c>
      <c r="G584">
        <v>-0.207928839905268</v>
      </c>
      <c r="H584">
        <v>9</v>
      </c>
      <c r="I584">
        <v>20.2090618722589</v>
      </c>
      <c r="J584">
        <v>9.3759999999999994</v>
      </c>
      <c r="K584">
        <v>40.6832800487174</v>
      </c>
      <c r="L584">
        <v>37.619414630433099</v>
      </c>
      <c r="M584">
        <v>1.63270237918134</v>
      </c>
      <c r="N584">
        <v>57.644333150549997</v>
      </c>
      <c r="O584">
        <v>21.905686229732801</v>
      </c>
      <c r="P584">
        <v>1.2042933030888801</v>
      </c>
      <c r="Q584">
        <v>20.733480092333298</v>
      </c>
      <c r="R584">
        <v>35.781571134962299</v>
      </c>
      <c r="S584">
        <v>-2.4268288041409698</v>
      </c>
      <c r="T584">
        <v>68.764272664992006</v>
      </c>
      <c r="U584">
        <v>0.48157426970081202</v>
      </c>
      <c r="V584">
        <v>50.271165747858902</v>
      </c>
    </row>
    <row r="585" spans="1:22" x14ac:dyDescent="0.25">
      <c r="A585" t="str">
        <f t="shared" si="9"/>
        <v>Finland2016</v>
      </c>
      <c r="B585" t="s">
        <v>91</v>
      </c>
      <c r="C585" t="s">
        <v>92</v>
      </c>
      <c r="D585">
        <v>2016</v>
      </c>
      <c r="E585">
        <v>43451.256244215801</v>
      </c>
      <c r="F585">
        <v>2.5719341489875398</v>
      </c>
      <c r="G585">
        <v>0.35668450089169501</v>
      </c>
      <c r="H585">
        <v>10</v>
      </c>
      <c r="I585">
        <v>20.683803329615699</v>
      </c>
      <c r="J585">
        <v>8.8179999999999996</v>
      </c>
      <c r="K585">
        <v>39.9389014310416</v>
      </c>
      <c r="L585">
        <v>37.971972538093901</v>
      </c>
      <c r="M585">
        <v>5.5195397756890002E-2</v>
      </c>
      <c r="N585">
        <v>58.659119971151299</v>
      </c>
      <c r="O585">
        <v>23.588312464942501</v>
      </c>
      <c r="P585">
        <v>1.20858285975094</v>
      </c>
      <c r="Q585">
        <v>21.327983060238001</v>
      </c>
      <c r="R585">
        <v>35.333330242864498</v>
      </c>
      <c r="S585">
        <v>-1.7013030961861999</v>
      </c>
      <c r="T585">
        <v>68.649202427254195</v>
      </c>
      <c r="U585">
        <v>0.59483053368107297</v>
      </c>
      <c r="V585">
        <v>52.441816080117199</v>
      </c>
    </row>
    <row r="586" spans="1:22" x14ac:dyDescent="0.25">
      <c r="A586" t="str">
        <f t="shared" si="9"/>
        <v>Finland2017</v>
      </c>
      <c r="B586" t="s">
        <v>91</v>
      </c>
      <c r="C586" t="s">
        <v>92</v>
      </c>
      <c r="D586">
        <v>2017</v>
      </c>
      <c r="E586">
        <v>46085.017473903601</v>
      </c>
      <c r="F586">
        <v>3.3033700359103899</v>
      </c>
      <c r="G586">
        <v>0.75401504708434597</v>
      </c>
      <c r="H586">
        <v>10</v>
      </c>
      <c r="I586">
        <v>21.145747328260398</v>
      </c>
      <c r="J586">
        <v>8.64</v>
      </c>
      <c r="K586">
        <v>38.172990485345302</v>
      </c>
      <c r="L586">
        <v>36.995006808897003</v>
      </c>
      <c r="M586">
        <v>0.83604593309081598</v>
      </c>
      <c r="N586">
        <v>59.603463967614601</v>
      </c>
      <c r="O586">
        <v>24.309542246313001</v>
      </c>
      <c r="P586">
        <v>1.1026106646192999</v>
      </c>
      <c r="Q586">
        <v>23.512538076884798</v>
      </c>
      <c r="R586">
        <v>38.166315096170102</v>
      </c>
      <c r="S586">
        <v>-0.62926668624780802</v>
      </c>
      <c r="T586">
        <v>66.580776659279195</v>
      </c>
      <c r="U586">
        <v>0.67921730625008103</v>
      </c>
      <c r="V586">
        <v>54.059158640057603</v>
      </c>
    </row>
    <row r="587" spans="1:22" x14ac:dyDescent="0.25">
      <c r="A587" t="str">
        <f t="shared" si="9"/>
        <v>Finland2018</v>
      </c>
      <c r="B587" t="s">
        <v>91</v>
      </c>
      <c r="C587" t="s">
        <v>92</v>
      </c>
      <c r="D587">
        <v>2018</v>
      </c>
      <c r="E587">
        <v>49654.2497035329</v>
      </c>
      <c r="F587">
        <v>1.19297759742292</v>
      </c>
      <c r="G587">
        <v>1.0838209840930499</v>
      </c>
      <c r="H587">
        <v>10</v>
      </c>
      <c r="I587">
        <v>21.615481450210702</v>
      </c>
      <c r="J587">
        <v>7.3609999999999998</v>
      </c>
      <c r="K587">
        <v>37.678359673141998</v>
      </c>
      <c r="L587">
        <v>37.015157068627197</v>
      </c>
      <c r="M587">
        <v>1.98705901186365</v>
      </c>
      <c r="N587">
        <v>60.4741377554613</v>
      </c>
      <c r="O587">
        <v>25.7234643496259</v>
      </c>
      <c r="P587">
        <v>0.95790124589375603</v>
      </c>
      <c r="Q587">
        <v>24.060847797486101</v>
      </c>
      <c r="R587">
        <v>39.149220586015801</v>
      </c>
      <c r="S587">
        <v>-0.87190875574049698</v>
      </c>
      <c r="T587">
        <v>65.278321298300099</v>
      </c>
      <c r="U587">
        <v>0.69877645416385104</v>
      </c>
      <c r="V587">
        <v>54.434025949164003</v>
      </c>
    </row>
    <row r="588" spans="1:22" x14ac:dyDescent="0.25">
      <c r="A588" t="str">
        <f t="shared" si="9"/>
        <v>Finland2019</v>
      </c>
      <c r="B588" t="s">
        <v>91</v>
      </c>
      <c r="C588" t="s">
        <v>92</v>
      </c>
      <c r="D588">
        <v>2019</v>
      </c>
      <c r="E588">
        <v>48358.1807773701</v>
      </c>
      <c r="F588">
        <v>1.3497384574173701</v>
      </c>
      <c r="G588">
        <v>1.0240939296342999</v>
      </c>
      <c r="H588">
        <v>10</v>
      </c>
      <c r="I588">
        <v>22.061393842070999</v>
      </c>
      <c r="J588">
        <v>6.6950000000000003</v>
      </c>
      <c r="K588">
        <v>37.309972412983498</v>
      </c>
      <c r="L588">
        <v>36.881493220637402</v>
      </c>
      <c r="M588">
        <v>1.48185903627636</v>
      </c>
      <c r="N588">
        <v>61.127882277790597</v>
      </c>
      <c r="O588">
        <v>24.567537879740701</v>
      </c>
      <c r="P588">
        <v>1.05136520912256</v>
      </c>
      <c r="Q588">
        <v>24.357556692867501</v>
      </c>
      <c r="R588">
        <v>40.6183181143561</v>
      </c>
      <c r="S588">
        <v>-0.93284364282779497</v>
      </c>
      <c r="T588">
        <v>65.327854085151998</v>
      </c>
      <c r="U588">
        <v>0.72240134909548603</v>
      </c>
      <c r="V588">
        <v>54.886816675528202</v>
      </c>
    </row>
    <row r="589" spans="1:22" x14ac:dyDescent="0.25">
      <c r="A589" t="str">
        <f t="shared" si="9"/>
        <v>Finland2020</v>
      </c>
      <c r="B589" t="s">
        <v>91</v>
      </c>
      <c r="C589" t="s">
        <v>92</v>
      </c>
      <c r="D589">
        <v>2020</v>
      </c>
      <c r="E589">
        <v>48828.684686279899</v>
      </c>
      <c r="F589">
        <v>-2.4910360553570698</v>
      </c>
      <c r="G589">
        <v>0.29055455565323901</v>
      </c>
      <c r="H589">
        <v>10</v>
      </c>
      <c r="I589">
        <v>22.490682890589799</v>
      </c>
      <c r="J589">
        <v>7.7590000000000003</v>
      </c>
      <c r="K589">
        <v>41.4819765892371</v>
      </c>
      <c r="L589">
        <v>35.469801638838</v>
      </c>
      <c r="M589">
        <v>1.6384159686061399</v>
      </c>
      <c r="N589">
        <v>61.684151245948101</v>
      </c>
      <c r="O589">
        <v>24.983607389577301</v>
      </c>
      <c r="P589">
        <v>1.4022418608151801</v>
      </c>
      <c r="Q589">
        <v>25.517304203126699</v>
      </c>
      <c r="R589">
        <v>36.214343428361097</v>
      </c>
      <c r="S589">
        <v>-5.5341452787166796</v>
      </c>
      <c r="T589">
        <v>75.317039854137406</v>
      </c>
      <c r="U589">
        <v>0.44110123148053898</v>
      </c>
      <c r="V589">
        <v>49.49546636689</v>
      </c>
    </row>
    <row r="590" spans="1:22" x14ac:dyDescent="0.25">
      <c r="A590" t="str">
        <f t="shared" si="9"/>
        <v>Finland2021</v>
      </c>
      <c r="B590" t="s">
        <v>91</v>
      </c>
      <c r="C590" t="s">
        <v>92</v>
      </c>
      <c r="D590">
        <v>2021</v>
      </c>
      <c r="E590">
        <v>53099.135140014798</v>
      </c>
      <c r="F590">
        <v>2.67634641498897</v>
      </c>
      <c r="G590">
        <v>2.1945743234000701</v>
      </c>
      <c r="H590">
        <v>10</v>
      </c>
      <c r="I590">
        <v>22.8749565743109</v>
      </c>
      <c r="J590">
        <v>7.617</v>
      </c>
      <c r="K590">
        <v>40.1026675885578</v>
      </c>
      <c r="L590">
        <v>37.022639931822901</v>
      </c>
      <c r="M590">
        <v>2.4928420246526501</v>
      </c>
      <c r="N590">
        <v>62.1515551986665</v>
      </c>
      <c r="O590">
        <v>24.788152626585799</v>
      </c>
      <c r="P590">
        <v>1.43571804894293</v>
      </c>
      <c r="Q590">
        <v>25.1181373084593</v>
      </c>
      <c r="R590">
        <v>39.921773246932801</v>
      </c>
      <c r="S590">
        <v>-2.69251177823157</v>
      </c>
      <c r="T590">
        <v>73.125810406650402</v>
      </c>
      <c r="U590">
        <v>0.69488977332660995</v>
      </c>
      <c r="V590">
        <v>54.359534483930702</v>
      </c>
    </row>
    <row r="591" spans="1:22" x14ac:dyDescent="0.25">
      <c r="A591" t="str">
        <f t="shared" si="9"/>
        <v>Finland2022</v>
      </c>
      <c r="B591" t="s">
        <v>91</v>
      </c>
      <c r="C591" t="s">
        <v>92</v>
      </c>
      <c r="D591">
        <v>2022</v>
      </c>
      <c r="E591">
        <v>50440.560224973997</v>
      </c>
      <c r="F591">
        <v>0.76304191276352595</v>
      </c>
      <c r="G591">
        <v>7.1235077330140202</v>
      </c>
      <c r="H591">
        <v>12</v>
      </c>
      <c r="I591">
        <v>23.2287672110978</v>
      </c>
      <c r="J591">
        <v>6.7190000000000003</v>
      </c>
      <c r="K591">
        <v>37.934506923178098</v>
      </c>
      <c r="L591">
        <v>37.181505626843503</v>
      </c>
      <c r="M591">
        <v>6.1727807570279198</v>
      </c>
      <c r="N591">
        <v>62.468788370310698</v>
      </c>
      <c r="O591">
        <v>27.285400266781899</v>
      </c>
      <c r="P591">
        <v>1.20824868121442</v>
      </c>
      <c r="Q591">
        <v>24.8573087243423</v>
      </c>
      <c r="R591">
        <v>46.2847802806846</v>
      </c>
      <c r="S591">
        <v>-0.17923234448681999</v>
      </c>
      <c r="T591">
        <v>73.963849550040393</v>
      </c>
      <c r="U591">
        <v>0.87513699332956396</v>
      </c>
      <c r="V591">
        <v>57.8141221088256</v>
      </c>
    </row>
    <row r="592" spans="1:22" x14ac:dyDescent="0.25">
      <c r="A592" t="str">
        <f t="shared" si="9"/>
        <v>Finland2023</v>
      </c>
      <c r="B592" t="s">
        <v>91</v>
      </c>
      <c r="C592" t="s">
        <v>92</v>
      </c>
      <c r="D592">
        <v>2023</v>
      </c>
      <c r="E592">
        <v>52834.291675270302</v>
      </c>
      <c r="F592">
        <v>-0.93909345961375801</v>
      </c>
      <c r="G592">
        <v>6.2506432215476204</v>
      </c>
      <c r="H592">
        <v>12</v>
      </c>
      <c r="I592">
        <v>23.577874719557101</v>
      </c>
      <c r="J592">
        <v>7.149</v>
      </c>
      <c r="K592">
        <v>44.931976778279498</v>
      </c>
      <c r="L592">
        <v>42.282149768369202</v>
      </c>
      <c r="M592">
        <v>3.4943123615201301</v>
      </c>
      <c r="N592">
        <v>62.635718791886497</v>
      </c>
      <c r="O592">
        <v>22.963334897085598</v>
      </c>
      <c r="P592">
        <v>1.2929589615531201</v>
      </c>
      <c r="Q592">
        <v>21.971687345514901</v>
      </c>
      <c r="R592">
        <v>42.793056940127798</v>
      </c>
      <c r="S592">
        <v>-2.8940861888976301</v>
      </c>
      <c r="T592">
        <v>77.039135180674293</v>
      </c>
      <c r="U592">
        <v>0.87187468068518403</v>
      </c>
      <c r="V592">
        <v>57.751597178401603</v>
      </c>
    </row>
    <row r="593" spans="1:22" x14ac:dyDescent="0.25">
      <c r="A593" t="str">
        <f t="shared" si="9"/>
        <v>Finland2024</v>
      </c>
      <c r="B593" t="s">
        <v>91</v>
      </c>
      <c r="C593" t="s">
        <v>92</v>
      </c>
      <c r="D593">
        <v>2024</v>
      </c>
      <c r="E593">
        <v>53149.767193405103</v>
      </c>
      <c r="F593">
        <v>0.41617196486207297</v>
      </c>
      <c r="G593">
        <v>1.5656890623161499</v>
      </c>
      <c r="H593">
        <v>12</v>
      </c>
      <c r="I593">
        <v>23.897236942839498</v>
      </c>
      <c r="J593">
        <v>8.4</v>
      </c>
      <c r="K593">
        <v>39.506026587123401</v>
      </c>
      <c r="L593">
        <v>41.796545189028997</v>
      </c>
      <c r="M593">
        <v>0.722482556554922</v>
      </c>
      <c r="N593">
        <v>62.682079445691102</v>
      </c>
      <c r="O593">
        <v>22.2812478484434</v>
      </c>
      <c r="P593">
        <v>1.37183035715742</v>
      </c>
      <c r="Q593">
        <v>21.7546702495377</v>
      </c>
      <c r="R593">
        <v>41.907791986606902</v>
      </c>
      <c r="S593">
        <v>-4.4040972053639003</v>
      </c>
      <c r="T593">
        <v>82.446579079904197</v>
      </c>
      <c r="U593">
        <v>0.74921131050027201</v>
      </c>
      <c r="V593">
        <v>55.400651845309802</v>
      </c>
    </row>
    <row r="594" spans="1:22" x14ac:dyDescent="0.25">
      <c r="A594" t="str">
        <f t="shared" si="9"/>
        <v>Finland2025</v>
      </c>
      <c r="B594" t="s">
        <v>91</v>
      </c>
      <c r="C594" t="s">
        <v>92</v>
      </c>
      <c r="D594">
        <v>2025</v>
      </c>
      <c r="E594">
        <v>49654.2497035329</v>
      </c>
      <c r="F594">
        <v>0.76304191276352595</v>
      </c>
      <c r="G594">
        <v>1.1841352315464599</v>
      </c>
      <c r="H594">
        <v>12</v>
      </c>
      <c r="I594">
        <v>21.145747328260398</v>
      </c>
      <c r="J594">
        <v>9.4610000000000003</v>
      </c>
      <c r="K594">
        <v>39.506026587123401</v>
      </c>
      <c r="L594">
        <v>37.181505626843503</v>
      </c>
      <c r="M594">
        <v>1.6446705160891399</v>
      </c>
      <c r="N594">
        <v>59.603463967614601</v>
      </c>
      <c r="O594">
        <v>23.628342432802</v>
      </c>
      <c r="P594">
        <v>1.1026106646192999</v>
      </c>
      <c r="Q594">
        <v>22.9803737899697</v>
      </c>
      <c r="R594">
        <v>38.934913014402802</v>
      </c>
      <c r="S594">
        <v>-3.8793566516762299</v>
      </c>
      <c r="T594">
        <v>89.295942669425798</v>
      </c>
      <c r="U594">
        <v>0.58914786185594503</v>
      </c>
      <c r="V594">
        <v>52.332902956446802</v>
      </c>
    </row>
    <row r="595" spans="1:22" x14ac:dyDescent="0.25">
      <c r="A595" t="str">
        <f t="shared" si="9"/>
        <v>France2010</v>
      </c>
      <c r="B595" t="s">
        <v>93</v>
      </c>
      <c r="C595" t="s">
        <v>94</v>
      </c>
      <c r="D595">
        <v>2010</v>
      </c>
      <c r="E595">
        <v>40694.821169702504</v>
      </c>
      <c r="F595">
        <v>2.0003247603905101</v>
      </c>
      <c r="G595">
        <v>1.53112270420918</v>
      </c>
      <c r="H595">
        <v>10</v>
      </c>
      <c r="I595">
        <v>16.782281823845899</v>
      </c>
      <c r="J595">
        <v>9.2789999999999999</v>
      </c>
      <c r="K595">
        <v>49.692529103739602</v>
      </c>
      <c r="L595">
        <v>43.265676727293503</v>
      </c>
      <c r="M595">
        <v>1.0894464238029999</v>
      </c>
      <c r="N595">
        <v>54.591548563141998</v>
      </c>
      <c r="O595">
        <v>21.3378695020042</v>
      </c>
      <c r="P595">
        <v>2.2026303444771602</v>
      </c>
      <c r="Q595">
        <v>20.961061191177301</v>
      </c>
      <c r="R595">
        <v>27.826488091555301</v>
      </c>
      <c r="S595">
        <v>-7.1589845070951696</v>
      </c>
      <c r="T595">
        <v>86.279323171724499</v>
      </c>
      <c r="U595">
        <v>0.35382598424582301</v>
      </c>
      <c r="V595">
        <v>47.822763791772601</v>
      </c>
    </row>
    <row r="596" spans="1:22" x14ac:dyDescent="0.25">
      <c r="A596" t="str">
        <f t="shared" si="9"/>
        <v>France2011</v>
      </c>
      <c r="B596" t="s">
        <v>93</v>
      </c>
      <c r="C596" t="s">
        <v>94</v>
      </c>
      <c r="D596">
        <v>2011</v>
      </c>
      <c r="E596">
        <v>43929.784087381202</v>
      </c>
      <c r="F596">
        <v>2.4375765372900702</v>
      </c>
      <c r="G596">
        <v>2.1115979517499999</v>
      </c>
      <c r="H596">
        <v>10</v>
      </c>
      <c r="I596">
        <v>17.0554720144704</v>
      </c>
      <c r="J596">
        <v>9.2279999999999998</v>
      </c>
      <c r="K596">
        <v>47.927974289250997</v>
      </c>
      <c r="L596">
        <v>42.969133930389098</v>
      </c>
      <c r="M596">
        <v>0.851478363204762</v>
      </c>
      <c r="N596">
        <v>55.276405363132298</v>
      </c>
      <c r="O596">
        <v>22.499645271657901</v>
      </c>
      <c r="P596">
        <v>1.9457661480819799</v>
      </c>
      <c r="Q596">
        <v>21.942266998997599</v>
      </c>
      <c r="R596">
        <v>29.538847336075001</v>
      </c>
      <c r="S596">
        <v>-5.2993854445452504</v>
      </c>
      <c r="T596">
        <v>88.747568667709899</v>
      </c>
      <c r="U596">
        <v>0.447016576567838</v>
      </c>
      <c r="V596">
        <v>49.608838866811197</v>
      </c>
    </row>
    <row r="597" spans="1:22" x14ac:dyDescent="0.25">
      <c r="A597" t="str">
        <f t="shared" si="9"/>
        <v>France2012</v>
      </c>
      <c r="B597" t="s">
        <v>93</v>
      </c>
      <c r="C597" t="s">
        <v>94</v>
      </c>
      <c r="D597">
        <v>2012</v>
      </c>
      <c r="E597">
        <v>40863.581441233298</v>
      </c>
      <c r="F597">
        <v>0.183835264973013</v>
      </c>
      <c r="G597">
        <v>1.95419531613509</v>
      </c>
      <c r="H597">
        <v>10</v>
      </c>
      <c r="I597">
        <v>17.4830959695717</v>
      </c>
      <c r="J597">
        <v>9.8409999999999993</v>
      </c>
      <c r="K597">
        <v>48.537171644104198</v>
      </c>
      <c r="L597">
        <v>43.879080396384303</v>
      </c>
      <c r="M597">
        <v>1.08204690089583</v>
      </c>
      <c r="N597">
        <v>56.293464272220703</v>
      </c>
      <c r="O597">
        <v>21.829564877274802</v>
      </c>
      <c r="P597">
        <v>2.2446997119140502</v>
      </c>
      <c r="Q597">
        <v>21.144563677607199</v>
      </c>
      <c r="R597">
        <v>30.355678652744398</v>
      </c>
      <c r="S597">
        <v>-5.1685472351261996</v>
      </c>
      <c r="T597">
        <v>91.7402636706544</v>
      </c>
      <c r="U597">
        <v>0.40873526448972702</v>
      </c>
      <c r="V597">
        <v>48.875145737077297</v>
      </c>
    </row>
    <row r="598" spans="1:22" x14ac:dyDescent="0.25">
      <c r="A598" t="str">
        <f t="shared" si="9"/>
        <v>France2013</v>
      </c>
      <c r="B598" t="s">
        <v>93</v>
      </c>
      <c r="C598" t="s">
        <v>94</v>
      </c>
      <c r="D598">
        <v>2013</v>
      </c>
      <c r="E598">
        <v>42669.179511189301</v>
      </c>
      <c r="F598">
        <v>0.78175644623100005</v>
      </c>
      <c r="G598">
        <v>0.86371549786180402</v>
      </c>
      <c r="H598">
        <v>10</v>
      </c>
      <c r="I598">
        <v>17.929578015589101</v>
      </c>
      <c r="J598">
        <v>9.9130000000000003</v>
      </c>
      <c r="K598">
        <v>49.071731913933696</v>
      </c>
      <c r="L598">
        <v>44.726457905407102</v>
      </c>
      <c r="M598">
        <v>0.74787580742223303</v>
      </c>
      <c r="N598">
        <v>57.167922469777899</v>
      </c>
      <c r="O598">
        <v>21.520441960601001</v>
      </c>
      <c r="P598">
        <v>1.7035480758463599</v>
      </c>
      <c r="Q598">
        <v>21.152729762531099</v>
      </c>
      <c r="R598">
        <v>30.591285342777301</v>
      </c>
      <c r="S598">
        <v>-4.9356899231825597</v>
      </c>
      <c r="T598">
        <v>94.5597712077994</v>
      </c>
      <c r="U598">
        <v>0.44901194313536102</v>
      </c>
      <c r="V598">
        <v>49.647081723767201</v>
      </c>
    </row>
    <row r="599" spans="1:22" x14ac:dyDescent="0.25">
      <c r="A599" t="str">
        <f t="shared" si="9"/>
        <v>France2014</v>
      </c>
      <c r="B599" t="s">
        <v>93</v>
      </c>
      <c r="C599" t="s">
        <v>94</v>
      </c>
      <c r="D599">
        <v>2014</v>
      </c>
      <c r="E599">
        <v>43148.045928841602</v>
      </c>
      <c r="F599">
        <v>0.99783294729525096</v>
      </c>
      <c r="G599">
        <v>0.50775882293798902</v>
      </c>
      <c r="H599">
        <v>10</v>
      </c>
      <c r="I599">
        <v>18.387873214191</v>
      </c>
      <c r="J599">
        <v>10.273</v>
      </c>
      <c r="K599">
        <v>49.1207847434763</v>
      </c>
      <c r="L599">
        <v>44.932480259508502</v>
      </c>
      <c r="M599">
        <v>0.57079505438828404</v>
      </c>
      <c r="N599">
        <v>58.062636761572698</v>
      </c>
      <c r="O599">
        <v>21.836470823613201</v>
      </c>
      <c r="P599">
        <v>1.64889771434924</v>
      </c>
      <c r="Q599">
        <v>21.092206748004202</v>
      </c>
      <c r="R599">
        <v>30.741812901515001</v>
      </c>
      <c r="S599">
        <v>-4.5713558737317896</v>
      </c>
      <c r="T599">
        <v>96.163266291596898</v>
      </c>
      <c r="U599">
        <v>0.462448061877759</v>
      </c>
      <c r="V599">
        <v>49.904596095047602</v>
      </c>
    </row>
    <row r="600" spans="1:22" x14ac:dyDescent="0.25">
      <c r="A600" t="str">
        <f t="shared" si="9"/>
        <v>France2015</v>
      </c>
      <c r="B600" t="s">
        <v>93</v>
      </c>
      <c r="C600" t="s">
        <v>94</v>
      </c>
      <c r="D600">
        <v>2015</v>
      </c>
      <c r="E600">
        <v>36702.432373337899</v>
      </c>
      <c r="F600">
        <v>1.06675474783462</v>
      </c>
      <c r="G600">
        <v>3.7514380512518097E-2</v>
      </c>
      <c r="H600">
        <v>10</v>
      </c>
      <c r="I600">
        <v>18.851626961817399</v>
      </c>
      <c r="J600">
        <v>10.353999999999999</v>
      </c>
      <c r="K600">
        <v>48.449188008221697</v>
      </c>
      <c r="L600">
        <v>44.653006520936501</v>
      </c>
      <c r="M600">
        <v>1.1344400901393501</v>
      </c>
      <c r="N600">
        <v>58.973891127122599</v>
      </c>
      <c r="O600">
        <v>21.716541861330501</v>
      </c>
      <c r="P600">
        <v>1.82304349468037</v>
      </c>
      <c r="Q600">
        <v>21.531098179044498</v>
      </c>
      <c r="R600">
        <v>31.693494726268899</v>
      </c>
      <c r="S600">
        <v>-3.88721369381875</v>
      </c>
      <c r="T600">
        <v>96.979106950933996</v>
      </c>
      <c r="U600">
        <v>0.44167561475975498</v>
      </c>
      <c r="V600">
        <v>49.506474899328403</v>
      </c>
    </row>
    <row r="601" spans="1:22" x14ac:dyDescent="0.25">
      <c r="A601" t="str">
        <f t="shared" si="9"/>
        <v>France2016</v>
      </c>
      <c r="B601" t="s">
        <v>93</v>
      </c>
      <c r="C601" t="s">
        <v>94</v>
      </c>
      <c r="D601">
        <v>2016</v>
      </c>
      <c r="E601">
        <v>37024.215713366902</v>
      </c>
      <c r="F601">
        <v>0.86003107542403301</v>
      </c>
      <c r="G601">
        <v>0.18333486112376399</v>
      </c>
      <c r="H601">
        <v>10</v>
      </c>
      <c r="I601">
        <v>19.284664166945401</v>
      </c>
      <c r="J601">
        <v>10.057</v>
      </c>
      <c r="K601">
        <v>48.150042799165803</v>
      </c>
      <c r="L601">
        <v>44.450984201587701</v>
      </c>
      <c r="M601">
        <v>0.517258232209031</v>
      </c>
      <c r="N601">
        <v>59.662349731122397</v>
      </c>
      <c r="O601">
        <v>21.597860615232602</v>
      </c>
      <c r="P601">
        <v>1.9281380914128901</v>
      </c>
      <c r="Q601">
        <v>21.160724996951899</v>
      </c>
      <c r="R601">
        <v>31.498210070062999</v>
      </c>
      <c r="S601">
        <v>-3.7627155248700701</v>
      </c>
      <c r="T601">
        <v>98.148640189907795</v>
      </c>
      <c r="U601">
        <v>0.448292684106393</v>
      </c>
      <c r="V601">
        <v>49.633296527299102</v>
      </c>
    </row>
    <row r="602" spans="1:22" x14ac:dyDescent="0.25">
      <c r="A602" t="str">
        <f t="shared" si="9"/>
        <v>France2017</v>
      </c>
      <c r="B602" t="s">
        <v>93</v>
      </c>
      <c r="C602" t="s">
        <v>94</v>
      </c>
      <c r="D602">
        <v>2017</v>
      </c>
      <c r="E602">
        <v>38687.1626407164</v>
      </c>
      <c r="F602">
        <v>2.0836148599739901</v>
      </c>
      <c r="G602">
        <v>1.03228275064681</v>
      </c>
      <c r="H602">
        <v>10</v>
      </c>
      <c r="I602">
        <v>19.670848683006898</v>
      </c>
      <c r="J602">
        <v>9.4090000000000007</v>
      </c>
      <c r="K602">
        <v>48.466341621356001</v>
      </c>
      <c r="L602">
        <v>45.084875487660703</v>
      </c>
      <c r="M602">
        <v>0.586343157961707</v>
      </c>
      <c r="N602">
        <v>60.261349166052298</v>
      </c>
      <c r="O602">
        <v>22.181399195917599</v>
      </c>
      <c r="P602">
        <v>1.9096601366859101</v>
      </c>
      <c r="Q602">
        <v>21.618517133588501</v>
      </c>
      <c r="R602">
        <v>32.311834044929</v>
      </c>
      <c r="S602">
        <v>-3.3649142267182901</v>
      </c>
      <c r="T602">
        <v>98.761564109489896</v>
      </c>
      <c r="U602">
        <v>0.51943679300553303</v>
      </c>
      <c r="V602">
        <v>50.996832443043701</v>
      </c>
    </row>
    <row r="603" spans="1:22" x14ac:dyDescent="0.25">
      <c r="A603" t="str">
        <f t="shared" si="9"/>
        <v>France2018</v>
      </c>
      <c r="B603" t="s">
        <v>93</v>
      </c>
      <c r="C603" t="s">
        <v>94</v>
      </c>
      <c r="D603">
        <v>2018</v>
      </c>
      <c r="E603">
        <v>41418.176648484397</v>
      </c>
      <c r="F603">
        <v>1.6459087239588699</v>
      </c>
      <c r="G603">
        <v>1.8508150831549199</v>
      </c>
      <c r="H603">
        <v>10</v>
      </c>
      <c r="I603">
        <v>20.0394210628073</v>
      </c>
      <c r="J603">
        <v>9.0180000000000007</v>
      </c>
      <c r="K603">
        <v>47.100077321421601</v>
      </c>
      <c r="L603">
        <v>44.725937762114597</v>
      </c>
      <c r="M603">
        <v>1.1145933133280601</v>
      </c>
      <c r="N603">
        <v>60.824978678072902</v>
      </c>
      <c r="O603">
        <v>22.611573894263799</v>
      </c>
      <c r="P603">
        <v>1.83376419046355</v>
      </c>
      <c r="Q603">
        <v>21.8900056739386</v>
      </c>
      <c r="R603">
        <v>32.917981892216403</v>
      </c>
      <c r="S603">
        <v>-2.32167186119506</v>
      </c>
      <c r="T603">
        <v>98.528337245681399</v>
      </c>
      <c r="U603">
        <v>0.58087063768875902</v>
      </c>
      <c r="V603">
        <v>52.174263082966498</v>
      </c>
    </row>
    <row r="604" spans="1:22" x14ac:dyDescent="0.25">
      <c r="A604" t="str">
        <f t="shared" si="9"/>
        <v>France2019</v>
      </c>
      <c r="B604" t="s">
        <v>93</v>
      </c>
      <c r="C604" t="s">
        <v>94</v>
      </c>
      <c r="D604">
        <v>2019</v>
      </c>
      <c r="E604">
        <v>40408.284857475097</v>
      </c>
      <c r="F604">
        <v>2.0274464641923702</v>
      </c>
      <c r="G604">
        <v>1.1082549228829299</v>
      </c>
      <c r="H604">
        <v>10</v>
      </c>
      <c r="I604">
        <v>20.410088876587299</v>
      </c>
      <c r="J604">
        <v>8.4149999999999991</v>
      </c>
      <c r="K604">
        <v>45.8897902925031</v>
      </c>
      <c r="L604">
        <v>43.348871485763503</v>
      </c>
      <c r="M604">
        <v>1.2105230833679299</v>
      </c>
      <c r="N604">
        <v>61.339333625720997</v>
      </c>
      <c r="O604">
        <v>23.025073361360601</v>
      </c>
      <c r="P604">
        <v>2.15547480521791</v>
      </c>
      <c r="Q604">
        <v>23.489989845156401</v>
      </c>
      <c r="R604">
        <v>32.889559391084703</v>
      </c>
      <c r="S604">
        <v>-2.39168787853994</v>
      </c>
      <c r="T604">
        <v>98.157763710078896</v>
      </c>
      <c r="U604">
        <v>0.57587374405149305</v>
      </c>
      <c r="V604">
        <v>52.078493467646403</v>
      </c>
    </row>
    <row r="605" spans="1:22" x14ac:dyDescent="0.25">
      <c r="A605" t="str">
        <f t="shared" si="9"/>
        <v>France2020</v>
      </c>
      <c r="B605" t="s">
        <v>93</v>
      </c>
      <c r="C605" t="s">
        <v>94</v>
      </c>
      <c r="D605">
        <v>2020</v>
      </c>
      <c r="E605">
        <v>39169.8606000707</v>
      </c>
      <c r="F605">
        <v>-7.4406458994823099</v>
      </c>
      <c r="G605">
        <v>0.47649885272506498</v>
      </c>
      <c r="H605">
        <v>13</v>
      </c>
      <c r="I605">
        <v>20.747440901072</v>
      </c>
      <c r="J605">
        <v>8.0090000000000003</v>
      </c>
      <c r="K605">
        <v>51.963631425798198</v>
      </c>
      <c r="L605">
        <v>42.9822123869451</v>
      </c>
      <c r="M605">
        <v>2.97797868174696</v>
      </c>
      <c r="N605">
        <v>61.777215608516997</v>
      </c>
      <c r="O605">
        <v>22.804418213843501</v>
      </c>
      <c r="P605">
        <v>2.9320747194552301</v>
      </c>
      <c r="Q605">
        <v>20.783585639695701</v>
      </c>
      <c r="R605">
        <v>28.557222819265501</v>
      </c>
      <c r="S605">
        <v>-8.9302309129715294</v>
      </c>
      <c r="T605">
        <v>114.90866488718299</v>
      </c>
      <c r="U605">
        <v>0.31486570097994698</v>
      </c>
      <c r="V605">
        <v>47.076057615497099</v>
      </c>
    </row>
    <row r="606" spans="1:22" x14ac:dyDescent="0.25">
      <c r="A606" t="str">
        <f t="shared" si="9"/>
        <v>France2021</v>
      </c>
      <c r="B606" t="s">
        <v>93</v>
      </c>
      <c r="C606" t="s">
        <v>94</v>
      </c>
      <c r="D606">
        <v>2021</v>
      </c>
      <c r="E606">
        <v>43725.099952124503</v>
      </c>
      <c r="F606">
        <v>6.8823378336023904</v>
      </c>
      <c r="G606">
        <v>1.6423314103839299</v>
      </c>
      <c r="H606">
        <v>13</v>
      </c>
      <c r="I606">
        <v>21.050753971705301</v>
      </c>
      <c r="J606">
        <v>7.8710000000000004</v>
      </c>
      <c r="K606">
        <v>49.994444006530401</v>
      </c>
      <c r="L606">
        <v>42.581440956375701</v>
      </c>
      <c r="M606">
        <v>1.22181614073425</v>
      </c>
      <c r="N606">
        <v>62.063943568538903</v>
      </c>
      <c r="O606">
        <v>23.447484578280601</v>
      </c>
      <c r="P606">
        <v>2.65318657576471</v>
      </c>
      <c r="Q606">
        <v>23.451946633500199</v>
      </c>
      <c r="R606">
        <v>31.288049933210502</v>
      </c>
      <c r="S606">
        <v>-6.5836716369589396</v>
      </c>
      <c r="T606">
        <v>112.78648157052601</v>
      </c>
      <c r="U606">
        <v>0.62200860358163401</v>
      </c>
      <c r="V606">
        <v>52.962706354849203</v>
      </c>
    </row>
    <row r="607" spans="1:22" x14ac:dyDescent="0.25">
      <c r="A607" t="str">
        <f t="shared" si="9"/>
        <v>France2022</v>
      </c>
      <c r="B607" t="s">
        <v>93</v>
      </c>
      <c r="C607" t="s">
        <v>94</v>
      </c>
      <c r="D607">
        <v>2022</v>
      </c>
      <c r="E607">
        <v>40988.639640657901</v>
      </c>
      <c r="F607">
        <v>2.71676264185913</v>
      </c>
      <c r="G607">
        <v>5.2223674836972496</v>
      </c>
      <c r="H607">
        <v>13</v>
      </c>
      <c r="I607">
        <v>21.377349115875599</v>
      </c>
      <c r="J607">
        <v>7.3029999999999999</v>
      </c>
      <c r="K607">
        <v>48.860322836813801</v>
      </c>
      <c r="L607">
        <v>43.432133236613801</v>
      </c>
      <c r="M607">
        <v>3.0181842077809899</v>
      </c>
      <c r="N607">
        <v>62.360762659007797</v>
      </c>
      <c r="O607">
        <v>24.023352398412499</v>
      </c>
      <c r="P607">
        <v>2.2747094636542999</v>
      </c>
      <c r="Q607">
        <v>22.4903116689235</v>
      </c>
      <c r="R607">
        <v>36.6160484268785</v>
      </c>
      <c r="S607">
        <v>-4.7374017378316502</v>
      </c>
      <c r="T607">
        <v>111.364104782334</v>
      </c>
      <c r="U607">
        <v>0.66593333976685998</v>
      </c>
      <c r="V607">
        <v>53.804560393151498</v>
      </c>
    </row>
    <row r="608" spans="1:22" x14ac:dyDescent="0.25">
      <c r="A608" t="str">
        <f t="shared" si="9"/>
        <v>France2023</v>
      </c>
      <c r="B608" t="s">
        <v>93</v>
      </c>
      <c r="C608" t="s">
        <v>94</v>
      </c>
      <c r="D608">
        <v>2023</v>
      </c>
      <c r="E608">
        <v>44700.138417754402</v>
      </c>
      <c r="F608">
        <v>1.43921494437743</v>
      </c>
      <c r="G608">
        <v>4.8783572650844</v>
      </c>
      <c r="H608">
        <v>13</v>
      </c>
      <c r="I608">
        <v>21.7491423914771</v>
      </c>
      <c r="J608">
        <v>7.335</v>
      </c>
      <c r="K608">
        <v>47.258036013269198</v>
      </c>
      <c r="L608">
        <v>41.651389162338504</v>
      </c>
      <c r="M608">
        <v>4.9902636827281297</v>
      </c>
      <c r="N608">
        <v>62.691359995263902</v>
      </c>
      <c r="O608">
        <v>22.927874931254301</v>
      </c>
      <c r="P608">
        <v>2.0593393998769001</v>
      </c>
      <c r="Q608">
        <v>21.7409677470466</v>
      </c>
      <c r="R608">
        <v>34.456256877884201</v>
      </c>
      <c r="S608">
        <v>-5.4396059649389299</v>
      </c>
      <c r="T608">
        <v>109.645767709406</v>
      </c>
      <c r="U608">
        <v>0.62037388799950999</v>
      </c>
      <c r="V608">
        <v>52.931375673465404</v>
      </c>
    </row>
    <row r="609" spans="1:22" x14ac:dyDescent="0.25">
      <c r="A609" t="str">
        <f t="shared" si="9"/>
        <v>France2024</v>
      </c>
      <c r="B609" t="s">
        <v>93</v>
      </c>
      <c r="C609" t="s">
        <v>94</v>
      </c>
      <c r="D609">
        <v>2024</v>
      </c>
      <c r="E609">
        <v>46103.084085588402</v>
      </c>
      <c r="F609">
        <v>1.19046798275883</v>
      </c>
      <c r="G609">
        <v>1.9990494229146201</v>
      </c>
      <c r="H609">
        <v>13</v>
      </c>
      <c r="I609">
        <v>22.146561898913799</v>
      </c>
      <c r="J609">
        <v>7.4</v>
      </c>
      <c r="K609">
        <v>48.5017566327301</v>
      </c>
      <c r="L609">
        <v>42.107988016986504</v>
      </c>
      <c r="M609">
        <v>2.0875996521514799</v>
      </c>
      <c r="N609">
        <v>63.003655783096001</v>
      </c>
      <c r="O609">
        <v>21.513912172126201</v>
      </c>
      <c r="P609">
        <v>2.3896790689666401</v>
      </c>
      <c r="Q609">
        <v>21.434733863109098</v>
      </c>
      <c r="R609">
        <v>33.889754234383197</v>
      </c>
      <c r="S609">
        <v>-5.7880323811082102</v>
      </c>
      <c r="T609">
        <v>113.17093943073201</v>
      </c>
      <c r="U609">
        <v>0.63861956507794504</v>
      </c>
      <c r="V609">
        <v>53.281069223479399</v>
      </c>
    </row>
    <row r="610" spans="1:22" x14ac:dyDescent="0.25">
      <c r="A610" t="str">
        <f t="shared" si="9"/>
        <v>France2025</v>
      </c>
      <c r="B610" t="s">
        <v>93</v>
      </c>
      <c r="C610" t="s">
        <v>94</v>
      </c>
      <c r="D610">
        <v>2025</v>
      </c>
      <c r="E610">
        <v>40988.639640657901</v>
      </c>
      <c r="F610">
        <v>1.43921494437743</v>
      </c>
      <c r="G610">
        <v>1.53112270420918</v>
      </c>
      <c r="H610">
        <v>13</v>
      </c>
      <c r="I610">
        <v>19.670848683006898</v>
      </c>
      <c r="J610">
        <v>7.5419999999999998</v>
      </c>
      <c r="K610">
        <v>48.5017566327301</v>
      </c>
      <c r="L610">
        <v>43.432133236613801</v>
      </c>
      <c r="M610">
        <v>1.1145933133280601</v>
      </c>
      <c r="N610">
        <v>60.261349166052298</v>
      </c>
      <c r="O610">
        <v>22.181399195917599</v>
      </c>
      <c r="P610">
        <v>2.0593393998769001</v>
      </c>
      <c r="Q610">
        <v>21.531098179044498</v>
      </c>
      <c r="R610">
        <v>31.498210070062999</v>
      </c>
      <c r="S610">
        <v>-5.1125819609129399</v>
      </c>
      <c r="T610">
        <v>115.991568488224</v>
      </c>
      <c r="U610">
        <v>0.58378502997444404</v>
      </c>
      <c r="V610">
        <v>52.230119830848999</v>
      </c>
    </row>
    <row r="611" spans="1:22" x14ac:dyDescent="0.25">
      <c r="A611" t="str">
        <f t="shared" si="9"/>
        <v>Gabon2010</v>
      </c>
      <c r="B611" t="s">
        <v>95</v>
      </c>
      <c r="C611" t="s">
        <v>96</v>
      </c>
      <c r="D611">
        <v>2010</v>
      </c>
      <c r="E611">
        <v>8356.7466201334501</v>
      </c>
      <c r="F611">
        <v>7.0898873145512598</v>
      </c>
      <c r="G611">
        <v>1.46154402720469</v>
      </c>
      <c r="H611">
        <v>10</v>
      </c>
      <c r="I611">
        <v>4.23326292140319</v>
      </c>
      <c r="J611">
        <v>20.39</v>
      </c>
      <c r="K611">
        <v>15.9735565308159</v>
      </c>
      <c r="L611">
        <v>18.530934504784401</v>
      </c>
      <c r="M611">
        <v>16.5643202141089</v>
      </c>
      <c r="N611">
        <v>71.148587327744707</v>
      </c>
      <c r="O611">
        <v>29.701113805534899</v>
      </c>
      <c r="P611">
        <v>3.0802394821044201</v>
      </c>
      <c r="Q611">
        <v>41.158572270398302</v>
      </c>
      <c r="R611">
        <v>57.663492376303701</v>
      </c>
      <c r="S611">
        <v>2.6975527378407498</v>
      </c>
      <c r="T611">
        <v>21.295213395540401</v>
      </c>
      <c r="U611">
        <v>-0.26147775148006103</v>
      </c>
      <c r="V611">
        <v>36.029956829449098</v>
      </c>
    </row>
    <row r="612" spans="1:22" x14ac:dyDescent="0.25">
      <c r="A612" t="str">
        <f t="shared" si="9"/>
        <v>Gabon2011</v>
      </c>
      <c r="B612" t="s">
        <v>95</v>
      </c>
      <c r="C612" t="s">
        <v>96</v>
      </c>
      <c r="D612">
        <v>2011</v>
      </c>
      <c r="E612">
        <v>10219.1139339454</v>
      </c>
      <c r="F612">
        <v>7.0917533425865402</v>
      </c>
      <c r="G612">
        <v>1.26331707837421</v>
      </c>
      <c r="H612">
        <v>10</v>
      </c>
      <c r="I612">
        <v>4.1781508200548299</v>
      </c>
      <c r="J612">
        <v>19.895</v>
      </c>
      <c r="K612">
        <v>15.9735565308159</v>
      </c>
      <c r="L612">
        <v>18.530934504784401</v>
      </c>
      <c r="M612">
        <v>12.681227773110001</v>
      </c>
      <c r="N612">
        <v>70.414477893269193</v>
      </c>
      <c r="O612">
        <v>26.642389560986501</v>
      </c>
      <c r="P612">
        <v>3.37727878024404</v>
      </c>
      <c r="Q612">
        <v>43.761179751215401</v>
      </c>
      <c r="R612">
        <v>61.744372127450603</v>
      </c>
      <c r="S612">
        <v>1.4098103446392001</v>
      </c>
      <c r="T612">
        <v>21.424997268711099</v>
      </c>
      <c r="U612">
        <v>-0.21500883831640599</v>
      </c>
      <c r="V612">
        <v>36.9205721318923</v>
      </c>
    </row>
    <row r="613" spans="1:22" x14ac:dyDescent="0.25">
      <c r="A613" t="str">
        <f t="shared" si="9"/>
        <v>Gabon2012</v>
      </c>
      <c r="B613" t="s">
        <v>95</v>
      </c>
      <c r="C613" t="s">
        <v>96</v>
      </c>
      <c r="D613">
        <v>2012</v>
      </c>
      <c r="E613">
        <v>9296.96587941088</v>
      </c>
      <c r="F613">
        <v>5.2510769175040704</v>
      </c>
      <c r="G613">
        <v>2.65241828695626</v>
      </c>
      <c r="H613">
        <v>10</v>
      </c>
      <c r="I613">
        <v>4.1298355965530096</v>
      </c>
      <c r="J613">
        <v>19.661000000000001</v>
      </c>
      <c r="K613">
        <v>16.279618281103598</v>
      </c>
      <c r="L613">
        <v>29.7921686297394</v>
      </c>
      <c r="M613">
        <v>-2.9419027036060998</v>
      </c>
      <c r="N613">
        <v>69.760409140962096</v>
      </c>
      <c r="O613">
        <v>26.966149964162199</v>
      </c>
      <c r="P613">
        <v>3.6499758506808799</v>
      </c>
      <c r="Q613">
        <v>43.890296980074602</v>
      </c>
      <c r="R613">
        <v>60.950341438130103</v>
      </c>
      <c r="S613">
        <v>6.2041782262034904</v>
      </c>
      <c r="T613">
        <v>21.442436249267502</v>
      </c>
      <c r="U613">
        <v>0.12890350529578301</v>
      </c>
      <c r="V613">
        <v>43.511937736709001</v>
      </c>
    </row>
    <row r="614" spans="1:22" x14ac:dyDescent="0.25">
      <c r="A614" t="str">
        <f t="shared" si="9"/>
        <v>Gabon2013</v>
      </c>
      <c r="B614" t="s">
        <v>95</v>
      </c>
      <c r="C614" t="s">
        <v>96</v>
      </c>
      <c r="D614">
        <v>2013</v>
      </c>
      <c r="E614">
        <v>9197.7010632394704</v>
      </c>
      <c r="F614">
        <v>5.63869900338696</v>
      </c>
      <c r="G614">
        <v>0.50544105891561497</v>
      </c>
      <c r="H614">
        <v>10</v>
      </c>
      <c r="I614">
        <v>4.0830429388332901</v>
      </c>
      <c r="J614">
        <v>19.736000000000001</v>
      </c>
      <c r="K614">
        <v>16.330781875643002</v>
      </c>
      <c r="L614">
        <v>29.857736705522601</v>
      </c>
      <c r="M614">
        <v>-6.1579249344449103</v>
      </c>
      <c r="N614">
        <v>69.138894733957102</v>
      </c>
      <c r="O614">
        <v>29.1805950279998</v>
      </c>
      <c r="P614">
        <v>4.7218523456594603</v>
      </c>
      <c r="Q614">
        <v>40.305912345912802</v>
      </c>
      <c r="R614">
        <v>57.357405881327097</v>
      </c>
      <c r="S614">
        <v>-3.0691106200112701</v>
      </c>
      <c r="T614">
        <v>31.112810728679399</v>
      </c>
      <c r="U614">
        <v>-0.35401406252801798</v>
      </c>
      <c r="V614">
        <v>34.2564215982568</v>
      </c>
    </row>
    <row r="615" spans="1:22" x14ac:dyDescent="0.25">
      <c r="A615" t="str">
        <f t="shared" si="9"/>
        <v>Gabon2014</v>
      </c>
      <c r="B615" t="s">
        <v>95</v>
      </c>
      <c r="C615" t="s">
        <v>96</v>
      </c>
      <c r="D615">
        <v>2014</v>
      </c>
      <c r="E615">
        <v>9201.3627664810501</v>
      </c>
      <c r="F615">
        <v>4.3149644410746903</v>
      </c>
      <c r="G615">
        <v>4.6904575182628401</v>
      </c>
      <c r="H615">
        <v>10</v>
      </c>
      <c r="I615">
        <v>4.0421057526551101</v>
      </c>
      <c r="J615">
        <v>19.873000000000001</v>
      </c>
      <c r="K615">
        <v>15.253245329197901</v>
      </c>
      <c r="L615">
        <v>25.6652848775731</v>
      </c>
      <c r="M615">
        <v>-0.85139033332146097</v>
      </c>
      <c r="N615">
        <v>68.635013774480399</v>
      </c>
      <c r="O615">
        <v>35.139048603290703</v>
      </c>
      <c r="P615">
        <v>4.3182501574651502</v>
      </c>
      <c r="Q615">
        <v>42.386617370181199</v>
      </c>
      <c r="R615">
        <v>44.520892394567497</v>
      </c>
      <c r="S615">
        <v>5.9796260976952897</v>
      </c>
      <c r="T615">
        <v>34.062797546339297</v>
      </c>
      <c r="U615">
        <v>-0.14572418370915899</v>
      </c>
      <c r="V615">
        <v>38.248470062286998</v>
      </c>
    </row>
    <row r="616" spans="1:22" x14ac:dyDescent="0.25">
      <c r="A616" t="str">
        <f t="shared" si="9"/>
        <v>Gabon2015</v>
      </c>
      <c r="B616" t="s">
        <v>95</v>
      </c>
      <c r="C616" t="s">
        <v>96</v>
      </c>
      <c r="D616">
        <v>2015</v>
      </c>
      <c r="E616">
        <v>7047.1265463435502</v>
      </c>
      <c r="F616">
        <v>3.8788993950788999</v>
      </c>
      <c r="G616">
        <v>-0.33879518875340597</v>
      </c>
      <c r="H616">
        <v>10</v>
      </c>
      <c r="I616">
        <v>4.0168751480593103</v>
      </c>
      <c r="J616">
        <v>19.943000000000001</v>
      </c>
      <c r="K616">
        <v>17.185187234898599</v>
      </c>
      <c r="L616">
        <v>20.075168137345699</v>
      </c>
      <c r="M616">
        <v>-8.9271724532795496</v>
      </c>
      <c r="N616">
        <v>68.346900412497504</v>
      </c>
      <c r="O616">
        <v>29.230956292490198</v>
      </c>
      <c r="P616">
        <v>4.2466227675839603</v>
      </c>
      <c r="Q616">
        <v>38.377996732737699</v>
      </c>
      <c r="R616">
        <v>46.032008504370502</v>
      </c>
      <c r="S616">
        <v>-1.1171942760813101</v>
      </c>
      <c r="T616">
        <v>44.703209601972397</v>
      </c>
      <c r="U616">
        <v>-0.53583753375179799</v>
      </c>
      <c r="V616">
        <v>30.771623810003401</v>
      </c>
    </row>
    <row r="617" spans="1:22" x14ac:dyDescent="0.25">
      <c r="A617" t="str">
        <f t="shared" si="9"/>
        <v>Gabon2016</v>
      </c>
      <c r="B617" t="s">
        <v>95</v>
      </c>
      <c r="C617" t="s">
        <v>96</v>
      </c>
      <c r="D617">
        <v>2016</v>
      </c>
      <c r="E617">
        <v>6677.0700390164402</v>
      </c>
      <c r="F617">
        <v>2.0914422082956201</v>
      </c>
      <c r="G617">
        <v>2.10670712784054</v>
      </c>
      <c r="H617">
        <v>10</v>
      </c>
      <c r="I617">
        <v>4.0029167178496801</v>
      </c>
      <c r="J617">
        <v>20.117000000000001</v>
      </c>
      <c r="K617">
        <v>17.085499518067401</v>
      </c>
      <c r="L617">
        <v>17.392060572169001</v>
      </c>
      <c r="M617">
        <v>-4.2697539797457198</v>
      </c>
      <c r="N617">
        <v>68.294424256507398</v>
      </c>
      <c r="O617">
        <v>26.982261043107499</v>
      </c>
      <c r="P617">
        <v>3.9482993091324201</v>
      </c>
      <c r="Q617">
        <v>41.772594820289697</v>
      </c>
      <c r="R617">
        <v>44.035347292111098</v>
      </c>
      <c r="S617">
        <v>-4.7100702040568097</v>
      </c>
      <c r="T617">
        <v>64.495144331145994</v>
      </c>
      <c r="U617">
        <v>-0.76730481519114402</v>
      </c>
      <c r="V617">
        <v>26.3353611812908</v>
      </c>
    </row>
    <row r="618" spans="1:22" x14ac:dyDescent="0.25">
      <c r="A618" t="str">
        <f t="shared" si="9"/>
        <v>Gabon2017</v>
      </c>
      <c r="B618" t="s">
        <v>95</v>
      </c>
      <c r="C618" t="s">
        <v>96</v>
      </c>
      <c r="D618">
        <v>2017</v>
      </c>
      <c r="E618">
        <v>6921.7337313562402</v>
      </c>
      <c r="F618">
        <v>0.47264203091114598</v>
      </c>
      <c r="G618">
        <v>2.6519258314390202</v>
      </c>
      <c r="H618">
        <v>10</v>
      </c>
      <c r="I618">
        <v>3.9944364597338802</v>
      </c>
      <c r="J618">
        <v>20.306999999999999</v>
      </c>
      <c r="K618">
        <v>15.667494780528299</v>
      </c>
      <c r="L618">
        <v>17.654527116117102</v>
      </c>
      <c r="M618">
        <v>3.82030214446843</v>
      </c>
      <c r="N618">
        <v>68.422811612264397</v>
      </c>
      <c r="O618">
        <v>21.298608436791302</v>
      </c>
      <c r="P618">
        <v>3.9482993091324201</v>
      </c>
      <c r="Q618">
        <v>41.772594820289697</v>
      </c>
      <c r="R618">
        <v>50.226753972592597</v>
      </c>
      <c r="S618">
        <v>-1.69924489717667</v>
      </c>
      <c r="T618">
        <v>62.926001606819099</v>
      </c>
      <c r="U618">
        <v>-0.570353572623857</v>
      </c>
      <c r="V618">
        <v>30.110095267450301</v>
      </c>
    </row>
    <row r="619" spans="1:22" x14ac:dyDescent="0.25">
      <c r="A619" t="str">
        <f t="shared" si="9"/>
        <v>Gabon2018</v>
      </c>
      <c r="B619" t="s">
        <v>95</v>
      </c>
      <c r="C619" t="s">
        <v>96</v>
      </c>
      <c r="D619">
        <v>2018</v>
      </c>
      <c r="E619">
        <v>7624.2775233770999</v>
      </c>
      <c r="F619">
        <v>0.83791658082156995</v>
      </c>
      <c r="G619">
        <v>4.7490665208322103</v>
      </c>
      <c r="H619">
        <v>10</v>
      </c>
      <c r="I619">
        <v>3.9908376623156498</v>
      </c>
      <c r="J619">
        <v>20.459</v>
      </c>
      <c r="K619">
        <v>13.6976362674135</v>
      </c>
      <c r="L619">
        <v>16.7820062631389</v>
      </c>
      <c r="M619">
        <v>7.1766574943993398</v>
      </c>
      <c r="N619">
        <v>68.629381961536396</v>
      </c>
      <c r="O619">
        <v>19.2582324284114</v>
      </c>
      <c r="P619">
        <v>3.9482993091324201</v>
      </c>
      <c r="Q619">
        <v>41.772594820289697</v>
      </c>
      <c r="R619">
        <v>54.299076491006197</v>
      </c>
      <c r="S619">
        <v>-0.211995909135855</v>
      </c>
      <c r="T619">
        <v>62.342028197361401</v>
      </c>
      <c r="U619">
        <v>-0.48574523629031802</v>
      </c>
      <c r="V619">
        <v>31.731684280895301</v>
      </c>
    </row>
    <row r="620" spans="1:22" x14ac:dyDescent="0.25">
      <c r="A620" t="str">
        <f t="shared" si="9"/>
        <v>Gabon2019</v>
      </c>
      <c r="B620" t="s">
        <v>95</v>
      </c>
      <c r="C620" t="s">
        <v>96</v>
      </c>
      <c r="D620">
        <v>2019</v>
      </c>
      <c r="E620">
        <v>7441.1786472281001</v>
      </c>
      <c r="F620">
        <v>3.9208087945283099</v>
      </c>
      <c r="G620">
        <v>2.4645675615118701</v>
      </c>
      <c r="H620">
        <v>10</v>
      </c>
      <c r="I620">
        <v>3.9926039778974798</v>
      </c>
      <c r="J620">
        <v>20.370999999999999</v>
      </c>
      <c r="K620">
        <v>13.5418676122117</v>
      </c>
      <c r="L620">
        <v>19.4073418934518</v>
      </c>
      <c r="M620">
        <v>1.5474851979842199</v>
      </c>
      <c r="N620">
        <v>68.828366842812898</v>
      </c>
      <c r="O620">
        <v>21.898796572231898</v>
      </c>
      <c r="P620">
        <v>3.9482993091324201</v>
      </c>
      <c r="Q620">
        <v>41.772594820289697</v>
      </c>
      <c r="R620">
        <v>51.431073227199597</v>
      </c>
      <c r="S620">
        <v>2.1269683400373198</v>
      </c>
      <c r="T620">
        <v>59.7779558391384</v>
      </c>
      <c r="U620">
        <v>-0.35028738835913198</v>
      </c>
      <c r="V620">
        <v>34.327846402842603</v>
      </c>
    </row>
    <row r="621" spans="1:22" x14ac:dyDescent="0.25">
      <c r="A621" t="str">
        <f t="shared" si="9"/>
        <v>Gabon2020</v>
      </c>
      <c r="B621" t="s">
        <v>95</v>
      </c>
      <c r="C621" t="s">
        <v>96</v>
      </c>
      <c r="D621">
        <v>2020</v>
      </c>
      <c r="E621">
        <v>6605.8034607756499</v>
      </c>
      <c r="F621">
        <v>-1.83776106357656</v>
      </c>
      <c r="G621">
        <v>1.3527611067533301</v>
      </c>
      <c r="H621">
        <v>10</v>
      </c>
      <c r="I621">
        <v>3.99306534788006</v>
      </c>
      <c r="J621">
        <v>21.279</v>
      </c>
      <c r="K621">
        <v>16.445371615907</v>
      </c>
      <c r="L621">
        <v>17.420145873527499</v>
      </c>
      <c r="M621">
        <v>-9.0098685616609906</v>
      </c>
      <c r="N621">
        <v>68.950582169309897</v>
      </c>
      <c r="O621">
        <v>19.8634691076218</v>
      </c>
      <c r="P621">
        <v>3.9482993091324201</v>
      </c>
      <c r="Q621">
        <v>41.772594820289697</v>
      </c>
      <c r="R621">
        <v>47.599482815972202</v>
      </c>
      <c r="S621">
        <v>-2.1899638183967198</v>
      </c>
      <c r="T621">
        <v>83.040000012506894</v>
      </c>
      <c r="U621">
        <v>-0.68934105240264298</v>
      </c>
      <c r="V621">
        <v>27.829601425966899</v>
      </c>
    </row>
    <row r="622" spans="1:22" x14ac:dyDescent="0.25">
      <c r="A622" t="str">
        <f t="shared" si="9"/>
        <v>Gabon2021</v>
      </c>
      <c r="B622" t="s">
        <v>95</v>
      </c>
      <c r="C622" t="s">
        <v>96</v>
      </c>
      <c r="D622">
        <v>2021</v>
      </c>
      <c r="E622">
        <v>8181.4091413465603</v>
      </c>
      <c r="F622">
        <v>1.4679573148748899</v>
      </c>
      <c r="G622">
        <v>1.0869074651941</v>
      </c>
      <c r="H622">
        <v>10</v>
      </c>
      <c r="I622">
        <v>3.99541890048563</v>
      </c>
      <c r="J622">
        <v>21.222999999999999</v>
      </c>
      <c r="K622">
        <v>14.0519584891303</v>
      </c>
      <c r="L622">
        <v>15.1149123543005</v>
      </c>
      <c r="M622">
        <v>20.3384091827159</v>
      </c>
      <c r="N622">
        <v>68.969358737380901</v>
      </c>
      <c r="O622">
        <v>17.4565506184958</v>
      </c>
      <c r="P622">
        <v>3.9482993091324201</v>
      </c>
      <c r="Q622">
        <v>41.772594820289697</v>
      </c>
      <c r="R622">
        <v>60.939120492552902</v>
      </c>
      <c r="S622">
        <v>-1.9265303156614799</v>
      </c>
      <c r="T622">
        <v>72.944963965694598</v>
      </c>
      <c r="U622">
        <v>-0.56467178422321096</v>
      </c>
      <c r="V622">
        <v>30.218991459557</v>
      </c>
    </row>
    <row r="623" spans="1:22" x14ac:dyDescent="0.25">
      <c r="A623" t="str">
        <f t="shared" si="9"/>
        <v>Gabon2022</v>
      </c>
      <c r="B623" t="s">
        <v>95</v>
      </c>
      <c r="C623" t="s">
        <v>96</v>
      </c>
      <c r="D623">
        <v>2022</v>
      </c>
      <c r="E623">
        <v>8409.2074145028</v>
      </c>
      <c r="F623">
        <v>3.03761449530657</v>
      </c>
      <c r="G623">
        <v>4.2312479827457903</v>
      </c>
      <c r="H623">
        <v>10</v>
      </c>
      <c r="I623">
        <v>4.0113389011690597</v>
      </c>
      <c r="J623">
        <v>20.318999999999999</v>
      </c>
      <c r="K623">
        <v>15.9735565308159</v>
      </c>
      <c r="L623">
        <v>18.530934504784401</v>
      </c>
      <c r="M623">
        <v>14.7583426831533</v>
      </c>
      <c r="N623">
        <v>68.876579431317893</v>
      </c>
      <c r="O623">
        <v>16.026940487958299</v>
      </c>
      <c r="P623">
        <v>3.9482993091324201</v>
      </c>
      <c r="Q623">
        <v>41.772594820289697</v>
      </c>
      <c r="R623">
        <v>67.578733193456799</v>
      </c>
      <c r="S623">
        <v>-0.88953319601550396</v>
      </c>
      <c r="T623">
        <v>65.588642413820494</v>
      </c>
      <c r="U623">
        <v>-0.361086530300121</v>
      </c>
      <c r="V623">
        <v>34.120871881359299</v>
      </c>
    </row>
    <row r="624" spans="1:22" x14ac:dyDescent="0.25">
      <c r="A624" t="str">
        <f t="shared" si="9"/>
        <v>Gabon2023</v>
      </c>
      <c r="B624" t="s">
        <v>95</v>
      </c>
      <c r="C624" t="s">
        <v>96</v>
      </c>
      <c r="D624">
        <v>2023</v>
      </c>
      <c r="E624">
        <v>7802.82433276138</v>
      </c>
      <c r="F624">
        <v>2.4389366506432699</v>
      </c>
      <c r="G624">
        <v>3.6290153418537598</v>
      </c>
      <c r="H624">
        <v>10</v>
      </c>
      <c r="I624">
        <v>4.0418329366865597</v>
      </c>
      <c r="J624">
        <v>20.161000000000001</v>
      </c>
      <c r="K624">
        <v>15.9735565308159</v>
      </c>
      <c r="L624">
        <v>18.530934504784401</v>
      </c>
      <c r="M624">
        <v>-9.9580491844407408</v>
      </c>
      <c r="N624">
        <v>68.645495391548707</v>
      </c>
      <c r="O624">
        <v>18.0760661101408</v>
      </c>
      <c r="P624">
        <v>3.9482993091324201</v>
      </c>
      <c r="Q624">
        <v>41.772594820289697</v>
      </c>
      <c r="R624">
        <v>63.728277780069</v>
      </c>
      <c r="S624">
        <v>1.79309938210092</v>
      </c>
      <c r="T624">
        <v>70.586452184463198</v>
      </c>
      <c r="U624">
        <v>-0.30201540946565703</v>
      </c>
      <c r="V624">
        <v>35.253018957026001</v>
      </c>
    </row>
    <row r="625" spans="1:22" x14ac:dyDescent="0.25">
      <c r="A625" t="str">
        <f t="shared" si="9"/>
        <v>Gabon2024</v>
      </c>
      <c r="B625" t="s">
        <v>95</v>
      </c>
      <c r="C625" t="s">
        <v>96</v>
      </c>
      <c r="D625">
        <v>2024</v>
      </c>
      <c r="E625">
        <v>8230.0431145115108</v>
      </c>
      <c r="F625">
        <v>3.39403899592401</v>
      </c>
      <c r="G625">
        <v>1.17311998381218</v>
      </c>
      <c r="H625">
        <v>10</v>
      </c>
      <c r="I625">
        <v>4.0825513996624201</v>
      </c>
      <c r="J625">
        <v>20.091000000000001</v>
      </c>
      <c r="K625">
        <v>15.9735565308159</v>
      </c>
      <c r="L625">
        <v>18.530934504784401</v>
      </c>
      <c r="M625">
        <v>4.1979130014647001</v>
      </c>
      <c r="N625">
        <v>68.256953570408498</v>
      </c>
      <c r="O625">
        <v>19.135229051273502</v>
      </c>
      <c r="P625">
        <v>3.9482993091324201</v>
      </c>
      <c r="Q625">
        <v>41.772594820289697</v>
      </c>
      <c r="R625">
        <v>64.578298480072107</v>
      </c>
      <c r="S625">
        <v>-3.2991318074191001</v>
      </c>
      <c r="T625">
        <v>70.879475807934</v>
      </c>
      <c r="U625">
        <v>-0.51230792608234699</v>
      </c>
      <c r="V625">
        <v>31.2225882768739</v>
      </c>
    </row>
    <row r="626" spans="1:22" x14ac:dyDescent="0.25">
      <c r="A626" t="str">
        <f t="shared" si="9"/>
        <v>Gabon2025</v>
      </c>
      <c r="B626" t="s">
        <v>95</v>
      </c>
      <c r="C626" t="s">
        <v>96</v>
      </c>
      <c r="D626">
        <v>2025</v>
      </c>
      <c r="E626">
        <v>8181.4091413465603</v>
      </c>
      <c r="F626">
        <v>3.39403899592401</v>
      </c>
      <c r="G626">
        <v>2.10670712784054</v>
      </c>
      <c r="H626">
        <v>10</v>
      </c>
      <c r="I626">
        <v>4.0168751480593103</v>
      </c>
      <c r="J626">
        <v>20.154</v>
      </c>
      <c r="K626">
        <v>15.9735565308159</v>
      </c>
      <c r="L626">
        <v>18.530934504784401</v>
      </c>
      <c r="M626">
        <v>1.5474851979842199</v>
      </c>
      <c r="N626">
        <v>68.828366842812898</v>
      </c>
      <c r="O626">
        <v>21.898796572231898</v>
      </c>
      <c r="P626">
        <v>3.9482993091324201</v>
      </c>
      <c r="Q626">
        <v>41.772594820289697</v>
      </c>
      <c r="R626">
        <v>57.357405881327097</v>
      </c>
      <c r="S626">
        <v>-8.4723295790596094</v>
      </c>
      <c r="T626">
        <v>78.911786569919897</v>
      </c>
      <c r="U626">
        <v>-0.829094359638476</v>
      </c>
      <c r="V626">
        <v>25.151113260062701</v>
      </c>
    </row>
    <row r="627" spans="1:22" x14ac:dyDescent="0.25">
      <c r="A627" t="str">
        <f t="shared" si="9"/>
        <v>Georgia2010</v>
      </c>
      <c r="B627" t="s">
        <v>97</v>
      </c>
      <c r="C627" t="s">
        <v>98</v>
      </c>
      <c r="D627">
        <v>2010</v>
      </c>
      <c r="E627">
        <v>3281.7293093734302</v>
      </c>
      <c r="F627">
        <v>6.2464086530336296</v>
      </c>
      <c r="G627">
        <v>7.1101789748609896</v>
      </c>
      <c r="H627">
        <v>9</v>
      </c>
      <c r="I627">
        <v>13.752910252752599</v>
      </c>
      <c r="J627">
        <v>20.202999999999999</v>
      </c>
      <c r="K627">
        <v>25.0571131879543</v>
      </c>
      <c r="L627">
        <v>22.725630953993399</v>
      </c>
      <c r="M627">
        <v>15.9058283591544</v>
      </c>
      <c r="N627">
        <v>47.7221569874268</v>
      </c>
      <c r="O627">
        <v>20.929149397263998</v>
      </c>
      <c r="P627">
        <v>3.9439090059032802</v>
      </c>
      <c r="Q627">
        <v>11.2852320224761</v>
      </c>
      <c r="R627">
        <v>32.4674667027857</v>
      </c>
      <c r="S627">
        <v>-4.4765706046837801</v>
      </c>
      <c r="T627">
        <v>31.448348705300301</v>
      </c>
      <c r="U627">
        <v>-0.43289670741659297</v>
      </c>
      <c r="V627">
        <v>32.744570215214203</v>
      </c>
    </row>
    <row r="628" spans="1:22" x14ac:dyDescent="0.25">
      <c r="A628" t="str">
        <f t="shared" si="9"/>
        <v>Georgia2011</v>
      </c>
      <c r="B628" t="s">
        <v>97</v>
      </c>
      <c r="C628" t="s">
        <v>98</v>
      </c>
      <c r="D628">
        <v>2011</v>
      </c>
      <c r="E628">
        <v>4119.6681830719299</v>
      </c>
      <c r="F628">
        <v>7.9343365253078</v>
      </c>
      <c r="G628">
        <v>8.5429333333333002</v>
      </c>
      <c r="H628">
        <v>9</v>
      </c>
      <c r="I628">
        <v>13.6138556278504</v>
      </c>
      <c r="J628">
        <v>19.632000000000001</v>
      </c>
      <c r="K628">
        <v>23.139967048545898</v>
      </c>
      <c r="L628">
        <v>23.901682056783802</v>
      </c>
      <c r="M628">
        <v>9.1717112829739609</v>
      </c>
      <c r="N628">
        <v>47.623755995038898</v>
      </c>
      <c r="O628">
        <v>23.120749070845601</v>
      </c>
      <c r="P628">
        <v>3.6872560701917001</v>
      </c>
      <c r="Q628">
        <v>11.2135220416971</v>
      </c>
      <c r="R628">
        <v>33.863442277481901</v>
      </c>
      <c r="S628">
        <v>-0.80775880648482901</v>
      </c>
      <c r="T628">
        <v>27.686797097631601</v>
      </c>
      <c r="U628">
        <v>-0.24616941854699001</v>
      </c>
      <c r="V628">
        <v>36.323353740133697</v>
      </c>
    </row>
    <row r="629" spans="1:22" x14ac:dyDescent="0.25">
      <c r="A629" t="str">
        <f t="shared" si="9"/>
        <v>Georgia2012</v>
      </c>
      <c r="B629" t="s">
        <v>97</v>
      </c>
      <c r="C629" t="s">
        <v>98</v>
      </c>
      <c r="D629">
        <v>2012</v>
      </c>
      <c r="E629">
        <v>4530.6953340943101</v>
      </c>
      <c r="F629">
        <v>6.5788310195419504</v>
      </c>
      <c r="G629">
        <v>-0.94365885327096399</v>
      </c>
      <c r="H629">
        <v>9</v>
      </c>
      <c r="I629">
        <v>13.662023521518</v>
      </c>
      <c r="J629">
        <v>19.652999999999999</v>
      </c>
      <c r="K629">
        <v>24.2728608810983</v>
      </c>
      <c r="L629">
        <v>24.6087392909632</v>
      </c>
      <c r="M629">
        <v>0.29116647142262803</v>
      </c>
      <c r="N629">
        <v>47.857520684489501</v>
      </c>
      <c r="O629">
        <v>26.027622324981198</v>
      </c>
      <c r="P629">
        <v>3.3184801431009801</v>
      </c>
      <c r="Q629">
        <v>14.884187552402199</v>
      </c>
      <c r="R629">
        <v>35.6395798831416</v>
      </c>
      <c r="S629">
        <v>-0.70967572921750499</v>
      </c>
      <c r="T629">
        <v>28.123496358281201</v>
      </c>
      <c r="U629">
        <v>-0.23051800428250499</v>
      </c>
      <c r="V629">
        <v>36.623326089384399</v>
      </c>
    </row>
    <row r="630" spans="1:22" x14ac:dyDescent="0.25">
      <c r="A630" t="str">
        <f t="shared" si="9"/>
        <v>Georgia2013</v>
      </c>
      <c r="B630" t="s">
        <v>97</v>
      </c>
      <c r="C630" t="s">
        <v>98</v>
      </c>
      <c r="D630">
        <v>2013</v>
      </c>
      <c r="E630">
        <v>4712.0022938266502</v>
      </c>
      <c r="F630">
        <v>5.13288531209382</v>
      </c>
      <c r="G630">
        <v>-0.51205841094709204</v>
      </c>
      <c r="H630">
        <v>9</v>
      </c>
      <c r="I630">
        <v>13.853864076395499</v>
      </c>
      <c r="J630">
        <v>19.416</v>
      </c>
      <c r="K630">
        <v>24.601894433386001</v>
      </c>
      <c r="L630">
        <v>25.462626123961801</v>
      </c>
      <c r="M630">
        <v>-0.65096501645530203</v>
      </c>
      <c r="N630">
        <v>48.397558846387703</v>
      </c>
      <c r="O630">
        <v>21.700086485002402</v>
      </c>
      <c r="P630">
        <v>3.2264786427028498</v>
      </c>
      <c r="Q630">
        <v>16.247688037403599</v>
      </c>
      <c r="R630">
        <v>40.941494268652598</v>
      </c>
      <c r="S630">
        <v>-1.2482036056553001</v>
      </c>
      <c r="T630">
        <v>28.941547156372199</v>
      </c>
      <c r="U630">
        <v>-0.173526809356113</v>
      </c>
      <c r="V630">
        <v>37.715609658126702</v>
      </c>
    </row>
    <row r="631" spans="1:22" x14ac:dyDescent="0.25">
      <c r="A631" t="str">
        <f t="shared" si="9"/>
        <v>Georgia2014</v>
      </c>
      <c r="B631" t="s">
        <v>97</v>
      </c>
      <c r="C631" t="s">
        <v>98</v>
      </c>
      <c r="D631">
        <v>2014</v>
      </c>
      <c r="E631">
        <v>4830.3348617024903</v>
      </c>
      <c r="F631">
        <v>4.09049059581743</v>
      </c>
      <c r="G631">
        <v>3.0688121037954299</v>
      </c>
      <c r="H631">
        <v>9</v>
      </c>
      <c r="I631">
        <v>14.0293265167653</v>
      </c>
      <c r="J631">
        <v>17.439</v>
      </c>
      <c r="K631">
        <v>26.237311644915199</v>
      </c>
      <c r="L631">
        <v>25.4539436353319</v>
      </c>
      <c r="M631">
        <v>4.5899044837015603</v>
      </c>
      <c r="N631">
        <v>49.325960072298003</v>
      </c>
      <c r="O631">
        <v>25.650357165374199</v>
      </c>
      <c r="P631">
        <v>2.8726378045538801</v>
      </c>
      <c r="Q631">
        <v>15.725043092066</v>
      </c>
      <c r="R631">
        <v>39.181885757518401</v>
      </c>
      <c r="S631">
        <v>-1.7787334055662001</v>
      </c>
      <c r="T631">
        <v>30.334881040995601</v>
      </c>
      <c r="U631">
        <v>-0.219115744132898</v>
      </c>
      <c r="V631">
        <v>36.841859872085898</v>
      </c>
    </row>
    <row r="632" spans="1:22" x14ac:dyDescent="0.25">
      <c r="A632" t="str">
        <f t="shared" si="9"/>
        <v>Georgia2015</v>
      </c>
      <c r="B632" t="s">
        <v>97</v>
      </c>
      <c r="C632" t="s">
        <v>98</v>
      </c>
      <c r="D632">
        <v>2015</v>
      </c>
      <c r="E632">
        <v>4086.6223465964999</v>
      </c>
      <c r="F632">
        <v>3.35102350265353</v>
      </c>
      <c r="G632">
        <v>4.0035782069509702</v>
      </c>
      <c r="H632">
        <v>9</v>
      </c>
      <c r="I632">
        <v>14.141942426262499</v>
      </c>
      <c r="J632">
        <v>16.506</v>
      </c>
      <c r="K632">
        <v>27.6875651267801</v>
      </c>
      <c r="L632">
        <v>27.1506310061364</v>
      </c>
      <c r="M632">
        <v>5.3774216765189804</v>
      </c>
      <c r="N632">
        <v>50.520824073789697</v>
      </c>
      <c r="O632">
        <v>26.877159314576801</v>
      </c>
      <c r="P632">
        <v>3.0742851187642</v>
      </c>
      <c r="Q632">
        <v>15.232876280504501</v>
      </c>
      <c r="R632">
        <v>40.1372493342596</v>
      </c>
      <c r="S632">
        <v>-1.1631790389855099</v>
      </c>
      <c r="T632">
        <v>36.015180778647498</v>
      </c>
      <c r="U632">
        <v>-0.185923434438903</v>
      </c>
      <c r="V632">
        <v>37.478018045891197</v>
      </c>
    </row>
    <row r="633" spans="1:22" x14ac:dyDescent="0.25">
      <c r="A633" t="str">
        <f t="shared" si="9"/>
        <v>Georgia2016</v>
      </c>
      <c r="B633" t="s">
        <v>97</v>
      </c>
      <c r="C633" t="s">
        <v>98</v>
      </c>
      <c r="D633">
        <v>2016</v>
      </c>
      <c r="E633">
        <v>4143.4012568631497</v>
      </c>
      <c r="F633">
        <v>3.4502151799687102</v>
      </c>
      <c r="G633">
        <v>2.1349271393912099</v>
      </c>
      <c r="H633">
        <v>9</v>
      </c>
      <c r="I633">
        <v>14.260663803313101</v>
      </c>
      <c r="J633">
        <v>16.603999999999999</v>
      </c>
      <c r="K633">
        <v>28.674800973928299</v>
      </c>
      <c r="L633">
        <v>27.8302738489317</v>
      </c>
      <c r="M633">
        <v>2.2748184298969698</v>
      </c>
      <c r="N633">
        <v>51.751542245496402</v>
      </c>
      <c r="O633">
        <v>28.903106995321899</v>
      </c>
      <c r="P633">
        <v>3.2737958237821601</v>
      </c>
      <c r="Q633">
        <v>16.7039131633795</v>
      </c>
      <c r="R633">
        <v>39.9992925341285</v>
      </c>
      <c r="S633">
        <v>-1.48976255676745</v>
      </c>
      <c r="T633">
        <v>39.465403079782298</v>
      </c>
      <c r="U633">
        <v>-0.20799941229669</v>
      </c>
      <c r="V633">
        <v>37.054913601263799</v>
      </c>
    </row>
    <row r="634" spans="1:22" x14ac:dyDescent="0.25">
      <c r="A634" t="str">
        <f t="shared" si="9"/>
        <v>Georgia2017</v>
      </c>
      <c r="B634" t="s">
        <v>97</v>
      </c>
      <c r="C634" t="s">
        <v>98</v>
      </c>
      <c r="D634">
        <v>2017</v>
      </c>
      <c r="E634">
        <v>4418.7520654667896</v>
      </c>
      <c r="F634">
        <v>5.15990261658827</v>
      </c>
      <c r="G634">
        <v>6.0353172527211703</v>
      </c>
      <c r="H634">
        <v>9</v>
      </c>
      <c r="I634">
        <v>14.374380908966</v>
      </c>
      <c r="J634">
        <v>13.939</v>
      </c>
      <c r="K634">
        <v>26.862119013062401</v>
      </c>
      <c r="L634">
        <v>28.0307208514756</v>
      </c>
      <c r="M634">
        <v>7.5467449983811399</v>
      </c>
      <c r="N634">
        <v>52.905572681768</v>
      </c>
      <c r="O634">
        <v>25.124817610062902</v>
      </c>
      <c r="P634">
        <v>3.2348149827727499</v>
      </c>
      <c r="Q634">
        <v>17.219530419829599</v>
      </c>
      <c r="R634">
        <v>45.876552491533602</v>
      </c>
      <c r="S634">
        <v>-0.45160631892288999</v>
      </c>
      <c r="T634">
        <v>38.894321541607603</v>
      </c>
      <c r="U634">
        <v>-3.5395072389622501E-2</v>
      </c>
      <c r="V634">
        <v>40.363019083480701</v>
      </c>
    </row>
    <row r="635" spans="1:22" x14ac:dyDescent="0.25">
      <c r="A635" t="str">
        <f t="shared" si="9"/>
        <v>Georgia2018</v>
      </c>
      <c r="B635" t="s">
        <v>97</v>
      </c>
      <c r="C635" t="s">
        <v>98</v>
      </c>
      <c r="D635">
        <v>2018</v>
      </c>
      <c r="E635">
        <v>4804.0546040443996</v>
      </c>
      <c r="F635">
        <v>6.0620364126770001</v>
      </c>
      <c r="G635">
        <v>2.6152447139767001</v>
      </c>
      <c r="H635">
        <v>9</v>
      </c>
      <c r="I635">
        <v>14.5183098161021</v>
      </c>
      <c r="J635">
        <v>12.667</v>
      </c>
      <c r="K635">
        <v>23.7175474941597</v>
      </c>
      <c r="L635">
        <v>25.4057389694539</v>
      </c>
      <c r="M635">
        <v>3.48481628679124</v>
      </c>
      <c r="N635">
        <v>53.998091630655701</v>
      </c>
      <c r="O635">
        <v>27.926295896328298</v>
      </c>
      <c r="P635">
        <v>3.0997543291774199</v>
      </c>
      <c r="Q635">
        <v>21.320568111960199</v>
      </c>
      <c r="R635">
        <v>49.695541058756099</v>
      </c>
      <c r="S635">
        <v>-0.80256044235380697</v>
      </c>
      <c r="T635">
        <v>38.221324507445303</v>
      </c>
      <c r="U635">
        <v>-5.29245409595447E-2</v>
      </c>
      <c r="V635">
        <v>40.027052264177499</v>
      </c>
    </row>
    <row r="636" spans="1:22" x14ac:dyDescent="0.25">
      <c r="A636" t="str">
        <f t="shared" si="9"/>
        <v>Georgia2019</v>
      </c>
      <c r="B636" t="s">
        <v>97</v>
      </c>
      <c r="C636" t="s">
        <v>98</v>
      </c>
      <c r="D636">
        <v>2019</v>
      </c>
      <c r="E636">
        <v>4741.2832715876002</v>
      </c>
      <c r="F636">
        <v>5.3807192658995104</v>
      </c>
      <c r="G636">
        <v>4.8528982169672297</v>
      </c>
      <c r="H636">
        <v>9</v>
      </c>
      <c r="I636">
        <v>14.7044720808539</v>
      </c>
      <c r="J636">
        <v>11.565</v>
      </c>
      <c r="K636">
        <v>24.363512046012101</v>
      </c>
      <c r="L636">
        <v>26.1000281542855</v>
      </c>
      <c r="M636">
        <v>3.9956803455723402</v>
      </c>
      <c r="N636">
        <v>55.057101891448099</v>
      </c>
      <c r="O636">
        <v>27.168228492136901</v>
      </c>
      <c r="P636">
        <v>3.1507982624461501</v>
      </c>
      <c r="Q636">
        <v>21.253631312867199</v>
      </c>
      <c r="R636">
        <v>54.304308410087302</v>
      </c>
      <c r="S636">
        <v>-1.8248723354634699</v>
      </c>
      <c r="T636">
        <v>40.048778506730898</v>
      </c>
      <c r="U636">
        <v>-5.1186868042429001E-2</v>
      </c>
      <c r="V636">
        <v>40.060356208368603</v>
      </c>
    </row>
    <row r="637" spans="1:22" x14ac:dyDescent="0.25">
      <c r="A637" t="str">
        <f t="shared" si="9"/>
        <v>Georgia2020</v>
      </c>
      <c r="B637" t="s">
        <v>97</v>
      </c>
      <c r="C637" t="s">
        <v>98</v>
      </c>
      <c r="D637">
        <v>2020</v>
      </c>
      <c r="E637">
        <v>4300.8570129120699</v>
      </c>
      <c r="F637">
        <v>-6.2904717853839003</v>
      </c>
      <c r="G637">
        <v>5.2024648897533998</v>
      </c>
      <c r="H637">
        <v>9</v>
      </c>
      <c r="I637">
        <v>14.8874851870996</v>
      </c>
      <c r="J637">
        <v>11.734</v>
      </c>
      <c r="K637">
        <v>29.0090180561971</v>
      </c>
      <c r="L637">
        <v>24.601618831468802</v>
      </c>
      <c r="M637">
        <v>6.8479333876990403</v>
      </c>
      <c r="N637">
        <v>55.976627279179702</v>
      </c>
      <c r="O637">
        <v>24.605686597441199</v>
      </c>
      <c r="P637">
        <v>4.3933057378474896</v>
      </c>
      <c r="Q637">
        <v>12.0932558215424</v>
      </c>
      <c r="R637">
        <v>36.900324167988899</v>
      </c>
      <c r="S637">
        <v>-9.1575845300378091</v>
      </c>
      <c r="T637">
        <v>59.559057215458701</v>
      </c>
      <c r="U637">
        <v>-0.65594791313616796</v>
      </c>
      <c r="V637">
        <v>28.469608665271199</v>
      </c>
    </row>
    <row r="638" spans="1:22" x14ac:dyDescent="0.25">
      <c r="A638" t="str">
        <f t="shared" si="9"/>
        <v>Georgia2021</v>
      </c>
      <c r="B638" t="s">
        <v>97</v>
      </c>
      <c r="C638" t="s">
        <v>98</v>
      </c>
      <c r="D638">
        <v>2021</v>
      </c>
      <c r="E638">
        <v>5083.6069548457699</v>
      </c>
      <c r="F638">
        <v>10.644233658096899</v>
      </c>
      <c r="G638">
        <v>9.56691433824769</v>
      </c>
      <c r="H638">
        <v>9</v>
      </c>
      <c r="I638">
        <v>14.988843725311501</v>
      </c>
      <c r="J638">
        <v>11.785</v>
      </c>
      <c r="K638">
        <v>27.204400237138501</v>
      </c>
      <c r="L638">
        <v>24.855082010407699</v>
      </c>
      <c r="M638">
        <v>10.229587650373</v>
      </c>
      <c r="N638">
        <v>56.647004534328502</v>
      </c>
      <c r="O638">
        <v>20.6788502074962</v>
      </c>
      <c r="P638">
        <v>3.8300439360770202</v>
      </c>
      <c r="Q638">
        <v>10.415709632173201</v>
      </c>
      <c r="R638">
        <v>42.674361208089103</v>
      </c>
      <c r="S638">
        <v>-5.9721572465579502</v>
      </c>
      <c r="T638">
        <v>49.093964984407101</v>
      </c>
      <c r="U638">
        <v>-0.27534914956935003</v>
      </c>
      <c r="V638">
        <v>35.764099968086903</v>
      </c>
    </row>
    <row r="639" spans="1:22" x14ac:dyDescent="0.25">
      <c r="A639" t="str">
        <f t="shared" si="9"/>
        <v>Georgia2022</v>
      </c>
      <c r="B639" t="s">
        <v>97</v>
      </c>
      <c r="C639" t="s">
        <v>98</v>
      </c>
      <c r="D639">
        <v>2022</v>
      </c>
      <c r="E639">
        <v>6729.8465993028303</v>
      </c>
      <c r="F639">
        <v>10.958532138562401</v>
      </c>
      <c r="G639">
        <v>11.898165420319801</v>
      </c>
      <c r="H639">
        <v>9</v>
      </c>
      <c r="I639">
        <v>15.086921296037</v>
      </c>
      <c r="J639">
        <v>11.621</v>
      </c>
      <c r="K639">
        <v>24.936453472412801</v>
      </c>
      <c r="L639">
        <v>26.489157287949499</v>
      </c>
      <c r="M639">
        <v>8.1354501438480593</v>
      </c>
      <c r="N639">
        <v>56.9467002951653</v>
      </c>
      <c r="O639">
        <v>24.066662777930301</v>
      </c>
      <c r="P639">
        <v>3.20894744341367</v>
      </c>
      <c r="Q639">
        <v>19.594181105283202</v>
      </c>
      <c r="R639">
        <v>52.478879220422698</v>
      </c>
      <c r="S639">
        <v>-2.1982707833245101</v>
      </c>
      <c r="T639">
        <v>39.168585744112697</v>
      </c>
      <c r="U639">
        <v>1.8661346389175899E-2</v>
      </c>
      <c r="V639">
        <v>41.399055230702899</v>
      </c>
    </row>
    <row r="640" spans="1:22" x14ac:dyDescent="0.25">
      <c r="A640" t="str">
        <f t="shared" si="9"/>
        <v>Georgia2023</v>
      </c>
      <c r="B640" t="s">
        <v>97</v>
      </c>
      <c r="C640" t="s">
        <v>98</v>
      </c>
      <c r="D640">
        <v>2023</v>
      </c>
      <c r="E640">
        <v>8283.6696065226097</v>
      </c>
      <c r="F640">
        <v>7.8322012655572602</v>
      </c>
      <c r="G640">
        <v>2.4877605657871502</v>
      </c>
      <c r="H640">
        <v>9</v>
      </c>
      <c r="I640">
        <v>15.317458316392999</v>
      </c>
      <c r="J640">
        <v>11.548999999999999</v>
      </c>
      <c r="K640">
        <v>25.241719707501002</v>
      </c>
      <c r="L640">
        <v>27.9670222981518</v>
      </c>
      <c r="M640">
        <v>2.9480995390766398</v>
      </c>
      <c r="N640">
        <v>57.129626262053797</v>
      </c>
      <c r="O640">
        <v>24.998794520637599</v>
      </c>
      <c r="P640">
        <v>2.7162394856445302</v>
      </c>
      <c r="Q640">
        <v>19.433077974272301</v>
      </c>
      <c r="R640">
        <v>49.267059831365799</v>
      </c>
      <c r="S640">
        <v>-2.32857583837208</v>
      </c>
      <c r="T640">
        <v>38.923255182925203</v>
      </c>
      <c r="U640">
        <v>-5.3456543931383596E-3</v>
      </c>
      <c r="V640">
        <v>40.938941128460101</v>
      </c>
    </row>
    <row r="641" spans="1:22" x14ac:dyDescent="0.25">
      <c r="A641" t="str">
        <f t="shared" si="9"/>
        <v>Georgia2024</v>
      </c>
      <c r="B641" t="s">
        <v>97</v>
      </c>
      <c r="C641" t="s">
        <v>98</v>
      </c>
      <c r="D641">
        <v>2024</v>
      </c>
      <c r="E641">
        <v>9241.4912231371309</v>
      </c>
      <c r="F641">
        <v>9.6797938750069097</v>
      </c>
      <c r="G641">
        <v>1.10971758022096</v>
      </c>
      <c r="H641">
        <v>9</v>
      </c>
      <c r="I641">
        <v>15.6376865642243</v>
      </c>
      <c r="J641">
        <v>11.557</v>
      </c>
      <c r="K641">
        <v>25.149416447727599</v>
      </c>
      <c r="L641">
        <v>28.708070093283599</v>
      </c>
      <c r="M641">
        <v>4.8586738575796602</v>
      </c>
      <c r="N641">
        <v>57.322852392231603</v>
      </c>
      <c r="O641">
        <v>24.4998956373299</v>
      </c>
      <c r="P641">
        <v>2.2913395787454198</v>
      </c>
      <c r="Q641">
        <v>19.1789469515337</v>
      </c>
      <c r="R641">
        <v>47.815066112387399</v>
      </c>
      <c r="S641">
        <v>-2.26718032889434</v>
      </c>
      <c r="T641">
        <v>35.656380124146501</v>
      </c>
      <c r="U641">
        <v>4.0979320901428598E-2</v>
      </c>
      <c r="V641">
        <v>41.826797742135199</v>
      </c>
    </row>
    <row r="642" spans="1:22" x14ac:dyDescent="0.25">
      <c r="A642" t="str">
        <f t="shared" si="9"/>
        <v>Georgia2025</v>
      </c>
      <c r="B642" t="s">
        <v>97</v>
      </c>
      <c r="C642" t="s">
        <v>98</v>
      </c>
      <c r="D642">
        <v>2025</v>
      </c>
      <c r="E642">
        <v>4712.0022938266502</v>
      </c>
      <c r="F642">
        <v>6.0620364126770001</v>
      </c>
      <c r="G642">
        <v>4.0035782069509702</v>
      </c>
      <c r="H642">
        <v>9</v>
      </c>
      <c r="I642">
        <v>14.374380908966</v>
      </c>
      <c r="J642">
        <v>12.097</v>
      </c>
      <c r="K642">
        <v>25.149416447727599</v>
      </c>
      <c r="L642">
        <v>25.462626123961801</v>
      </c>
      <c r="M642">
        <v>4.8586738575796602</v>
      </c>
      <c r="N642">
        <v>52.905572681768</v>
      </c>
      <c r="O642">
        <v>24.998794520637599</v>
      </c>
      <c r="P642">
        <v>3.2264786427028498</v>
      </c>
      <c r="Q642">
        <v>16.247688037403599</v>
      </c>
      <c r="R642">
        <v>40.941494268652598</v>
      </c>
      <c r="S642">
        <v>-1.4554664119933201</v>
      </c>
      <c r="T642">
        <v>34.2825958130354</v>
      </c>
      <c r="U642">
        <v>-9.3329785989596306E-2</v>
      </c>
      <c r="V642">
        <v>39.252652195985704</v>
      </c>
    </row>
    <row r="643" spans="1:22" x14ac:dyDescent="0.25">
      <c r="A643" t="str">
        <f t="shared" si="9"/>
        <v>Germany2010</v>
      </c>
      <c r="B643" t="s">
        <v>99</v>
      </c>
      <c r="C643" t="s">
        <v>100</v>
      </c>
      <c r="D643">
        <v>2010</v>
      </c>
      <c r="E643">
        <v>42396.966597629304</v>
      </c>
      <c r="F643">
        <v>4.1346377852275804</v>
      </c>
      <c r="G643">
        <v>1.1038103778926001</v>
      </c>
      <c r="H643">
        <v>13</v>
      </c>
      <c r="I643">
        <v>20.5654453486144</v>
      </c>
      <c r="J643">
        <v>7.0430000000000001</v>
      </c>
      <c r="K643">
        <v>30.756712525714502</v>
      </c>
      <c r="L643">
        <v>28.017826143480999</v>
      </c>
      <c r="M643">
        <v>0.69976002517653102</v>
      </c>
      <c r="N643">
        <v>52.117530215008998</v>
      </c>
      <c r="O643">
        <v>19.531060009329899</v>
      </c>
      <c r="P643">
        <v>1.86141152631238</v>
      </c>
      <c r="Q643">
        <v>25.2468823707204</v>
      </c>
      <c r="R643">
        <v>39.495346542982297</v>
      </c>
      <c r="S643">
        <v>-4.4209753523550201</v>
      </c>
      <c r="T643">
        <v>81.033702194045702</v>
      </c>
      <c r="U643">
        <v>0.59758436661213699</v>
      </c>
      <c r="V643">
        <v>52.494595574660998</v>
      </c>
    </row>
    <row r="644" spans="1:22" x14ac:dyDescent="0.25">
      <c r="A644" t="str">
        <f t="shared" ref="A644:A707" si="10">C644&amp;D644</f>
        <v>Germany2011</v>
      </c>
      <c r="B644" t="s">
        <v>99</v>
      </c>
      <c r="C644" t="s">
        <v>100</v>
      </c>
      <c r="D644">
        <v>2011</v>
      </c>
      <c r="E644">
        <v>47630.976188357199</v>
      </c>
      <c r="F644">
        <v>3.7579688448933699</v>
      </c>
      <c r="G644">
        <v>2.0751728373587399</v>
      </c>
      <c r="H644">
        <v>13</v>
      </c>
      <c r="I644">
        <v>20.521498132151599</v>
      </c>
      <c r="J644">
        <v>5.9669999999999996</v>
      </c>
      <c r="K644">
        <v>28.3141784769068</v>
      </c>
      <c r="L644">
        <v>28.490886122952698</v>
      </c>
      <c r="M644">
        <v>1.22973443987648</v>
      </c>
      <c r="N644">
        <v>51.746235175580601</v>
      </c>
      <c r="O644">
        <v>21.2669872693317</v>
      </c>
      <c r="P644">
        <v>1.7323689537128899</v>
      </c>
      <c r="Q644">
        <v>27.549909828746198</v>
      </c>
      <c r="R644">
        <v>41.643628659111499</v>
      </c>
      <c r="S644">
        <v>-0.83999839820015898</v>
      </c>
      <c r="T644">
        <v>78.483678023670194</v>
      </c>
      <c r="U644">
        <v>0.82389490907724094</v>
      </c>
      <c r="V644">
        <v>56.832025019455799</v>
      </c>
    </row>
    <row r="645" spans="1:22" x14ac:dyDescent="0.25">
      <c r="A645" t="str">
        <f t="shared" si="10"/>
        <v>Germany2012</v>
      </c>
      <c r="B645" t="s">
        <v>99</v>
      </c>
      <c r="C645" t="s">
        <v>100</v>
      </c>
      <c r="D645">
        <v>2012</v>
      </c>
      <c r="E645">
        <v>44718.015921406899</v>
      </c>
      <c r="F645">
        <v>0.46351203670920399</v>
      </c>
      <c r="G645">
        <v>2.0084888478295602</v>
      </c>
      <c r="H645">
        <v>13</v>
      </c>
      <c r="I645">
        <v>20.637649426539902</v>
      </c>
      <c r="J645">
        <v>5.3719999999999999</v>
      </c>
      <c r="K645">
        <v>27.944507158983701</v>
      </c>
      <c r="L645">
        <v>28.746177588522801</v>
      </c>
      <c r="M645">
        <v>1.4363362276585601</v>
      </c>
      <c r="N645">
        <v>51.580506273521699</v>
      </c>
      <c r="O645">
        <v>19.472471492669499</v>
      </c>
      <c r="P645">
        <v>1.9920387970929101</v>
      </c>
      <c r="Q645">
        <v>26.6562055834459</v>
      </c>
      <c r="R645">
        <v>42.685583435740597</v>
      </c>
      <c r="S645">
        <v>-5.4335400531565201E-2</v>
      </c>
      <c r="T645">
        <v>79.834921837043794</v>
      </c>
      <c r="U645">
        <v>0.83221751501043295</v>
      </c>
      <c r="V645">
        <v>56.991534672160697</v>
      </c>
    </row>
    <row r="646" spans="1:22" x14ac:dyDescent="0.25">
      <c r="A646" t="str">
        <f t="shared" si="10"/>
        <v>Germany2013</v>
      </c>
      <c r="B646" t="s">
        <v>99</v>
      </c>
      <c r="C646" t="s">
        <v>100</v>
      </c>
      <c r="D646">
        <v>2013</v>
      </c>
      <c r="E646">
        <v>47206.835351424197</v>
      </c>
      <c r="F646">
        <v>0.39699558377914501</v>
      </c>
      <c r="G646">
        <v>1.5047233025187601</v>
      </c>
      <c r="H646">
        <v>13</v>
      </c>
      <c r="I646">
        <v>20.812976113996498</v>
      </c>
      <c r="J646">
        <v>5.3159999999999998</v>
      </c>
      <c r="K646">
        <v>27.996985850241401</v>
      </c>
      <c r="L646">
        <v>28.926488236443301</v>
      </c>
      <c r="M646">
        <v>1.9956988813880401</v>
      </c>
      <c r="N646">
        <v>51.619749062317503</v>
      </c>
      <c r="O646">
        <v>19.788381569032399</v>
      </c>
      <c r="P646">
        <v>1.54979764395872</v>
      </c>
      <c r="Q646">
        <v>26.512083181471802</v>
      </c>
      <c r="R646">
        <v>41.680283832435599</v>
      </c>
      <c r="S646">
        <v>0.122519605927827</v>
      </c>
      <c r="T646">
        <v>77.456706483212798</v>
      </c>
      <c r="U646">
        <v>0.86061357498082403</v>
      </c>
      <c r="V646">
        <v>57.535768737839398</v>
      </c>
    </row>
    <row r="647" spans="1:22" x14ac:dyDescent="0.25">
      <c r="A647" t="str">
        <f t="shared" si="10"/>
        <v>Germany2014</v>
      </c>
      <c r="B647" t="s">
        <v>99</v>
      </c>
      <c r="C647" t="s">
        <v>100</v>
      </c>
      <c r="D647">
        <v>2014</v>
      </c>
      <c r="E647">
        <v>48959.599120313302</v>
      </c>
      <c r="F647">
        <v>2.1801860216801701</v>
      </c>
      <c r="G647">
        <v>0.90679400043424496</v>
      </c>
      <c r="H647">
        <v>13</v>
      </c>
      <c r="I647">
        <v>20.9586686898656</v>
      </c>
      <c r="J647">
        <v>4.9790000000000001</v>
      </c>
      <c r="K647">
        <v>27.5160413741803</v>
      </c>
      <c r="L647">
        <v>28.925403840547901</v>
      </c>
      <c r="M647">
        <v>1.8947041669918701</v>
      </c>
      <c r="N647">
        <v>51.832173219225098</v>
      </c>
      <c r="O647">
        <v>20.139488753447001</v>
      </c>
      <c r="P647">
        <v>1.48007833557917</v>
      </c>
      <c r="Q647">
        <v>27.389383046963999</v>
      </c>
      <c r="R647">
        <v>41.693667552362697</v>
      </c>
      <c r="S647">
        <v>0.73152016941031395</v>
      </c>
      <c r="T647">
        <v>74.5378241362788</v>
      </c>
      <c r="U647">
        <v>0.93611509797046299</v>
      </c>
      <c r="V647">
        <v>58.982818112450801</v>
      </c>
    </row>
    <row r="648" spans="1:22" x14ac:dyDescent="0.25">
      <c r="A648" t="str">
        <f t="shared" si="10"/>
        <v>Germany2015</v>
      </c>
      <c r="B648" t="s">
        <v>99</v>
      </c>
      <c r="C648" t="s">
        <v>100</v>
      </c>
      <c r="D648">
        <v>2015</v>
      </c>
      <c r="E648">
        <v>41929.754911072203</v>
      </c>
      <c r="F648">
        <v>1.6630060233477499</v>
      </c>
      <c r="G648">
        <v>0.51442613712545604</v>
      </c>
      <c r="H648">
        <v>13</v>
      </c>
      <c r="I648">
        <v>21.053353681650101</v>
      </c>
      <c r="J648">
        <v>4.6120000000000001</v>
      </c>
      <c r="K648">
        <v>27.436500455129998</v>
      </c>
      <c r="L648">
        <v>28.882744903677601</v>
      </c>
      <c r="M648">
        <v>1.7444398903754299</v>
      </c>
      <c r="N648">
        <v>52.122406986576102</v>
      </c>
      <c r="O648">
        <v>19.497802094569899</v>
      </c>
      <c r="P648">
        <v>1.53866263784816</v>
      </c>
      <c r="Q648">
        <v>27.624739160072</v>
      </c>
      <c r="R648">
        <v>42.585397615183503</v>
      </c>
      <c r="S648">
        <v>0.91476273311240897</v>
      </c>
      <c r="T648">
        <v>71.184083083092801</v>
      </c>
      <c r="U648">
        <v>0.90828622090451805</v>
      </c>
      <c r="V648">
        <v>58.449454578049803</v>
      </c>
    </row>
    <row r="649" spans="1:22" x14ac:dyDescent="0.25">
      <c r="A649" t="str">
        <f t="shared" si="10"/>
        <v>Germany2016</v>
      </c>
      <c r="B649" t="s">
        <v>99</v>
      </c>
      <c r="C649" t="s">
        <v>100</v>
      </c>
      <c r="D649">
        <v>2016</v>
      </c>
      <c r="E649">
        <v>42948.938193269401</v>
      </c>
      <c r="F649">
        <v>2.22222216259371</v>
      </c>
      <c r="G649">
        <v>0.49174700844517399</v>
      </c>
      <c r="H649">
        <v>13</v>
      </c>
      <c r="I649">
        <v>21.134996177657001</v>
      </c>
      <c r="J649">
        <v>4.1040000000000001</v>
      </c>
      <c r="K649">
        <v>27.3748517311851</v>
      </c>
      <c r="L649">
        <v>28.821736286503899</v>
      </c>
      <c r="M649">
        <v>1.25424485239203</v>
      </c>
      <c r="N649">
        <v>52.582045859437201</v>
      </c>
      <c r="O649">
        <v>19.712256784374102</v>
      </c>
      <c r="P649">
        <v>1.6242023899553699</v>
      </c>
      <c r="Q649">
        <v>28.654797979176202</v>
      </c>
      <c r="R649">
        <v>41.635541951859203</v>
      </c>
      <c r="S649">
        <v>1.1341038617179999</v>
      </c>
      <c r="T649">
        <v>68.301457494186593</v>
      </c>
      <c r="U649">
        <v>0.949527083212794</v>
      </c>
      <c r="V649">
        <v>59.239869945165204</v>
      </c>
    </row>
    <row r="650" spans="1:22" x14ac:dyDescent="0.25">
      <c r="A650" t="str">
        <f t="shared" si="10"/>
        <v>Germany2017</v>
      </c>
      <c r="B650" t="s">
        <v>99</v>
      </c>
      <c r="C650" t="s">
        <v>100</v>
      </c>
      <c r="D650">
        <v>2017</v>
      </c>
      <c r="E650">
        <v>45553.934149533903</v>
      </c>
      <c r="F650">
        <v>2.797906720551</v>
      </c>
      <c r="G650">
        <v>1.50949485109628</v>
      </c>
      <c r="H650">
        <v>13</v>
      </c>
      <c r="I650">
        <v>21.293640510017799</v>
      </c>
      <c r="J650">
        <v>3.7810000000000001</v>
      </c>
      <c r="K650">
        <v>27.5226740191593</v>
      </c>
      <c r="L650">
        <v>28.982001794120201</v>
      </c>
      <c r="M650">
        <v>1.47661425586129</v>
      </c>
      <c r="N650">
        <v>53.258253101446002</v>
      </c>
      <c r="O650">
        <v>20.690976295411801</v>
      </c>
      <c r="P650">
        <v>1.6255468778198601</v>
      </c>
      <c r="Q650">
        <v>28.656631946392402</v>
      </c>
      <c r="R650">
        <v>42.202957598159102</v>
      </c>
      <c r="S650">
        <v>1.33721959371277</v>
      </c>
      <c r="T650">
        <v>63.987807183081202</v>
      </c>
      <c r="U650">
        <v>0.99673898743431799</v>
      </c>
      <c r="V650">
        <v>60.144725288114401</v>
      </c>
    </row>
    <row r="651" spans="1:22" x14ac:dyDescent="0.25">
      <c r="A651" t="str">
        <f t="shared" si="10"/>
        <v>Germany2018</v>
      </c>
      <c r="B651" t="s">
        <v>99</v>
      </c>
      <c r="C651" t="s">
        <v>100</v>
      </c>
      <c r="D651">
        <v>2018</v>
      </c>
      <c r="E651">
        <v>48916.168661215401</v>
      </c>
      <c r="F651">
        <v>1.1356960459984899</v>
      </c>
      <c r="G651">
        <v>1.73216879766941</v>
      </c>
      <c r="H651">
        <v>13</v>
      </c>
      <c r="I651">
        <v>21.4497613850113</v>
      </c>
      <c r="J651">
        <v>3.3839999999999999</v>
      </c>
      <c r="K651">
        <v>27.364495942085501</v>
      </c>
      <c r="L651">
        <v>29.285853647172601</v>
      </c>
      <c r="M651">
        <v>1.8708595389829099</v>
      </c>
      <c r="N651">
        <v>53.875455246560698</v>
      </c>
      <c r="O651">
        <v>21.6503641494105</v>
      </c>
      <c r="P651">
        <v>1.45449826289867</v>
      </c>
      <c r="Q651">
        <v>30.0075324734044</v>
      </c>
      <c r="R651">
        <v>42.496891407471701</v>
      </c>
      <c r="S651">
        <v>1.8831227449964001</v>
      </c>
      <c r="T651">
        <v>60.7575356068525</v>
      </c>
      <c r="U651">
        <v>1.0499213694680101</v>
      </c>
      <c r="V651">
        <v>61.164009795431802</v>
      </c>
    </row>
    <row r="652" spans="1:22" x14ac:dyDescent="0.25">
      <c r="A652" t="str">
        <f t="shared" si="10"/>
        <v>Germany2019</v>
      </c>
      <c r="B652" t="s">
        <v>99</v>
      </c>
      <c r="C652" t="s">
        <v>100</v>
      </c>
      <c r="D652">
        <v>2019</v>
      </c>
      <c r="E652">
        <v>47656.199739746997</v>
      </c>
      <c r="F652">
        <v>0.97773469703878402</v>
      </c>
      <c r="G652">
        <v>1.4456597688825299</v>
      </c>
      <c r="H652">
        <v>13</v>
      </c>
      <c r="I652">
        <v>21.6283933065816</v>
      </c>
      <c r="J652">
        <v>3.1629999999999998</v>
      </c>
      <c r="K652">
        <v>27.880433553464801</v>
      </c>
      <c r="L652">
        <v>29.5495126198661</v>
      </c>
      <c r="M652">
        <v>2.0092912272777301</v>
      </c>
      <c r="N652">
        <v>54.537986859364601</v>
      </c>
      <c r="O652">
        <v>21.381259046499</v>
      </c>
      <c r="P652">
        <v>1.68680367954396</v>
      </c>
      <c r="Q652">
        <v>29.2651262058024</v>
      </c>
      <c r="R652">
        <v>42.340244481635601</v>
      </c>
      <c r="S652">
        <v>1.3272627555635901</v>
      </c>
      <c r="T652">
        <v>58.684186719739401</v>
      </c>
      <c r="U652">
        <v>1.0272000248006401</v>
      </c>
      <c r="V652">
        <v>60.728536360071203</v>
      </c>
    </row>
    <row r="653" spans="1:22" x14ac:dyDescent="0.25">
      <c r="A653" t="str">
        <f t="shared" si="10"/>
        <v>Germany2020</v>
      </c>
      <c r="B653" t="s">
        <v>99</v>
      </c>
      <c r="C653" t="s">
        <v>100</v>
      </c>
      <c r="D653">
        <v>2020</v>
      </c>
      <c r="E653">
        <v>47394.873450446903</v>
      </c>
      <c r="F653">
        <v>-4.1319144323994701</v>
      </c>
      <c r="G653">
        <v>0.14487792581398101</v>
      </c>
      <c r="H653">
        <v>13</v>
      </c>
      <c r="I653">
        <v>21.8447281174981</v>
      </c>
      <c r="J653">
        <v>3.8809999999999998</v>
      </c>
      <c r="K653">
        <v>32.150594658506101</v>
      </c>
      <c r="L653">
        <v>29.5059871563036</v>
      </c>
      <c r="M653">
        <v>1.7574529016645599</v>
      </c>
      <c r="N653">
        <v>55.295066596628999</v>
      </c>
      <c r="O653">
        <v>21.7290304632077</v>
      </c>
      <c r="P653">
        <v>2.2194147879826001</v>
      </c>
      <c r="Q653">
        <v>28.0207954478952</v>
      </c>
      <c r="R653">
        <v>39.119806880882798</v>
      </c>
      <c r="S653">
        <v>-4.37969467241619</v>
      </c>
      <c r="T653">
        <v>68.041915890017094</v>
      </c>
      <c r="U653">
        <v>0.68758713340997402</v>
      </c>
      <c r="V653">
        <v>54.219573326778502</v>
      </c>
    </row>
    <row r="654" spans="1:22" x14ac:dyDescent="0.25">
      <c r="A654" t="str">
        <f t="shared" si="10"/>
        <v>Germany2021</v>
      </c>
      <c r="B654" t="s">
        <v>99</v>
      </c>
      <c r="C654" t="s">
        <v>100</v>
      </c>
      <c r="D654">
        <v>2021</v>
      </c>
      <c r="E654">
        <v>52349.245999442202</v>
      </c>
      <c r="F654">
        <v>3.9099999420410798</v>
      </c>
      <c r="G654">
        <v>3.0666666666667299</v>
      </c>
      <c r="H654">
        <v>13</v>
      </c>
      <c r="I654">
        <v>22.134537365743899</v>
      </c>
      <c r="J654">
        <v>3.5939999999999999</v>
      </c>
      <c r="K654">
        <v>32.668520560295903</v>
      </c>
      <c r="L654">
        <v>29.225546799046299</v>
      </c>
      <c r="M654">
        <v>2.69677840082888</v>
      </c>
      <c r="N654">
        <v>56.231127207014197</v>
      </c>
      <c r="O654">
        <v>22.673055720004101</v>
      </c>
      <c r="P654">
        <v>1.9969046990991799</v>
      </c>
      <c r="Q654">
        <v>29.5132406376345</v>
      </c>
      <c r="R654">
        <v>42.519837929142902</v>
      </c>
      <c r="S654">
        <v>-3.16727950162125</v>
      </c>
      <c r="T654">
        <v>67.938294671323106</v>
      </c>
      <c r="U654">
        <v>0.88433526322709899</v>
      </c>
      <c r="V654">
        <v>57.990414588443102</v>
      </c>
    </row>
    <row r="655" spans="1:22" x14ac:dyDescent="0.25">
      <c r="A655" t="str">
        <f t="shared" si="10"/>
        <v>Germany2022</v>
      </c>
      <c r="B655" t="s">
        <v>99</v>
      </c>
      <c r="C655" t="s">
        <v>100</v>
      </c>
      <c r="D655">
        <v>2022</v>
      </c>
      <c r="E655">
        <v>50506.517963854298</v>
      </c>
      <c r="F655">
        <v>1.8092581243060999</v>
      </c>
      <c r="G655">
        <v>6.8725743855109602</v>
      </c>
      <c r="H655">
        <v>13</v>
      </c>
      <c r="I655">
        <v>22.458906379519199</v>
      </c>
      <c r="J655">
        <v>3.137</v>
      </c>
      <c r="K655">
        <v>31.174891399437001</v>
      </c>
      <c r="L655">
        <v>28.568904017907499</v>
      </c>
      <c r="M655">
        <v>6.4131591083029598</v>
      </c>
      <c r="N655">
        <v>57.162122736037396</v>
      </c>
      <c r="O655">
        <v>23.276014628802901</v>
      </c>
      <c r="P655">
        <v>1.7624747084557499</v>
      </c>
      <c r="Q655">
        <v>27.026105629432099</v>
      </c>
      <c r="R655">
        <v>45.6284043425185</v>
      </c>
      <c r="S655">
        <v>-1.9085123289525401</v>
      </c>
      <c r="T655">
        <v>64.396962944209506</v>
      </c>
      <c r="U655">
        <v>0.88495451293348903</v>
      </c>
      <c r="V655">
        <v>58.002283023209401</v>
      </c>
    </row>
    <row r="656" spans="1:22" x14ac:dyDescent="0.25">
      <c r="A656" t="str">
        <f t="shared" si="10"/>
        <v>Germany2023</v>
      </c>
      <c r="B656" t="s">
        <v>99</v>
      </c>
      <c r="C656" t="s">
        <v>100</v>
      </c>
      <c r="D656">
        <v>2023</v>
      </c>
      <c r="E656">
        <v>54776.7668235491</v>
      </c>
      <c r="F656">
        <v>-0.86964757857332098</v>
      </c>
      <c r="G656">
        <v>5.9464366772582302</v>
      </c>
      <c r="H656">
        <v>13</v>
      </c>
      <c r="I656">
        <v>22.790043945449298</v>
      </c>
      <c r="J656">
        <v>3.0710000000000002</v>
      </c>
      <c r="K656">
        <v>27.944507158983701</v>
      </c>
      <c r="L656">
        <v>28.418390684732799</v>
      </c>
      <c r="M656">
        <v>6.6911238945853002</v>
      </c>
      <c r="N656">
        <v>57.991895389664897</v>
      </c>
      <c r="O656">
        <v>21.994283425489002</v>
      </c>
      <c r="P656">
        <v>1.86701248940273</v>
      </c>
      <c r="Q656">
        <v>27.603985079805</v>
      </c>
      <c r="R656">
        <v>42.967262419684701</v>
      </c>
      <c r="S656">
        <v>-2.4944599946436701</v>
      </c>
      <c r="T656">
        <v>62.345976000815298</v>
      </c>
      <c r="U656">
        <v>0.85725697560051395</v>
      </c>
      <c r="V656">
        <v>57.471436723837897</v>
      </c>
    </row>
    <row r="657" spans="1:22" x14ac:dyDescent="0.25">
      <c r="A657" t="str">
        <f t="shared" si="10"/>
        <v>Germany2024</v>
      </c>
      <c r="B657" t="s">
        <v>99</v>
      </c>
      <c r="C657" t="s">
        <v>100</v>
      </c>
      <c r="D657">
        <v>2024</v>
      </c>
      <c r="E657">
        <v>56103.732318255403</v>
      </c>
      <c r="F657">
        <v>-0.49585189726036599</v>
      </c>
      <c r="G657">
        <v>2.2564981433876001</v>
      </c>
      <c r="H657">
        <v>13</v>
      </c>
      <c r="I657">
        <v>23.195587173194099</v>
      </c>
      <c r="J657">
        <v>3.4</v>
      </c>
      <c r="K657">
        <v>27.944507158983701</v>
      </c>
      <c r="L657">
        <v>29.370889611154599</v>
      </c>
      <c r="M657">
        <v>3.1102774214086999</v>
      </c>
      <c r="N657">
        <v>58.997039949083799</v>
      </c>
      <c r="O657">
        <v>21.499432890502799</v>
      </c>
      <c r="P657">
        <v>2.1999305696184899</v>
      </c>
      <c r="Q657">
        <v>27.141900983521701</v>
      </c>
      <c r="R657">
        <v>41.4340593720908</v>
      </c>
      <c r="S657">
        <v>-2.66333562025146</v>
      </c>
      <c r="T657">
        <v>62.226811458614797</v>
      </c>
      <c r="U657">
        <v>0.87094772892352301</v>
      </c>
      <c r="V657">
        <v>57.7338313782708</v>
      </c>
    </row>
    <row r="658" spans="1:22" x14ac:dyDescent="0.25">
      <c r="A658" t="str">
        <f t="shared" si="10"/>
        <v>Germany2025</v>
      </c>
      <c r="B658" t="s">
        <v>99</v>
      </c>
      <c r="C658" t="s">
        <v>100</v>
      </c>
      <c r="D658">
        <v>2025</v>
      </c>
      <c r="E658">
        <v>47630.976188357199</v>
      </c>
      <c r="F658">
        <v>1.6630060233477499</v>
      </c>
      <c r="G658">
        <v>1.50949485109628</v>
      </c>
      <c r="H658">
        <v>13</v>
      </c>
      <c r="I658">
        <v>21.293640510017799</v>
      </c>
      <c r="J658">
        <v>3.7109999999999999</v>
      </c>
      <c r="K658">
        <v>27.944507158983701</v>
      </c>
      <c r="L658">
        <v>28.925403840547901</v>
      </c>
      <c r="M658">
        <v>1.8708595389829099</v>
      </c>
      <c r="N658">
        <v>53.258253101446002</v>
      </c>
      <c r="O658">
        <v>21.2669872693317</v>
      </c>
      <c r="P658">
        <v>1.7323689537128899</v>
      </c>
      <c r="Q658">
        <v>27.603985079805</v>
      </c>
      <c r="R658">
        <v>42.202957598159102</v>
      </c>
      <c r="S658">
        <v>-2.6655346528229802</v>
      </c>
      <c r="T658">
        <v>62.930282712627303</v>
      </c>
      <c r="U658">
        <v>0.81851395681900896</v>
      </c>
      <c r="V658">
        <v>56.728894601793201</v>
      </c>
    </row>
    <row r="659" spans="1:22" x14ac:dyDescent="0.25">
      <c r="A659" t="str">
        <f t="shared" si="10"/>
        <v>Ghana2010</v>
      </c>
      <c r="B659" t="s">
        <v>101</v>
      </c>
      <c r="C659" t="s">
        <v>102</v>
      </c>
      <c r="D659">
        <v>2010</v>
      </c>
      <c r="E659">
        <v>1263.8925176053899</v>
      </c>
      <c r="F659">
        <v>7.8997119405162097</v>
      </c>
      <c r="G659">
        <v>10.733389835491501</v>
      </c>
      <c r="H659">
        <v>11</v>
      </c>
      <c r="I659">
        <v>3.3797867944583899</v>
      </c>
      <c r="J659">
        <v>5.3840000000000003</v>
      </c>
      <c r="K659">
        <v>20.157504288124301</v>
      </c>
      <c r="L659">
        <v>16.6915374696386</v>
      </c>
      <c r="M659">
        <v>16.5956447322347</v>
      </c>
      <c r="N659">
        <v>73.876420292442802</v>
      </c>
      <c r="O659">
        <v>13.1001937072805</v>
      </c>
      <c r="P659">
        <v>4.2512034314495502</v>
      </c>
      <c r="Q659">
        <v>4.8708608291523197</v>
      </c>
      <c r="R659">
        <v>29.4767179831573</v>
      </c>
      <c r="S659">
        <v>-7.12847372420309</v>
      </c>
      <c r="T659">
        <v>32.924102813777502</v>
      </c>
      <c r="U659">
        <v>-0.69461981428999597</v>
      </c>
      <c r="V659">
        <v>27.728429571607599</v>
      </c>
    </row>
    <row r="660" spans="1:22" x14ac:dyDescent="0.25">
      <c r="A660" t="str">
        <f t="shared" si="10"/>
        <v>Ghana2011</v>
      </c>
      <c r="B660" t="s">
        <v>101</v>
      </c>
      <c r="C660" t="s">
        <v>102</v>
      </c>
      <c r="D660">
        <v>2011</v>
      </c>
      <c r="E660">
        <v>1507.4357319875301</v>
      </c>
      <c r="F660">
        <v>14.047123580314899</v>
      </c>
      <c r="G660">
        <v>8.7284593709301994</v>
      </c>
      <c r="H660">
        <v>11</v>
      </c>
      <c r="I660">
        <v>3.3699809711314299</v>
      </c>
      <c r="J660">
        <v>4.2130000000000001</v>
      </c>
      <c r="K660">
        <v>21.1409260461554</v>
      </c>
      <c r="L660">
        <v>19.371713189067101</v>
      </c>
      <c r="M660">
        <v>13.914822175982099</v>
      </c>
      <c r="N660">
        <v>73.548614462286395</v>
      </c>
      <c r="O660">
        <v>12.809992966317701</v>
      </c>
      <c r="P660">
        <v>3.4133954552300199</v>
      </c>
      <c r="Q660">
        <v>3.8817620783489</v>
      </c>
      <c r="R660">
        <v>36.9366085502594</v>
      </c>
      <c r="S660">
        <v>-5.46526804034671</v>
      </c>
      <c r="T660">
        <v>31.2208214715954</v>
      </c>
      <c r="U660">
        <v>-0.46178397022962597</v>
      </c>
      <c r="V660">
        <v>32.190921839226199</v>
      </c>
    </row>
    <row r="661" spans="1:22" x14ac:dyDescent="0.25">
      <c r="A661" t="str">
        <f t="shared" si="10"/>
        <v>Ghana2012</v>
      </c>
      <c r="B661" t="s">
        <v>101</v>
      </c>
      <c r="C661" t="s">
        <v>102</v>
      </c>
      <c r="D661">
        <v>2012</v>
      </c>
      <c r="E661">
        <v>1543.7752423576401</v>
      </c>
      <c r="F661">
        <v>9.2927894063004999</v>
      </c>
      <c r="G661">
        <v>11.1863409441067</v>
      </c>
      <c r="H661">
        <v>11</v>
      </c>
      <c r="I661">
        <v>3.3564505421197501</v>
      </c>
      <c r="J661">
        <v>3.1259999999999999</v>
      </c>
      <c r="K661">
        <v>26.883917847818601</v>
      </c>
      <c r="L661">
        <v>19.339268349752501</v>
      </c>
      <c r="M661">
        <v>15.2052787396605</v>
      </c>
      <c r="N661">
        <v>73.290173487438693</v>
      </c>
      <c r="O661">
        <v>16.967722122965</v>
      </c>
      <c r="P661">
        <v>2.8953117517826898</v>
      </c>
      <c r="Q661">
        <v>5.2675191854576298</v>
      </c>
      <c r="R661">
        <v>40.359218174037103</v>
      </c>
      <c r="S661">
        <v>-8.3570171104296307</v>
      </c>
      <c r="T661">
        <v>35.473183307767201</v>
      </c>
      <c r="U661">
        <v>-0.60808052926979095</v>
      </c>
      <c r="V661">
        <v>29.3870268198378</v>
      </c>
    </row>
    <row r="662" spans="1:22" x14ac:dyDescent="0.25">
      <c r="A662" t="str">
        <f t="shared" si="10"/>
        <v>Ghana2013</v>
      </c>
      <c r="B662" t="s">
        <v>101</v>
      </c>
      <c r="C662" t="s">
        <v>102</v>
      </c>
      <c r="D662">
        <v>2013</v>
      </c>
      <c r="E662">
        <v>2294.7958469374298</v>
      </c>
      <c r="F662">
        <v>7.3125250167814499</v>
      </c>
      <c r="G662">
        <v>11.666192307172899</v>
      </c>
      <c r="H662">
        <v>11</v>
      </c>
      <c r="I662">
        <v>3.3480758597603502</v>
      </c>
      <c r="J662">
        <v>2.173</v>
      </c>
      <c r="K662">
        <v>19.281134781880301</v>
      </c>
      <c r="L662">
        <v>14.2262590306295</v>
      </c>
      <c r="M662">
        <v>54.012911758392598</v>
      </c>
      <c r="N662">
        <v>73.0364754591143</v>
      </c>
      <c r="O662">
        <v>24.771538053084299</v>
      </c>
      <c r="P662">
        <v>2.7783608721760098</v>
      </c>
      <c r="Q662">
        <v>15.1937771434224</v>
      </c>
      <c r="R662">
        <v>25.440783396728499</v>
      </c>
      <c r="S662">
        <v>-9.1169246428969508</v>
      </c>
      <c r="T662">
        <v>42.930079398550198</v>
      </c>
      <c r="U662">
        <v>-0.83499137686789704</v>
      </c>
      <c r="V662">
        <v>25.0380920287548</v>
      </c>
    </row>
    <row r="663" spans="1:22" x14ac:dyDescent="0.25">
      <c r="A663" t="str">
        <f t="shared" si="10"/>
        <v>Ghana2014</v>
      </c>
      <c r="B663" t="s">
        <v>101</v>
      </c>
      <c r="C663" t="s">
        <v>102</v>
      </c>
      <c r="D663">
        <v>2014</v>
      </c>
      <c r="E663">
        <v>1949.9083292384601</v>
      </c>
      <c r="F663">
        <v>2.8562401633088301</v>
      </c>
      <c r="G663">
        <v>15.489616033331799</v>
      </c>
      <c r="H663">
        <v>11</v>
      </c>
      <c r="I663">
        <v>3.3505425913310698</v>
      </c>
      <c r="J663">
        <v>4.4029999999999996</v>
      </c>
      <c r="K663">
        <v>18.203508607632902</v>
      </c>
      <c r="L663">
        <v>14.215031892885801</v>
      </c>
      <c r="M663">
        <v>23.9399587593999</v>
      </c>
      <c r="N663">
        <v>72.733053501951602</v>
      </c>
      <c r="O663">
        <v>27.1650663374465</v>
      </c>
      <c r="P663">
        <v>3.1679105380769599</v>
      </c>
      <c r="Q663">
        <v>18.239931354272901</v>
      </c>
      <c r="R663">
        <v>28.231902160597599</v>
      </c>
      <c r="S663">
        <v>-7.8120040678705696</v>
      </c>
      <c r="T663">
        <v>50.110878259222403</v>
      </c>
      <c r="U663">
        <v>-0.88472582816761702</v>
      </c>
      <c r="V663">
        <v>24.084889976661401</v>
      </c>
    </row>
    <row r="664" spans="1:22" x14ac:dyDescent="0.25">
      <c r="A664" t="str">
        <f t="shared" si="10"/>
        <v>Ghana2015</v>
      </c>
      <c r="B664" t="s">
        <v>101</v>
      </c>
      <c r="C664" t="s">
        <v>102</v>
      </c>
      <c r="D664">
        <v>2015</v>
      </c>
      <c r="E664">
        <v>1722.77282833606</v>
      </c>
      <c r="F664">
        <v>2.1207593381733401</v>
      </c>
      <c r="G664">
        <v>17.149969500787801</v>
      </c>
      <c r="H664">
        <v>11</v>
      </c>
      <c r="I664">
        <v>3.3587982046668898</v>
      </c>
      <c r="J664">
        <v>6.806</v>
      </c>
      <c r="K664">
        <v>17.364299645873501</v>
      </c>
      <c r="L664">
        <v>14.529803902401699</v>
      </c>
      <c r="M664">
        <v>13.2529666807363</v>
      </c>
      <c r="N664">
        <v>72.311645071517901</v>
      </c>
      <c r="O664">
        <v>27.709641170574301</v>
      </c>
      <c r="P664">
        <v>3.0931028534103202</v>
      </c>
      <c r="Q664">
        <v>21.099776723989301</v>
      </c>
      <c r="R664">
        <v>33.831704823369599</v>
      </c>
      <c r="S664">
        <v>-4.0073881330917596</v>
      </c>
      <c r="T664">
        <v>53.895808636008802</v>
      </c>
      <c r="U664">
        <v>-0.74369278432972696</v>
      </c>
      <c r="V664">
        <v>26.787905357068698</v>
      </c>
    </row>
    <row r="665" spans="1:22" x14ac:dyDescent="0.25">
      <c r="A665" t="str">
        <f t="shared" si="10"/>
        <v>Ghana2016</v>
      </c>
      <c r="B665" t="s">
        <v>101</v>
      </c>
      <c r="C665" t="s">
        <v>102</v>
      </c>
      <c r="D665">
        <v>2016</v>
      </c>
      <c r="E665">
        <v>1912.47991339951</v>
      </c>
      <c r="F665">
        <v>3.3734657496693599</v>
      </c>
      <c r="G665">
        <v>17.4546347070868</v>
      </c>
      <c r="H665">
        <v>11</v>
      </c>
      <c r="I665">
        <v>3.3693657724240298</v>
      </c>
      <c r="J665">
        <v>5.2560000000000002</v>
      </c>
      <c r="K665">
        <v>18.289585362215099</v>
      </c>
      <c r="L665">
        <v>14.1589434337656</v>
      </c>
      <c r="M665">
        <v>15.748620307899101</v>
      </c>
      <c r="N665">
        <v>71.731325772572504</v>
      </c>
      <c r="O665">
        <v>25.455655453713401</v>
      </c>
      <c r="P665">
        <v>3.20054453410844</v>
      </c>
      <c r="Q665">
        <v>18.636155569363499</v>
      </c>
      <c r="R665">
        <v>31.193239148362</v>
      </c>
      <c r="S665">
        <v>-6.7458074668978201</v>
      </c>
      <c r="T665">
        <v>55.942373028873597</v>
      </c>
      <c r="U665">
        <v>-0.82413342035749304</v>
      </c>
      <c r="V665">
        <v>25.246193780292899</v>
      </c>
    </row>
    <row r="666" spans="1:22" x14ac:dyDescent="0.25">
      <c r="A666" t="str">
        <f t="shared" si="10"/>
        <v>Ghana2017</v>
      </c>
      <c r="B666" t="s">
        <v>101</v>
      </c>
      <c r="C666" t="s">
        <v>102</v>
      </c>
      <c r="D666">
        <v>2017</v>
      </c>
      <c r="E666">
        <v>2012.2866264126501</v>
      </c>
      <c r="F666">
        <v>8.1288948810095594</v>
      </c>
      <c r="G666">
        <v>12.371921550704799</v>
      </c>
      <c r="H666">
        <v>11</v>
      </c>
      <c r="I666">
        <v>3.3851573465175702</v>
      </c>
      <c r="J666">
        <v>3.3690000000000002</v>
      </c>
      <c r="K666">
        <v>17.355240305186999</v>
      </c>
      <c r="L666">
        <v>14.5205312646041</v>
      </c>
      <c r="M666">
        <v>10.6773082339139</v>
      </c>
      <c r="N666">
        <v>71.000740853907502</v>
      </c>
      <c r="O666">
        <v>19.565519955521399</v>
      </c>
      <c r="P666">
        <v>3.3441496586539201</v>
      </c>
      <c r="Q666">
        <v>15.8609956860697</v>
      </c>
      <c r="R666">
        <v>33.876874779968098</v>
      </c>
      <c r="S666">
        <v>-3.9663112948928001</v>
      </c>
      <c r="T666">
        <v>56.9838757736376</v>
      </c>
      <c r="U666">
        <v>-0.55831308286603898</v>
      </c>
      <c r="V666">
        <v>30.3408612504949</v>
      </c>
    </row>
    <row r="667" spans="1:22" x14ac:dyDescent="0.25">
      <c r="A667" t="str">
        <f t="shared" si="10"/>
        <v>Ghana2018</v>
      </c>
      <c r="B667" t="s">
        <v>101</v>
      </c>
      <c r="C667" t="s">
        <v>102</v>
      </c>
      <c r="D667">
        <v>2018</v>
      </c>
      <c r="E667">
        <v>2195.32166016377</v>
      </c>
      <c r="F667">
        <v>6.2000776812728402</v>
      </c>
      <c r="G667">
        <v>7.8087651661070296</v>
      </c>
      <c r="H667">
        <v>11</v>
      </c>
      <c r="I667">
        <v>3.4072872161315502</v>
      </c>
      <c r="J667">
        <v>3.2040000000000002</v>
      </c>
      <c r="K667">
        <v>17.601847515248402</v>
      </c>
      <c r="L667">
        <v>15.0692892914466</v>
      </c>
      <c r="M667">
        <v>10.5684824952629</v>
      </c>
      <c r="N667">
        <v>70.222012773879598</v>
      </c>
      <c r="O667">
        <v>21.709334999906499</v>
      </c>
      <c r="P667">
        <v>2.7230159190114298</v>
      </c>
      <c r="Q667">
        <v>20.000140687894501</v>
      </c>
      <c r="R667">
        <v>33.4548954489265</v>
      </c>
      <c r="S667">
        <v>-6.7912443719834803</v>
      </c>
      <c r="T667">
        <v>61.976181706248703</v>
      </c>
      <c r="U667">
        <v>-0.68851079624005196</v>
      </c>
      <c r="V667">
        <v>27.845513974658299</v>
      </c>
    </row>
    <row r="668" spans="1:22" x14ac:dyDescent="0.25">
      <c r="A668" t="str">
        <f t="shared" si="10"/>
        <v>Ghana2019</v>
      </c>
      <c r="B668" t="s">
        <v>101</v>
      </c>
      <c r="C668" t="s">
        <v>102</v>
      </c>
      <c r="D668">
        <v>2019</v>
      </c>
      <c r="E668">
        <v>2186.65822682613</v>
      </c>
      <c r="F668">
        <v>6.5077747939151998</v>
      </c>
      <c r="G668">
        <v>7.1436400333085697</v>
      </c>
      <c r="H668">
        <v>11</v>
      </c>
      <c r="I668">
        <v>3.4364115615546198</v>
      </c>
      <c r="J668">
        <v>3.0670000000000002</v>
      </c>
      <c r="K668">
        <v>17.510945094103299</v>
      </c>
      <c r="L668">
        <v>14.694805547435401</v>
      </c>
      <c r="M668">
        <v>8.4810702969872107</v>
      </c>
      <c r="N668">
        <v>69.456192605009605</v>
      </c>
      <c r="O668">
        <v>18.647275616147201</v>
      </c>
      <c r="P668">
        <v>2.8956248224271302</v>
      </c>
      <c r="Q668">
        <v>17.5895709554257</v>
      </c>
      <c r="R668">
        <v>37.449599862531102</v>
      </c>
      <c r="S668">
        <v>-7.51919832587462</v>
      </c>
      <c r="T668">
        <v>62.927005766426198</v>
      </c>
      <c r="U668">
        <v>-0.68502014822260104</v>
      </c>
      <c r="V668">
        <v>27.9124151420868</v>
      </c>
    </row>
    <row r="669" spans="1:22" x14ac:dyDescent="0.25">
      <c r="A669" t="str">
        <f t="shared" si="10"/>
        <v>Ghana2020</v>
      </c>
      <c r="B669" t="s">
        <v>101</v>
      </c>
      <c r="C669" t="s">
        <v>102</v>
      </c>
      <c r="D669">
        <v>2020</v>
      </c>
      <c r="E669">
        <v>2195.4548165998699</v>
      </c>
      <c r="F669">
        <v>0.51394167062817098</v>
      </c>
      <c r="G669">
        <v>9.8872895626994399</v>
      </c>
      <c r="H669">
        <v>11</v>
      </c>
      <c r="I669">
        <v>3.46870648905354</v>
      </c>
      <c r="J669">
        <v>3.1779999999999999</v>
      </c>
      <c r="K669">
        <v>21.8835544057028</v>
      </c>
      <c r="L669">
        <v>13.754507358812999</v>
      </c>
      <c r="M669">
        <v>9.3655749658373804</v>
      </c>
      <c r="N669">
        <v>68.614622805803705</v>
      </c>
      <c r="O669">
        <v>18.2236669857819</v>
      </c>
      <c r="P669">
        <v>3.2985107538767799</v>
      </c>
      <c r="Q669">
        <v>21.078172610365201</v>
      </c>
      <c r="R669">
        <v>31.5254204867115</v>
      </c>
      <c r="S669">
        <v>-17.442900286560899</v>
      </c>
      <c r="T669">
        <v>79.088914084098604</v>
      </c>
      <c r="U669">
        <v>-1.1922170955042</v>
      </c>
      <c r="V669">
        <v>18.191564537928699</v>
      </c>
    </row>
    <row r="670" spans="1:22" x14ac:dyDescent="0.25">
      <c r="A670" t="str">
        <f t="shared" si="10"/>
        <v>Ghana2021</v>
      </c>
      <c r="B670" t="s">
        <v>101</v>
      </c>
      <c r="C670" t="s">
        <v>102</v>
      </c>
      <c r="D670">
        <v>2021</v>
      </c>
      <c r="E670">
        <v>2445.1866252934401</v>
      </c>
      <c r="F670">
        <v>5.0764664353354201</v>
      </c>
      <c r="G670">
        <v>9.9710886750444008</v>
      </c>
      <c r="H670">
        <v>11</v>
      </c>
      <c r="I670">
        <v>3.5066906959433899</v>
      </c>
      <c r="J670">
        <v>3.2</v>
      </c>
      <c r="K670">
        <v>20.7508748712557</v>
      </c>
      <c r="L670">
        <v>14.9263731247694</v>
      </c>
      <c r="M670">
        <v>12.1061016311773</v>
      </c>
      <c r="N670">
        <v>67.736408434495999</v>
      </c>
      <c r="O670">
        <v>17.0366779158262</v>
      </c>
      <c r="P670">
        <v>3.9199448740449001</v>
      </c>
      <c r="Q670">
        <v>15.595007794032499</v>
      </c>
      <c r="R670">
        <v>30.055119469623101</v>
      </c>
      <c r="S670">
        <v>-12.031821848365199</v>
      </c>
      <c r="T670">
        <v>86.875066140875902</v>
      </c>
      <c r="U670">
        <v>-0.94076289916276001</v>
      </c>
      <c r="V670">
        <v>23.0108929852403</v>
      </c>
    </row>
    <row r="671" spans="1:22" x14ac:dyDescent="0.25">
      <c r="A671" t="str">
        <f t="shared" si="10"/>
        <v>Ghana2022</v>
      </c>
      <c r="B671" t="s">
        <v>101</v>
      </c>
      <c r="C671" t="s">
        <v>102</v>
      </c>
      <c r="D671">
        <v>2022</v>
      </c>
      <c r="E671">
        <v>2229.8912264780301</v>
      </c>
      <c r="F671">
        <v>3.8048498095216399</v>
      </c>
      <c r="G671">
        <v>31.255895104901601</v>
      </c>
      <c r="H671">
        <v>11</v>
      </c>
      <c r="I671">
        <v>3.56150287042033</v>
      </c>
      <c r="J671">
        <v>2.87</v>
      </c>
      <c r="K671">
        <v>22.678992950766698</v>
      </c>
      <c r="L671">
        <v>15.550550687300801</v>
      </c>
      <c r="M671">
        <v>28.183872813714</v>
      </c>
      <c r="N671">
        <v>66.918806953688104</v>
      </c>
      <c r="O671">
        <v>16.407852014614601</v>
      </c>
      <c r="P671">
        <v>1.9671545269917801</v>
      </c>
      <c r="Q671">
        <v>18.7087577207339</v>
      </c>
      <c r="R671">
        <v>34.664043553358702</v>
      </c>
      <c r="S671">
        <v>-11.759892166665001</v>
      </c>
      <c r="T671">
        <v>92.723106587438906</v>
      </c>
      <c r="U671">
        <v>-0.89517274770168798</v>
      </c>
      <c r="V671">
        <v>23.884666090045599</v>
      </c>
    </row>
    <row r="672" spans="1:22" x14ac:dyDescent="0.25">
      <c r="A672" t="str">
        <f t="shared" si="10"/>
        <v>Ghana2023</v>
      </c>
      <c r="B672" t="s">
        <v>101</v>
      </c>
      <c r="C672" t="s">
        <v>102</v>
      </c>
      <c r="D672">
        <v>2023</v>
      </c>
      <c r="E672">
        <v>2383.9041048341801</v>
      </c>
      <c r="F672">
        <v>3.14009099763754</v>
      </c>
      <c r="G672">
        <v>38.106965629650098</v>
      </c>
      <c r="H672">
        <v>11</v>
      </c>
      <c r="I672">
        <v>3.6318149146467</v>
      </c>
      <c r="J672">
        <v>2.8290000000000002</v>
      </c>
      <c r="K672">
        <v>19.281134781880301</v>
      </c>
      <c r="L672">
        <v>15.0222642370769</v>
      </c>
      <c r="M672">
        <v>40.105798196558901</v>
      </c>
      <c r="N672">
        <v>66.142581258766796</v>
      </c>
      <c r="O672">
        <v>10.1167734490213</v>
      </c>
      <c r="P672">
        <v>1.4478778377181301</v>
      </c>
      <c r="Q672">
        <v>7.9501248689297102</v>
      </c>
      <c r="R672">
        <v>31.7708164934404</v>
      </c>
      <c r="S672">
        <v>-3.3662657482351102</v>
      </c>
      <c r="T672">
        <v>79.092146309600594</v>
      </c>
      <c r="U672">
        <v>-0.56091017797593601</v>
      </c>
      <c r="V672">
        <v>30.2910857664281</v>
      </c>
    </row>
    <row r="673" spans="1:22" x14ac:dyDescent="0.25">
      <c r="A673" t="str">
        <f t="shared" si="10"/>
        <v>Ghana2024</v>
      </c>
      <c r="B673" t="s">
        <v>101</v>
      </c>
      <c r="C673" t="s">
        <v>102</v>
      </c>
      <c r="D673">
        <v>2024</v>
      </c>
      <c r="E673">
        <v>2390.7723765271498</v>
      </c>
      <c r="F673">
        <v>5.5904546959326602</v>
      </c>
      <c r="G673">
        <v>22.848328115784199</v>
      </c>
      <c r="H673">
        <v>11</v>
      </c>
      <c r="I673">
        <v>3.7083326053524202</v>
      </c>
      <c r="J673">
        <v>2.82</v>
      </c>
      <c r="K673">
        <v>19.281134781880301</v>
      </c>
      <c r="L673">
        <v>14.810589336102399</v>
      </c>
      <c r="M673">
        <v>24.696358717212402</v>
      </c>
      <c r="N673">
        <v>65.361585726825496</v>
      </c>
      <c r="O673">
        <v>10.0180662777629</v>
      </c>
      <c r="P673">
        <v>1.64288426659843</v>
      </c>
      <c r="Q673">
        <v>14.0176372227613</v>
      </c>
      <c r="R673">
        <v>35.473376635392199</v>
      </c>
      <c r="S673">
        <v>-6.2253953473715304</v>
      </c>
      <c r="T673">
        <v>70.342390810390995</v>
      </c>
      <c r="U673">
        <v>-0.56107757659475199</v>
      </c>
      <c r="V673">
        <v>30.287877432912801</v>
      </c>
    </row>
    <row r="674" spans="1:22" x14ac:dyDescent="0.25">
      <c r="A674" t="str">
        <f t="shared" si="10"/>
        <v>Ghana2025</v>
      </c>
      <c r="B674" t="s">
        <v>101</v>
      </c>
      <c r="C674" t="s">
        <v>102</v>
      </c>
      <c r="D674">
        <v>2025</v>
      </c>
      <c r="E674">
        <v>2186.65822682613</v>
      </c>
      <c r="F674">
        <v>5.5904546959326602</v>
      </c>
      <c r="G674">
        <v>11.666192307172899</v>
      </c>
      <c r="H674">
        <v>11</v>
      </c>
      <c r="I674">
        <v>3.3851573465175702</v>
      </c>
      <c r="J674">
        <v>2.9790000000000001</v>
      </c>
      <c r="K674">
        <v>19.281134781880301</v>
      </c>
      <c r="L674">
        <v>14.810589336102399</v>
      </c>
      <c r="M674">
        <v>15.2052787396605</v>
      </c>
      <c r="N674">
        <v>71.000740853907502</v>
      </c>
      <c r="O674">
        <v>18.2236669857819</v>
      </c>
      <c r="P674">
        <v>3.0931028534103202</v>
      </c>
      <c r="Q674">
        <v>15.8609956860697</v>
      </c>
      <c r="R674">
        <v>33.4548954489265</v>
      </c>
      <c r="S674">
        <v>-1.3455362197784499</v>
      </c>
      <c r="T674">
        <v>48.815295105573199</v>
      </c>
      <c r="U674">
        <v>-0.41153810913856098</v>
      </c>
      <c r="V674">
        <v>33.153925484577996</v>
      </c>
    </row>
    <row r="675" spans="1:22" x14ac:dyDescent="0.25">
      <c r="A675" t="str">
        <f t="shared" si="10"/>
        <v>Greece2010</v>
      </c>
      <c r="B675" t="s">
        <v>103</v>
      </c>
      <c r="C675" t="s">
        <v>104</v>
      </c>
      <c r="D675">
        <v>2010</v>
      </c>
      <c r="E675">
        <v>26653.048800862602</v>
      </c>
      <c r="F675">
        <v>-5.6937412158002996</v>
      </c>
      <c r="G675">
        <v>4.7129890776039502</v>
      </c>
      <c r="H675">
        <v>10</v>
      </c>
      <c r="I675">
        <v>19.157889627287801</v>
      </c>
      <c r="J675">
        <v>12.718999999999999</v>
      </c>
      <c r="K675">
        <v>51.078647377557999</v>
      </c>
      <c r="L675">
        <v>37.953760234547403</v>
      </c>
      <c r="M675">
        <v>1.18092065228493</v>
      </c>
      <c r="N675">
        <v>51.037134768782799</v>
      </c>
      <c r="O675">
        <v>18.215758761193101</v>
      </c>
      <c r="P675">
        <v>0.792574625878538</v>
      </c>
      <c r="Q675">
        <v>7.7289535042798798</v>
      </c>
      <c r="R675">
        <v>21.7288294018439</v>
      </c>
      <c r="S675">
        <v>-11.4244567635923</v>
      </c>
      <c r="T675">
        <v>147.84617414425</v>
      </c>
      <c r="U675">
        <v>-0.35395595373968097</v>
      </c>
      <c r="V675">
        <v>34.257535301431197</v>
      </c>
    </row>
    <row r="676" spans="1:22" x14ac:dyDescent="0.25">
      <c r="A676" t="str">
        <f t="shared" si="10"/>
        <v>Greece2011</v>
      </c>
      <c r="B676" t="s">
        <v>103</v>
      </c>
      <c r="C676" t="s">
        <v>104</v>
      </c>
      <c r="D676">
        <v>2011</v>
      </c>
      <c r="E676">
        <v>25504.7866510124</v>
      </c>
      <c r="F676">
        <v>-9.87677875300243</v>
      </c>
      <c r="G676">
        <v>3.3298532335064999</v>
      </c>
      <c r="H676">
        <v>10</v>
      </c>
      <c r="I676">
        <v>19.507386164905501</v>
      </c>
      <c r="J676">
        <v>17.972999999999999</v>
      </c>
      <c r="K676">
        <v>54.784128775650203</v>
      </c>
      <c r="L676">
        <v>40.739650807893597</v>
      </c>
      <c r="M676">
        <v>0.97665780286109805</v>
      </c>
      <c r="N676">
        <v>51.871565678108901</v>
      </c>
      <c r="O676">
        <v>14.0714513074627</v>
      </c>
      <c r="P676">
        <v>0.79222243646240098</v>
      </c>
      <c r="Q676">
        <v>4.8827679445480197</v>
      </c>
      <c r="R676">
        <v>25.307599353156899</v>
      </c>
      <c r="S676">
        <v>-10.499569971741</v>
      </c>
      <c r="T676">
        <v>175.075562108367</v>
      </c>
      <c r="U676">
        <v>-0.442227923317629</v>
      </c>
      <c r="V676">
        <v>32.565729715058801</v>
      </c>
    </row>
    <row r="677" spans="1:22" x14ac:dyDescent="0.25">
      <c r="A677" t="str">
        <f t="shared" si="10"/>
        <v>Greece2012</v>
      </c>
      <c r="B677" t="s">
        <v>103</v>
      </c>
      <c r="C677" t="s">
        <v>104</v>
      </c>
      <c r="D677">
        <v>2012</v>
      </c>
      <c r="E677">
        <v>21624.346052551002</v>
      </c>
      <c r="F677">
        <v>-8.3311342109999202</v>
      </c>
      <c r="G677">
        <v>1.5015269617775799</v>
      </c>
      <c r="H677">
        <v>10</v>
      </c>
      <c r="I677">
        <v>19.889096034932098</v>
      </c>
      <c r="J677">
        <v>24.731000000000002</v>
      </c>
      <c r="K677">
        <v>57.376266630225402</v>
      </c>
      <c r="L677">
        <v>44.340167124151201</v>
      </c>
      <c r="M677">
        <v>-0.33456992578425099</v>
      </c>
      <c r="N677">
        <v>52.811000167407101</v>
      </c>
      <c r="O677">
        <v>12.2606554594296</v>
      </c>
      <c r="P677">
        <v>1.1351853478023199</v>
      </c>
      <c r="Q677">
        <v>7.53381418831255</v>
      </c>
      <c r="R677">
        <v>28.9658220302701</v>
      </c>
      <c r="S677">
        <v>-6.9370927900711701</v>
      </c>
      <c r="T677">
        <v>164.278496124951</v>
      </c>
      <c r="U677">
        <v>-0.28435660878970098</v>
      </c>
      <c r="V677">
        <v>35.591464533521702</v>
      </c>
    </row>
    <row r="678" spans="1:22" x14ac:dyDescent="0.25">
      <c r="A678" t="str">
        <f t="shared" si="10"/>
        <v>Greece2013</v>
      </c>
      <c r="B678" t="s">
        <v>103</v>
      </c>
      <c r="C678" t="s">
        <v>104</v>
      </c>
      <c r="D678">
        <v>2013</v>
      </c>
      <c r="E678">
        <v>21573.344976280499</v>
      </c>
      <c r="F678">
        <v>-2.2721169988802399</v>
      </c>
      <c r="G678">
        <v>-0.92126945425689899</v>
      </c>
      <c r="H678">
        <v>10</v>
      </c>
      <c r="I678">
        <v>20.2915184129021</v>
      </c>
      <c r="J678">
        <v>27.686</v>
      </c>
      <c r="K678">
        <v>61.354561233366297</v>
      </c>
      <c r="L678">
        <v>43.760762811225199</v>
      </c>
      <c r="M678">
        <v>-1.9603216018036</v>
      </c>
      <c r="N678">
        <v>53.732034447650697</v>
      </c>
      <c r="O678">
        <v>12.1129082926078</v>
      </c>
      <c r="P678">
        <v>0.78620987502589101</v>
      </c>
      <c r="Q678">
        <v>10.0691427056612</v>
      </c>
      <c r="R678">
        <v>30.327198444262901</v>
      </c>
      <c r="S678">
        <v>-4.05891960144604</v>
      </c>
      <c r="T678">
        <v>180.50954674476699</v>
      </c>
      <c r="U678">
        <v>-0.149855367273909</v>
      </c>
      <c r="V678">
        <v>38.1692924992782</v>
      </c>
    </row>
    <row r="679" spans="1:22" x14ac:dyDescent="0.25">
      <c r="A679" t="str">
        <f t="shared" si="10"/>
        <v>Greece2014</v>
      </c>
      <c r="B679" t="s">
        <v>103</v>
      </c>
      <c r="C679" t="s">
        <v>104</v>
      </c>
      <c r="D679">
        <v>2014</v>
      </c>
      <c r="E679">
        <v>21474.725712389201</v>
      </c>
      <c r="F679">
        <v>0.79222506096283496</v>
      </c>
      <c r="G679">
        <v>-1.3122609640552501</v>
      </c>
      <c r="H679">
        <v>10</v>
      </c>
      <c r="I679">
        <v>20.697067285256299</v>
      </c>
      <c r="J679">
        <v>26.707999999999998</v>
      </c>
      <c r="K679">
        <v>49.7478747922233</v>
      </c>
      <c r="L679">
        <v>43.194299954024999</v>
      </c>
      <c r="M679">
        <v>-1.92347455777482</v>
      </c>
      <c r="N679">
        <v>54.522104036871703</v>
      </c>
      <c r="O679">
        <v>12.136918450953001</v>
      </c>
      <c r="P679">
        <v>0.82904485778527304</v>
      </c>
      <c r="Q679">
        <v>10.367028790816001</v>
      </c>
      <c r="R679">
        <v>32.515045577162503</v>
      </c>
      <c r="S679">
        <v>-4.2924534195708803</v>
      </c>
      <c r="T679">
        <v>182.82359636512601</v>
      </c>
      <c r="U679">
        <v>-0.187722403518961</v>
      </c>
      <c r="V679">
        <v>37.443539309845001</v>
      </c>
    </row>
    <row r="680" spans="1:22" x14ac:dyDescent="0.25">
      <c r="A680" t="str">
        <f t="shared" si="10"/>
        <v>Greece2015</v>
      </c>
      <c r="B680" t="s">
        <v>103</v>
      </c>
      <c r="C680" t="s">
        <v>104</v>
      </c>
      <c r="D680">
        <v>2015</v>
      </c>
      <c r="E680">
        <v>17980.729823813701</v>
      </c>
      <c r="F680">
        <v>-0.22830189217285099</v>
      </c>
      <c r="G680">
        <v>-1.7358880476527501</v>
      </c>
      <c r="H680">
        <v>10</v>
      </c>
      <c r="I680">
        <v>21.0794802004731</v>
      </c>
      <c r="J680">
        <v>24.981000000000002</v>
      </c>
      <c r="K680">
        <v>52.211164098253398</v>
      </c>
      <c r="L680">
        <v>44.531659659463401</v>
      </c>
      <c r="M680">
        <v>-0.17475373264215899</v>
      </c>
      <c r="N680">
        <v>55.192463826398303</v>
      </c>
      <c r="O680">
        <v>12.0084097844243</v>
      </c>
      <c r="P680">
        <v>0.98585662013141195</v>
      </c>
      <c r="Q680">
        <v>10.050839714315799</v>
      </c>
      <c r="R680">
        <v>32.186359304618598</v>
      </c>
      <c r="S680">
        <v>-3.0308577241822499</v>
      </c>
      <c r="T680">
        <v>180.000548184991</v>
      </c>
      <c r="U680">
        <v>-9.1576529769737305E-2</v>
      </c>
      <c r="V680">
        <v>39.2862548071123</v>
      </c>
    </row>
    <row r="681" spans="1:22" x14ac:dyDescent="0.25">
      <c r="A681" t="str">
        <f t="shared" si="10"/>
        <v>Greece2016</v>
      </c>
      <c r="B681" t="s">
        <v>103</v>
      </c>
      <c r="C681" t="s">
        <v>104</v>
      </c>
      <c r="D681">
        <v>2016</v>
      </c>
      <c r="E681">
        <v>17919.2426377048</v>
      </c>
      <c r="F681">
        <v>-3.1794767841205399E-2</v>
      </c>
      <c r="G681">
        <v>-0.82565397839103305</v>
      </c>
      <c r="H681">
        <v>10</v>
      </c>
      <c r="I681">
        <v>21.398887699359602</v>
      </c>
      <c r="J681">
        <v>23.513999999999999</v>
      </c>
      <c r="K681">
        <v>48.855194452152098</v>
      </c>
      <c r="L681">
        <v>46.389132681432002</v>
      </c>
      <c r="M681">
        <v>-0.489961144384012</v>
      </c>
      <c r="N681">
        <v>55.851580185391001</v>
      </c>
      <c r="O681">
        <v>12.468086154063499</v>
      </c>
      <c r="P681">
        <v>1.1582382441003201</v>
      </c>
      <c r="Q681">
        <v>9.7031379037890506</v>
      </c>
      <c r="R681">
        <v>31.179360220915999</v>
      </c>
      <c r="S681">
        <v>0.280119000946986</v>
      </c>
      <c r="T681">
        <v>183.67481810461999</v>
      </c>
      <c r="U681">
        <v>7.00332903093836E-2</v>
      </c>
      <c r="V681">
        <v>42.383641188426097</v>
      </c>
    </row>
    <row r="682" spans="1:22" x14ac:dyDescent="0.25">
      <c r="A682" t="str">
        <f t="shared" si="10"/>
        <v>Greece2017</v>
      </c>
      <c r="B682" t="s">
        <v>103</v>
      </c>
      <c r="C682" t="s">
        <v>104</v>
      </c>
      <c r="D682">
        <v>2017</v>
      </c>
      <c r="E682">
        <v>18631.993012929299</v>
      </c>
      <c r="F682">
        <v>1.4731247270235199</v>
      </c>
      <c r="G682">
        <v>1.1212545203142501</v>
      </c>
      <c r="H682">
        <v>10</v>
      </c>
      <c r="I682">
        <v>21.656337426205098</v>
      </c>
      <c r="J682">
        <v>21.413</v>
      </c>
      <c r="K682">
        <v>47.670388743994998</v>
      </c>
      <c r="L682">
        <v>45.7146833789404</v>
      </c>
      <c r="M682">
        <v>0.20361353158619999</v>
      </c>
      <c r="N682">
        <v>56.436632254429</v>
      </c>
      <c r="O682">
        <v>11.8883016329317</v>
      </c>
      <c r="P682">
        <v>1.15456685638088</v>
      </c>
      <c r="Q682">
        <v>9.0546415385342591</v>
      </c>
      <c r="R682">
        <v>34.779359367186302</v>
      </c>
      <c r="S682">
        <v>1.0545313700984</v>
      </c>
      <c r="T682">
        <v>182.62305153859199</v>
      </c>
      <c r="U682">
        <v>0.170564646254146</v>
      </c>
      <c r="V682">
        <v>44.310408093097401</v>
      </c>
    </row>
    <row r="683" spans="1:22" x14ac:dyDescent="0.25">
      <c r="A683" t="str">
        <f t="shared" si="10"/>
        <v>Greece2018</v>
      </c>
      <c r="B683" t="s">
        <v>103</v>
      </c>
      <c r="C683" t="s">
        <v>104</v>
      </c>
      <c r="D683">
        <v>2018</v>
      </c>
      <c r="E683">
        <v>19873.401523877099</v>
      </c>
      <c r="F683">
        <v>2.0646720789240902</v>
      </c>
      <c r="G683">
        <v>0.62562141345363997</v>
      </c>
      <c r="H683">
        <v>10</v>
      </c>
      <c r="I683">
        <v>21.896633754839499</v>
      </c>
      <c r="J683">
        <v>19.178999999999998</v>
      </c>
      <c r="K683">
        <v>48.021861404971503</v>
      </c>
      <c r="L683">
        <v>45.667691177336302</v>
      </c>
      <c r="M683">
        <v>-0.23480045131741201</v>
      </c>
      <c r="N683">
        <v>56.900060448046503</v>
      </c>
      <c r="O683">
        <v>12.9530537485632</v>
      </c>
      <c r="P683">
        <v>0.94403656245044698</v>
      </c>
      <c r="Q683">
        <v>8.9583947808053708</v>
      </c>
      <c r="R683">
        <v>38.630810055580099</v>
      </c>
      <c r="S683">
        <v>0.77844838516253001</v>
      </c>
      <c r="T683">
        <v>189.55279168713099</v>
      </c>
      <c r="U683">
        <v>0.20963648902084001</v>
      </c>
      <c r="V683">
        <v>45.059252399830399</v>
      </c>
    </row>
    <row r="684" spans="1:22" x14ac:dyDescent="0.25">
      <c r="A684" t="str">
        <f t="shared" si="10"/>
        <v>Greece2019</v>
      </c>
      <c r="B684" t="s">
        <v>103</v>
      </c>
      <c r="C684" t="s">
        <v>104</v>
      </c>
      <c r="D684">
        <v>2019</v>
      </c>
      <c r="E684">
        <v>19335.360200296898</v>
      </c>
      <c r="F684">
        <v>2.2771806533480801</v>
      </c>
      <c r="G684">
        <v>0.25300752203805899</v>
      </c>
      <c r="H684">
        <v>10</v>
      </c>
      <c r="I684">
        <v>22.127385304138599</v>
      </c>
      <c r="J684">
        <v>17.045000000000002</v>
      </c>
      <c r="K684">
        <v>46.925926044928502</v>
      </c>
      <c r="L684">
        <v>44.116245808193902</v>
      </c>
      <c r="M684">
        <v>0.245015781395267</v>
      </c>
      <c r="N684">
        <v>57.289728647769103</v>
      </c>
      <c r="O684">
        <v>12.0996603246177</v>
      </c>
      <c r="P684">
        <v>1.0954805739583</v>
      </c>
      <c r="Q684">
        <v>9.4789669769546094</v>
      </c>
      <c r="R684">
        <v>39.560288553026297</v>
      </c>
      <c r="S684">
        <v>-8.5876766645048203E-2</v>
      </c>
      <c r="T684">
        <v>183.69058887856099</v>
      </c>
      <c r="U684">
        <v>0.219783546631942</v>
      </c>
      <c r="V684">
        <v>45.253729183726598</v>
      </c>
    </row>
    <row r="685" spans="1:22" x14ac:dyDescent="0.25">
      <c r="A685" t="str">
        <f t="shared" si="10"/>
        <v>Greece2020</v>
      </c>
      <c r="B685" t="s">
        <v>103</v>
      </c>
      <c r="C685" t="s">
        <v>104</v>
      </c>
      <c r="D685">
        <v>2020</v>
      </c>
      <c r="E685">
        <v>17886.733165236001</v>
      </c>
      <c r="F685">
        <v>-9.1962314972697801</v>
      </c>
      <c r="G685">
        <v>-1.24798355581405</v>
      </c>
      <c r="H685">
        <v>10</v>
      </c>
      <c r="I685">
        <v>22.393432734210801</v>
      </c>
      <c r="J685">
        <v>15.898999999999999</v>
      </c>
      <c r="K685">
        <v>58.069881757687803</v>
      </c>
      <c r="L685">
        <v>43.971715377622097</v>
      </c>
      <c r="M685">
        <v>-0.36395970293206398</v>
      </c>
      <c r="N685">
        <v>57.638519400842199</v>
      </c>
      <c r="O685">
        <v>13.5410023084822</v>
      </c>
      <c r="P685">
        <v>1.77867962182531</v>
      </c>
      <c r="Q685">
        <v>5.4882659633840198</v>
      </c>
      <c r="R685">
        <v>31.450432488411501</v>
      </c>
      <c r="S685">
        <v>-10.3671266249632</v>
      </c>
      <c r="T685">
        <v>209.926908036008</v>
      </c>
      <c r="U685">
        <v>-0.40470601045941001</v>
      </c>
      <c r="V685">
        <v>33.284868328238403</v>
      </c>
    </row>
    <row r="686" spans="1:22" x14ac:dyDescent="0.25">
      <c r="A686" t="str">
        <f t="shared" si="10"/>
        <v>Greece2021</v>
      </c>
      <c r="B686" t="s">
        <v>103</v>
      </c>
      <c r="C686" t="s">
        <v>104</v>
      </c>
      <c r="D686">
        <v>2021</v>
      </c>
      <c r="E686">
        <v>20654.7001960815</v>
      </c>
      <c r="F686">
        <v>8.6544978600213103</v>
      </c>
      <c r="G686">
        <v>1.22382501019854</v>
      </c>
      <c r="H686">
        <v>10</v>
      </c>
      <c r="I686">
        <v>22.838953336532601</v>
      </c>
      <c r="J686">
        <v>14.656000000000001</v>
      </c>
      <c r="K686">
        <v>54.832576218443101</v>
      </c>
      <c r="L686">
        <v>43.777424719660097</v>
      </c>
      <c r="M686">
        <v>1.3927564467398199</v>
      </c>
      <c r="N686">
        <v>58.382343883907403</v>
      </c>
      <c r="O686">
        <v>17.482966574190002</v>
      </c>
      <c r="P686">
        <v>1.53865073919357</v>
      </c>
      <c r="Q686">
        <v>9.9349549866625502</v>
      </c>
      <c r="R686">
        <v>40.260408549746998</v>
      </c>
      <c r="S686">
        <v>-7.7556879374924801</v>
      </c>
      <c r="T686">
        <v>197.80557842397599</v>
      </c>
      <c r="U686">
        <v>-1.521550807462E-2</v>
      </c>
      <c r="V686">
        <v>40.749777188028702</v>
      </c>
    </row>
    <row r="687" spans="1:22" x14ac:dyDescent="0.25">
      <c r="A687" t="str">
        <f t="shared" si="10"/>
        <v>Greece2022</v>
      </c>
      <c r="B687" t="s">
        <v>103</v>
      </c>
      <c r="C687" t="s">
        <v>104</v>
      </c>
      <c r="D687">
        <v>2022</v>
      </c>
      <c r="E687">
        <v>20886.524308762899</v>
      </c>
      <c r="F687">
        <v>5.5219858058940803</v>
      </c>
      <c r="G687">
        <v>9.6452598128064206</v>
      </c>
      <c r="H687">
        <v>10</v>
      </c>
      <c r="I687">
        <v>23.228174267801698</v>
      </c>
      <c r="J687">
        <v>12.426</v>
      </c>
      <c r="K687">
        <v>50.801255843100897</v>
      </c>
      <c r="L687">
        <v>45.2662217583919</v>
      </c>
      <c r="M687">
        <v>6.2854124342547797</v>
      </c>
      <c r="N687">
        <v>58.922929806342403</v>
      </c>
      <c r="O687">
        <v>18.8094114631783</v>
      </c>
      <c r="P687">
        <v>1.0417867499662301</v>
      </c>
      <c r="Q687">
        <v>7.6852483652489498</v>
      </c>
      <c r="R687">
        <v>49.231620558950297</v>
      </c>
      <c r="S687">
        <v>-2.5718725831329698</v>
      </c>
      <c r="T687">
        <v>179.16964538408999</v>
      </c>
      <c r="U687">
        <v>0.271508431110146</v>
      </c>
      <c r="V687">
        <v>46.2450795402791</v>
      </c>
    </row>
    <row r="688" spans="1:22" x14ac:dyDescent="0.25">
      <c r="A688" t="str">
        <f t="shared" si="10"/>
        <v>Greece2023</v>
      </c>
      <c r="B688" t="s">
        <v>103</v>
      </c>
      <c r="C688" t="s">
        <v>104</v>
      </c>
      <c r="D688">
        <v>2023</v>
      </c>
      <c r="E688">
        <v>23343.710396456201</v>
      </c>
      <c r="F688">
        <v>2.13591131996631</v>
      </c>
      <c r="G688">
        <v>3.4648012851340502</v>
      </c>
      <c r="H688">
        <v>10</v>
      </c>
      <c r="I688">
        <v>23.4829980176041</v>
      </c>
      <c r="J688">
        <v>11.023</v>
      </c>
      <c r="K688">
        <v>47.301961007893503</v>
      </c>
      <c r="L688">
        <v>43.4063064252109</v>
      </c>
      <c r="M688">
        <v>6.2697110407991703</v>
      </c>
      <c r="N688">
        <v>58.906245109258698</v>
      </c>
      <c r="O688">
        <v>16.168282575553299</v>
      </c>
      <c r="P688">
        <v>1.20048027287353</v>
      </c>
      <c r="Q688">
        <v>9.1249607098820604</v>
      </c>
      <c r="R688">
        <v>43.838838465612298</v>
      </c>
      <c r="S688">
        <v>-1.4397857990388301</v>
      </c>
      <c r="T688">
        <v>165.53465448629399</v>
      </c>
      <c r="U688">
        <v>0.34548856125657701</v>
      </c>
      <c r="V688">
        <v>47.662970157886399</v>
      </c>
    </row>
    <row r="689" spans="1:22" x14ac:dyDescent="0.25">
      <c r="A689" t="str">
        <f t="shared" si="10"/>
        <v>Greece2024</v>
      </c>
      <c r="B689" t="s">
        <v>103</v>
      </c>
      <c r="C689" t="s">
        <v>104</v>
      </c>
      <c r="D689">
        <v>2024</v>
      </c>
      <c r="E689">
        <v>24626.148185897298</v>
      </c>
      <c r="F689">
        <v>2.0865743380602999</v>
      </c>
      <c r="G689">
        <v>2.7410187567947699</v>
      </c>
      <c r="H689">
        <v>10</v>
      </c>
      <c r="I689">
        <v>23.939763430193999</v>
      </c>
      <c r="J689">
        <v>10.02</v>
      </c>
      <c r="K689">
        <v>50.939951610329402</v>
      </c>
      <c r="L689">
        <v>44.763796397245997</v>
      </c>
      <c r="M689">
        <v>3.2093640638463801</v>
      </c>
      <c r="N689">
        <v>59.1322060504029</v>
      </c>
      <c r="O689">
        <v>18.292553560717501</v>
      </c>
      <c r="P689">
        <v>1.2946773799263001</v>
      </c>
      <c r="Q689">
        <v>10.775439055052599</v>
      </c>
      <c r="R689">
        <v>42.111678322050203</v>
      </c>
      <c r="S689">
        <v>1.22879494457961</v>
      </c>
      <c r="T689">
        <v>155.373223211826</v>
      </c>
      <c r="U689">
        <v>0.556346359667935</v>
      </c>
      <c r="V689">
        <v>51.704234932968802</v>
      </c>
    </row>
    <row r="690" spans="1:22" x14ac:dyDescent="0.25">
      <c r="A690" t="str">
        <f t="shared" si="10"/>
        <v>Greece2025</v>
      </c>
      <c r="B690" t="s">
        <v>103</v>
      </c>
      <c r="C690" t="s">
        <v>104</v>
      </c>
      <c r="D690">
        <v>2025</v>
      </c>
      <c r="E690">
        <v>20886.524308762899</v>
      </c>
      <c r="F690">
        <v>0.79222506096283496</v>
      </c>
      <c r="G690">
        <v>1.1212545203142501</v>
      </c>
      <c r="H690">
        <v>10</v>
      </c>
      <c r="I690">
        <v>21.656337426205098</v>
      </c>
      <c r="J690">
        <v>8.5399999999999991</v>
      </c>
      <c r="K690">
        <v>50.939951610329402</v>
      </c>
      <c r="L690">
        <v>44.116245808193902</v>
      </c>
      <c r="M690">
        <v>0.20361353158619999</v>
      </c>
      <c r="N690">
        <v>56.436632254429</v>
      </c>
      <c r="O690">
        <v>12.9530537485632</v>
      </c>
      <c r="P690">
        <v>1.0954805739583</v>
      </c>
      <c r="Q690">
        <v>9.1249607098820604</v>
      </c>
      <c r="R690">
        <v>32.515045577162503</v>
      </c>
      <c r="S690">
        <v>1.2587194724467501</v>
      </c>
      <c r="T690">
        <v>145.677779406165</v>
      </c>
      <c r="U690">
        <v>0.52756043734146896</v>
      </c>
      <c r="V690">
        <v>51.152528831545602</v>
      </c>
    </row>
    <row r="691" spans="1:22" x14ac:dyDescent="0.25">
      <c r="A691" t="str">
        <f t="shared" si="10"/>
        <v>Guatemala2010</v>
      </c>
      <c r="B691" t="s">
        <v>105</v>
      </c>
      <c r="C691" t="s">
        <v>106</v>
      </c>
      <c r="D691">
        <v>2010</v>
      </c>
      <c r="E691">
        <v>2805.2596023732199</v>
      </c>
      <c r="F691">
        <v>2.8841754280037701</v>
      </c>
      <c r="G691">
        <v>3.8595090983315998</v>
      </c>
      <c r="H691">
        <v>16</v>
      </c>
      <c r="I691">
        <v>3.89839389177153</v>
      </c>
      <c r="J691">
        <v>3.4969999999999999</v>
      </c>
      <c r="K691">
        <v>12.857810922104299</v>
      </c>
      <c r="L691">
        <v>11.2508952061192</v>
      </c>
      <c r="M691">
        <v>5.1375729884662196</v>
      </c>
      <c r="N691">
        <v>75.988153781883696</v>
      </c>
      <c r="O691">
        <v>14.1641936924863</v>
      </c>
      <c r="P691">
        <v>4.5320607469976402</v>
      </c>
      <c r="Q691">
        <v>11.647159011479401</v>
      </c>
      <c r="R691">
        <v>26.225464334159401</v>
      </c>
      <c r="S691">
        <v>-3.2772540459611399</v>
      </c>
      <c r="T691">
        <v>24.005979174132399</v>
      </c>
      <c r="U691">
        <v>-0.33357871605378098</v>
      </c>
      <c r="V691">
        <v>34.648081980254297</v>
      </c>
    </row>
    <row r="692" spans="1:22" x14ac:dyDescent="0.25">
      <c r="A692" t="str">
        <f t="shared" si="10"/>
        <v>Guatemala2011</v>
      </c>
      <c r="B692" t="s">
        <v>105</v>
      </c>
      <c r="C692" t="s">
        <v>106</v>
      </c>
      <c r="D692">
        <v>2011</v>
      </c>
      <c r="E692">
        <v>3168.9837060770501</v>
      </c>
      <c r="F692">
        <v>4.1639068829334898</v>
      </c>
      <c r="G692">
        <v>6.2141239306709997</v>
      </c>
      <c r="H692">
        <v>16</v>
      </c>
      <c r="I692">
        <v>3.9346813275752699</v>
      </c>
      <c r="J692">
        <v>3.169</v>
      </c>
      <c r="K692">
        <v>12.7453111287762</v>
      </c>
      <c r="L692">
        <v>11.5886315232722</v>
      </c>
      <c r="M692">
        <v>6.8946434031646797</v>
      </c>
      <c r="N692">
        <v>74.249917157780899</v>
      </c>
      <c r="O692">
        <v>15.482175424239699</v>
      </c>
      <c r="P692">
        <v>3.96017335788336</v>
      </c>
      <c r="Q692">
        <v>11.128842900003599</v>
      </c>
      <c r="R692">
        <v>27.067705784877202</v>
      </c>
      <c r="S692">
        <v>-2.8041107620494099</v>
      </c>
      <c r="T692">
        <v>23.768664088337601</v>
      </c>
      <c r="U692">
        <v>-0.29051616105884498</v>
      </c>
      <c r="V692">
        <v>35.4734116002031</v>
      </c>
    </row>
    <row r="693" spans="1:22" x14ac:dyDescent="0.25">
      <c r="A693" t="str">
        <f t="shared" si="10"/>
        <v>Guatemala2012</v>
      </c>
      <c r="B693" t="s">
        <v>105</v>
      </c>
      <c r="C693" t="s">
        <v>106</v>
      </c>
      <c r="D693">
        <v>2012</v>
      </c>
      <c r="E693">
        <v>3286.61959336267</v>
      </c>
      <c r="F693">
        <v>2.9747085684766099</v>
      </c>
      <c r="G693">
        <v>3.78180754679678</v>
      </c>
      <c r="H693">
        <v>16</v>
      </c>
      <c r="I693">
        <v>3.97674988608911</v>
      </c>
      <c r="J693">
        <v>2.7650000000000001</v>
      </c>
      <c r="K693">
        <v>13.1714004750496</v>
      </c>
      <c r="L693">
        <v>11.653628765346401</v>
      </c>
      <c r="M693">
        <v>3.3777508441259299</v>
      </c>
      <c r="N693">
        <v>72.597273242612204</v>
      </c>
      <c r="O693">
        <v>15.1941445941618</v>
      </c>
      <c r="P693">
        <v>4.1454045321719502</v>
      </c>
      <c r="Q693">
        <v>11.558543262384401</v>
      </c>
      <c r="R693">
        <v>25.267092636425001</v>
      </c>
      <c r="S693">
        <v>-2.4162495226093501</v>
      </c>
      <c r="T693">
        <v>24.556945204290301</v>
      </c>
      <c r="U693">
        <v>-0.25907164598902799</v>
      </c>
      <c r="V693">
        <v>36.076071838897697</v>
      </c>
    </row>
    <row r="694" spans="1:22" x14ac:dyDescent="0.25">
      <c r="A694" t="str">
        <f t="shared" si="10"/>
        <v>Guatemala2013</v>
      </c>
      <c r="B694" t="s">
        <v>105</v>
      </c>
      <c r="C694" t="s">
        <v>106</v>
      </c>
      <c r="D694">
        <v>2013</v>
      </c>
      <c r="E694">
        <v>3444.1580227586401</v>
      </c>
      <c r="F694">
        <v>3.6948189497805299</v>
      </c>
      <c r="G694">
        <v>4.3433713127952096</v>
      </c>
      <c r="H694">
        <v>16</v>
      </c>
      <c r="I694">
        <v>4.0290141163147899</v>
      </c>
      <c r="J694">
        <v>3.0169999999999999</v>
      </c>
      <c r="K694">
        <v>13.0331026352429</v>
      </c>
      <c r="L694">
        <v>11.674813771078499</v>
      </c>
      <c r="M694">
        <v>3.3583957072049899</v>
      </c>
      <c r="N694">
        <v>71.038161227197193</v>
      </c>
      <c r="O694">
        <v>15.8426344411704</v>
      </c>
      <c r="P694">
        <v>4.3023485070807501</v>
      </c>
      <c r="Q694">
        <v>11.5993228029366</v>
      </c>
      <c r="R694">
        <v>21.998166467001099</v>
      </c>
      <c r="S694">
        <v>-2.1638208185382601</v>
      </c>
      <c r="T694">
        <v>25.035442918136798</v>
      </c>
      <c r="U694">
        <v>-0.251348869318887</v>
      </c>
      <c r="V694">
        <v>36.224085265756997</v>
      </c>
    </row>
    <row r="695" spans="1:22" x14ac:dyDescent="0.25">
      <c r="A695" t="str">
        <f t="shared" si="10"/>
        <v>Guatemala2014</v>
      </c>
      <c r="B695" t="s">
        <v>105</v>
      </c>
      <c r="C695" t="s">
        <v>106</v>
      </c>
      <c r="D695">
        <v>2014</v>
      </c>
      <c r="E695">
        <v>3689.14510410202</v>
      </c>
      <c r="F695">
        <v>4.44397783368888</v>
      </c>
      <c r="G695">
        <v>3.4183616966296002</v>
      </c>
      <c r="H695">
        <v>16</v>
      </c>
      <c r="I695">
        <v>4.0897031417143204</v>
      </c>
      <c r="J695">
        <v>2.7170000000000001</v>
      </c>
      <c r="K695">
        <v>13.2836096667991</v>
      </c>
      <c r="L695">
        <v>12.275476650170599</v>
      </c>
      <c r="M695">
        <v>2.86037257877341</v>
      </c>
      <c r="N695">
        <v>69.587181744044699</v>
      </c>
      <c r="O695">
        <v>15.0711607830911</v>
      </c>
      <c r="P695">
        <v>4.1360700296103898</v>
      </c>
      <c r="Q695">
        <v>11.770238418106601</v>
      </c>
      <c r="R695">
        <v>21.744360688521301</v>
      </c>
      <c r="S695">
        <v>-1.9212819857622201</v>
      </c>
      <c r="T695">
        <v>24.696865582644001</v>
      </c>
      <c r="U695">
        <v>-0.193622633949384</v>
      </c>
      <c r="V695">
        <v>37.330456494872102</v>
      </c>
    </row>
    <row r="696" spans="1:22" x14ac:dyDescent="0.25">
      <c r="A696" t="str">
        <f t="shared" si="10"/>
        <v>Guatemala2015</v>
      </c>
      <c r="B696" t="s">
        <v>105</v>
      </c>
      <c r="C696" t="s">
        <v>106</v>
      </c>
      <c r="D696">
        <v>2015</v>
      </c>
      <c r="E696">
        <v>3893.50533299068</v>
      </c>
      <c r="F696">
        <v>4.0921708162124402</v>
      </c>
      <c r="G696">
        <v>2.3887203283954999</v>
      </c>
      <c r="H696">
        <v>16</v>
      </c>
      <c r="I696">
        <v>4.1518856144880401</v>
      </c>
      <c r="J696">
        <v>2.5059999999999998</v>
      </c>
      <c r="K696">
        <v>12.735810393383799</v>
      </c>
      <c r="L696">
        <v>11.668413076631101</v>
      </c>
      <c r="M696">
        <v>2.2316139537543802</v>
      </c>
      <c r="N696">
        <v>68.248408240469701</v>
      </c>
      <c r="O696">
        <v>14.828154661950199</v>
      </c>
      <c r="P696">
        <v>4.4865595942514904</v>
      </c>
      <c r="Q696">
        <v>13.574956588487</v>
      </c>
      <c r="R696">
        <v>19.829907109393201</v>
      </c>
      <c r="S696">
        <v>-1.4721121715590999</v>
      </c>
      <c r="T696">
        <v>24.770396593548998</v>
      </c>
      <c r="U696">
        <v>-0.15843689960458099</v>
      </c>
      <c r="V696">
        <v>38.004820307187302</v>
      </c>
    </row>
    <row r="697" spans="1:22" x14ac:dyDescent="0.25">
      <c r="A697" t="str">
        <f t="shared" si="10"/>
        <v>Guatemala2016</v>
      </c>
      <c r="B697" t="s">
        <v>105</v>
      </c>
      <c r="C697" t="s">
        <v>106</v>
      </c>
      <c r="D697">
        <v>2016</v>
      </c>
      <c r="E697">
        <v>4060.1378473764298</v>
      </c>
      <c r="F697">
        <v>2.6778027762331398</v>
      </c>
      <c r="G697">
        <v>4.4484419994282698</v>
      </c>
      <c r="H697">
        <v>16</v>
      </c>
      <c r="I697">
        <v>4.2159974085302103</v>
      </c>
      <c r="J697">
        <v>2.5830000000000002</v>
      </c>
      <c r="K697">
        <v>12.7960643449342</v>
      </c>
      <c r="L697">
        <v>11.978484702685501</v>
      </c>
      <c r="M697">
        <v>2.7071954204395299</v>
      </c>
      <c r="N697">
        <v>66.955722882045805</v>
      </c>
      <c r="O697">
        <v>13.861967741661701</v>
      </c>
      <c r="P697">
        <v>5.3925277466057704</v>
      </c>
      <c r="Q697">
        <v>14.823322228461</v>
      </c>
      <c r="R697">
        <v>18.753087949948</v>
      </c>
      <c r="S697">
        <v>-1.11008895539326</v>
      </c>
      <c r="T697">
        <v>24.906236575852699</v>
      </c>
      <c r="U697">
        <v>-0.117156379589168</v>
      </c>
      <c r="V697">
        <v>38.795995747186502</v>
      </c>
    </row>
    <row r="698" spans="1:22" x14ac:dyDescent="0.25">
      <c r="A698" t="str">
        <f t="shared" si="10"/>
        <v>Guatemala2017</v>
      </c>
      <c r="B698" t="s">
        <v>105</v>
      </c>
      <c r="C698" t="s">
        <v>106</v>
      </c>
      <c r="D698">
        <v>2017</v>
      </c>
      <c r="E698">
        <v>4324.99768915601</v>
      </c>
      <c r="F698">
        <v>3.0798512694870199</v>
      </c>
      <c r="G698">
        <v>4.4245365518254598</v>
      </c>
      <c r="H698">
        <v>16</v>
      </c>
      <c r="I698">
        <v>4.28938967150886</v>
      </c>
      <c r="J698">
        <v>2.4620000000000002</v>
      </c>
      <c r="K698">
        <v>12.8935207223026</v>
      </c>
      <c r="L698">
        <v>11.8855616228225</v>
      </c>
      <c r="M698">
        <v>1.74794490810982</v>
      </c>
      <c r="N698">
        <v>65.720876738221094</v>
      </c>
      <c r="O698">
        <v>13.596101412475299</v>
      </c>
      <c r="P698">
        <v>6.4102069780357303</v>
      </c>
      <c r="Q698">
        <v>14.7835172737408</v>
      </c>
      <c r="R698">
        <v>18.4950394164293</v>
      </c>
      <c r="S698">
        <v>-1.38418133771236</v>
      </c>
      <c r="T698">
        <v>25.069585318701101</v>
      </c>
      <c r="U698">
        <v>-9.8277589382146299E-2</v>
      </c>
      <c r="V698">
        <v>39.1578234359636</v>
      </c>
    </row>
    <row r="699" spans="1:22" x14ac:dyDescent="0.25">
      <c r="A699" t="str">
        <f t="shared" si="10"/>
        <v>Guatemala2018</v>
      </c>
      <c r="B699" t="s">
        <v>105</v>
      </c>
      <c r="C699" t="s">
        <v>106</v>
      </c>
      <c r="D699">
        <v>2018</v>
      </c>
      <c r="E699">
        <v>4352.9459328970697</v>
      </c>
      <c r="F699">
        <v>3.4068734834657599</v>
      </c>
      <c r="G699">
        <v>3.7518618670450801</v>
      </c>
      <c r="H699">
        <v>16</v>
      </c>
      <c r="I699">
        <v>4.3743308746423804</v>
      </c>
      <c r="J699">
        <v>2.2829999999999999</v>
      </c>
      <c r="K699">
        <v>12.9824525839374</v>
      </c>
      <c r="L699">
        <v>11.778377806936501</v>
      </c>
      <c r="M699">
        <v>1.27156078337083</v>
      </c>
      <c r="N699">
        <v>64.580067755967505</v>
      </c>
      <c r="O699">
        <v>13.790425432155301</v>
      </c>
      <c r="P699">
        <v>6.40479889833294</v>
      </c>
      <c r="Q699">
        <v>14.666379332761601</v>
      </c>
      <c r="R699">
        <v>18.169325848880199</v>
      </c>
      <c r="S699">
        <v>-1.8805255624880299</v>
      </c>
      <c r="T699">
        <v>26.404910006355401</v>
      </c>
      <c r="U699">
        <v>-0.109921043608717</v>
      </c>
      <c r="V699">
        <v>38.934666968521398</v>
      </c>
    </row>
    <row r="700" spans="1:22" x14ac:dyDescent="0.25">
      <c r="A700" t="str">
        <f t="shared" si="10"/>
        <v>Guatemala2019</v>
      </c>
      <c r="B700" t="s">
        <v>105</v>
      </c>
      <c r="C700" t="s">
        <v>106</v>
      </c>
      <c r="D700">
        <v>2019</v>
      </c>
      <c r="E700">
        <v>4511.9983955269699</v>
      </c>
      <c r="F700">
        <v>4.0178978504032399</v>
      </c>
      <c r="G700">
        <v>3.6999839800860501</v>
      </c>
      <c r="H700">
        <v>16</v>
      </c>
      <c r="I700">
        <v>4.4687460580768503</v>
      </c>
      <c r="J700">
        <v>2.1930000000000001</v>
      </c>
      <c r="K700">
        <v>13.1269464202505</v>
      </c>
      <c r="L700">
        <v>11.716247736985199</v>
      </c>
      <c r="M700">
        <v>3.56581624580163</v>
      </c>
      <c r="N700">
        <v>63.450285467895199</v>
      </c>
      <c r="O700">
        <v>14.329834037280801</v>
      </c>
      <c r="P700">
        <v>7.4103673669698003</v>
      </c>
      <c r="Q700">
        <v>16.671270187115699</v>
      </c>
      <c r="R700">
        <v>17.611972774527398</v>
      </c>
      <c r="S700">
        <v>-2.23604215827203</v>
      </c>
      <c r="T700">
        <v>26.414220911589201</v>
      </c>
      <c r="U700">
        <v>-8.5651225707228204E-2</v>
      </c>
      <c r="V700">
        <v>39.399818179061903</v>
      </c>
    </row>
    <row r="701" spans="1:22" x14ac:dyDescent="0.25">
      <c r="A701" t="str">
        <f t="shared" si="10"/>
        <v>Guatemala2020</v>
      </c>
      <c r="B701" t="s">
        <v>105</v>
      </c>
      <c r="C701" t="s">
        <v>106</v>
      </c>
      <c r="D701">
        <v>2020</v>
      </c>
      <c r="E701">
        <v>4477.6178500066499</v>
      </c>
      <c r="F701">
        <v>-1.7855517506332601</v>
      </c>
      <c r="G701">
        <v>3.2144406219734498</v>
      </c>
      <c r="H701">
        <v>16</v>
      </c>
      <c r="I701">
        <v>4.5451213091556104</v>
      </c>
      <c r="J701">
        <v>2.9649999999999999</v>
      </c>
      <c r="K701">
        <v>14.998014218979501</v>
      </c>
      <c r="L701">
        <v>11.118681180436001</v>
      </c>
      <c r="M701">
        <v>2.8723079204157198</v>
      </c>
      <c r="N701">
        <v>62.205453840156501</v>
      </c>
      <c r="O701">
        <v>13.500682373978901</v>
      </c>
      <c r="P701">
        <v>10.2173613767766</v>
      </c>
      <c r="Q701">
        <v>18.5257911063553</v>
      </c>
      <c r="R701">
        <v>16.343611807596702</v>
      </c>
      <c r="S701">
        <v>-4.9095622537322496</v>
      </c>
      <c r="T701">
        <v>31.4914979846614</v>
      </c>
      <c r="U701">
        <v>-0.22969029293638399</v>
      </c>
      <c r="V701">
        <v>36.639189864555298</v>
      </c>
    </row>
    <row r="702" spans="1:22" x14ac:dyDescent="0.25">
      <c r="A702" t="str">
        <f t="shared" si="10"/>
        <v>Guatemala2021</v>
      </c>
      <c r="B702" t="s">
        <v>105</v>
      </c>
      <c r="C702" t="s">
        <v>106</v>
      </c>
      <c r="D702">
        <v>2021</v>
      </c>
      <c r="E702">
        <v>4912.6224041468104</v>
      </c>
      <c r="F702">
        <v>8.0417037818492805</v>
      </c>
      <c r="G702">
        <v>4.2610512742281301</v>
      </c>
      <c r="H702">
        <v>16</v>
      </c>
      <c r="I702">
        <v>4.5768111594693002</v>
      </c>
      <c r="J702">
        <v>2.1739999999999999</v>
      </c>
      <c r="K702">
        <v>13.2756802646156</v>
      </c>
      <c r="L702">
        <v>12.659667383499199</v>
      </c>
      <c r="M702">
        <v>3.1305506019094498</v>
      </c>
      <c r="N702">
        <v>60.883262012090903</v>
      </c>
      <c r="O702">
        <v>16.768242687673599</v>
      </c>
      <c r="P702">
        <v>8.2394387621782901</v>
      </c>
      <c r="Q702">
        <v>18.925158785416599</v>
      </c>
      <c r="R702">
        <v>17.6296569856584</v>
      </c>
      <c r="S702">
        <v>-1.1621119679132099</v>
      </c>
      <c r="T702">
        <v>30.585016810212501</v>
      </c>
      <c r="U702">
        <v>3.5776259924587203E-2</v>
      </c>
      <c r="V702">
        <v>41.727076758577901</v>
      </c>
    </row>
    <row r="703" spans="1:22" x14ac:dyDescent="0.25">
      <c r="A703" t="str">
        <f t="shared" si="10"/>
        <v>Guatemala2022</v>
      </c>
      <c r="B703" t="s">
        <v>105</v>
      </c>
      <c r="C703" t="s">
        <v>106</v>
      </c>
      <c r="D703">
        <v>2022</v>
      </c>
      <c r="E703">
        <v>5358.7015699767699</v>
      </c>
      <c r="F703">
        <v>4.1845181724369498</v>
      </c>
      <c r="G703">
        <v>6.8851282334428703</v>
      </c>
      <c r="H703">
        <v>16</v>
      </c>
      <c r="I703">
        <v>4.6298923956053697</v>
      </c>
      <c r="J703">
        <v>3.0510000000000002</v>
      </c>
      <c r="K703">
        <v>13.993248512979999</v>
      </c>
      <c r="L703">
        <v>12.8936854888585</v>
      </c>
      <c r="M703">
        <v>6.37205349842485</v>
      </c>
      <c r="N703">
        <v>59.601431844317801</v>
      </c>
      <c r="O703">
        <v>16.5685319618267</v>
      </c>
      <c r="P703">
        <v>6.5418647863872001</v>
      </c>
      <c r="Q703">
        <v>17.7185345838156</v>
      </c>
      <c r="R703">
        <v>18.945499982306298</v>
      </c>
      <c r="S703">
        <v>-1.69514017556334</v>
      </c>
      <c r="T703">
        <v>28.983244083764799</v>
      </c>
      <c r="U703">
        <v>-3.75052182365486E-2</v>
      </c>
      <c r="V703">
        <v>40.322576386337303</v>
      </c>
    </row>
    <row r="704" spans="1:22" x14ac:dyDescent="0.25">
      <c r="A704" t="str">
        <f t="shared" si="10"/>
        <v>Guatemala2023</v>
      </c>
      <c r="B704" t="s">
        <v>105</v>
      </c>
      <c r="C704" t="s">
        <v>106</v>
      </c>
      <c r="D704">
        <v>2023</v>
      </c>
      <c r="E704">
        <v>5758.3276084785202</v>
      </c>
      <c r="F704">
        <v>3.5331575177532999</v>
      </c>
      <c r="G704">
        <v>6.2065759227212602</v>
      </c>
      <c r="H704">
        <v>16</v>
      </c>
      <c r="I704">
        <v>4.734740380431</v>
      </c>
      <c r="J704">
        <v>2.3439999999999999</v>
      </c>
      <c r="K704">
        <v>13.500801735152899</v>
      </c>
      <c r="L704">
        <v>12.849893602360099</v>
      </c>
      <c r="M704">
        <v>6.5400402422795203</v>
      </c>
      <c r="N704">
        <v>58.409541749655801</v>
      </c>
      <c r="O704">
        <v>16.475443704997598</v>
      </c>
      <c r="P704">
        <v>6.9258861388040298</v>
      </c>
      <c r="Q704">
        <v>19.524637265252199</v>
      </c>
      <c r="R704">
        <v>16.606237796627401</v>
      </c>
      <c r="S704">
        <v>-1.2515808289193699</v>
      </c>
      <c r="T704">
        <v>27.207969046210899</v>
      </c>
      <c r="U704">
        <v>1.55021169265396E-2</v>
      </c>
      <c r="V704">
        <v>41.338505975043702</v>
      </c>
    </row>
    <row r="705" spans="1:22" x14ac:dyDescent="0.25">
      <c r="A705" t="str">
        <f t="shared" si="10"/>
        <v>Guatemala2024</v>
      </c>
      <c r="B705" t="s">
        <v>105</v>
      </c>
      <c r="C705" t="s">
        <v>106</v>
      </c>
      <c r="D705">
        <v>2024</v>
      </c>
      <c r="E705">
        <v>6150.0257143850504</v>
      </c>
      <c r="F705">
        <v>3.6518638289481902</v>
      </c>
      <c r="G705">
        <v>2.8699275291829398</v>
      </c>
      <c r="H705">
        <v>16</v>
      </c>
      <c r="I705">
        <v>4.8493349499485499</v>
      </c>
      <c r="J705">
        <v>2.613</v>
      </c>
      <c r="K705">
        <v>13.0800245277467</v>
      </c>
      <c r="L705">
        <v>12.778829852386901</v>
      </c>
      <c r="M705">
        <v>3.65872328966771</v>
      </c>
      <c r="N705">
        <v>57.298146386118702</v>
      </c>
      <c r="O705">
        <v>16.683613274986499</v>
      </c>
      <c r="P705">
        <v>7.3853321065689901</v>
      </c>
      <c r="Q705">
        <v>19.583595528434099</v>
      </c>
      <c r="R705">
        <v>15.892871947237101</v>
      </c>
      <c r="S705">
        <v>-0.96033689729833804</v>
      </c>
      <c r="T705">
        <v>26.321709138643101</v>
      </c>
      <c r="U705">
        <v>3.8165914279447703E-2</v>
      </c>
      <c r="V705">
        <v>41.772876468342901</v>
      </c>
    </row>
    <row r="706" spans="1:22" x14ac:dyDescent="0.25">
      <c r="A706" t="str">
        <f t="shared" si="10"/>
        <v>Guatemala2025</v>
      </c>
      <c r="B706" t="s">
        <v>105</v>
      </c>
      <c r="C706" t="s">
        <v>106</v>
      </c>
      <c r="D706">
        <v>2025</v>
      </c>
      <c r="E706">
        <v>4324.99768915601</v>
      </c>
      <c r="F706">
        <v>3.6518638289481902</v>
      </c>
      <c r="G706">
        <v>3.8595090983315998</v>
      </c>
      <c r="H706">
        <v>16</v>
      </c>
      <c r="I706">
        <v>4.28938967150886</v>
      </c>
      <c r="J706">
        <v>2.6040000000000001</v>
      </c>
      <c r="K706">
        <v>13.0800245277467</v>
      </c>
      <c r="L706">
        <v>11.778377806936501</v>
      </c>
      <c r="M706">
        <v>3.3583957072049899</v>
      </c>
      <c r="N706">
        <v>65.720876738221094</v>
      </c>
      <c r="O706">
        <v>15.0711607830911</v>
      </c>
      <c r="P706">
        <v>6.40479889833294</v>
      </c>
      <c r="Q706">
        <v>14.7835172737408</v>
      </c>
      <c r="R706">
        <v>18.753087949948</v>
      </c>
      <c r="S706">
        <v>-1.9127652212564901</v>
      </c>
      <c r="T706">
        <v>27.178842249966898</v>
      </c>
      <c r="U706">
        <v>-0.13766856525181201</v>
      </c>
      <c r="V706">
        <v>38.402862678346096</v>
      </c>
    </row>
    <row r="707" spans="1:22" x14ac:dyDescent="0.25">
      <c r="A707" t="str">
        <f t="shared" si="10"/>
        <v>Honduras2010</v>
      </c>
      <c r="B707" t="s">
        <v>107</v>
      </c>
      <c r="C707" t="s">
        <v>108</v>
      </c>
      <c r="D707">
        <v>2010</v>
      </c>
      <c r="E707">
        <v>1893.3272266203501</v>
      </c>
      <c r="F707">
        <v>3.7311403443300901</v>
      </c>
      <c r="G707">
        <v>4.6988906497622596</v>
      </c>
      <c r="H707">
        <v>9</v>
      </c>
      <c r="I707">
        <v>3.04945297131114</v>
      </c>
      <c r="J707">
        <v>4.1189999999999998</v>
      </c>
      <c r="K707">
        <v>22.748006923143699</v>
      </c>
      <c r="L707">
        <v>20.554920711292901</v>
      </c>
      <c r="M707">
        <v>4.6760432949900901</v>
      </c>
      <c r="N707">
        <v>69.832783523990301</v>
      </c>
      <c r="O707">
        <v>21.879840687502899</v>
      </c>
      <c r="P707">
        <v>3.7356142740799299</v>
      </c>
      <c r="Q707">
        <v>17.547218684468199</v>
      </c>
      <c r="R707">
        <v>45.758906196748299</v>
      </c>
      <c r="S707">
        <v>-3.3712802192947802</v>
      </c>
      <c r="T707">
        <v>21.816259701422702</v>
      </c>
      <c r="U707">
        <v>-0.44213373622576602</v>
      </c>
      <c r="V707">
        <v>32.567534888874903</v>
      </c>
    </row>
    <row r="708" spans="1:22" x14ac:dyDescent="0.25">
      <c r="A708" t="str">
        <f t="shared" ref="A708:A771" si="11">C708&amp;D708</f>
        <v>Honduras2011</v>
      </c>
      <c r="B708" t="s">
        <v>107</v>
      </c>
      <c r="C708" t="s">
        <v>108</v>
      </c>
      <c r="D708">
        <v>2011</v>
      </c>
      <c r="E708">
        <v>2073.6612108807399</v>
      </c>
      <c r="F708">
        <v>3.8356906620750499</v>
      </c>
      <c r="G708">
        <v>6.7622795731476</v>
      </c>
      <c r="H708">
        <v>12</v>
      </c>
      <c r="I708">
        <v>3.0914048841864799</v>
      </c>
      <c r="J708">
        <v>4.4740000000000002</v>
      </c>
      <c r="K708">
        <v>22.504152374220901</v>
      </c>
      <c r="L708">
        <v>20.895130571552599</v>
      </c>
      <c r="M708">
        <v>7.8072052366428002</v>
      </c>
      <c r="N708">
        <v>68.155641640291606</v>
      </c>
      <c r="O708">
        <v>25.999991642484598</v>
      </c>
      <c r="P708">
        <v>3.0822637785576101</v>
      </c>
      <c r="Q708">
        <v>18.698708734665701</v>
      </c>
      <c r="R708">
        <v>51.257686675553501</v>
      </c>
      <c r="S708">
        <v>-2.9426458130755999</v>
      </c>
      <c r="T708">
        <v>24.6471412581284</v>
      </c>
      <c r="U708">
        <v>-0.27362603000107499</v>
      </c>
      <c r="V708">
        <v>35.797124985264297</v>
      </c>
    </row>
    <row r="709" spans="1:22" x14ac:dyDescent="0.25">
      <c r="A709" t="str">
        <f t="shared" si="11"/>
        <v>Honduras2012</v>
      </c>
      <c r="B709" t="s">
        <v>107</v>
      </c>
      <c r="C709" t="s">
        <v>108</v>
      </c>
      <c r="D709">
        <v>2012</v>
      </c>
      <c r="E709">
        <v>2126.0347468650298</v>
      </c>
      <c r="F709">
        <v>4.1286877486693898</v>
      </c>
      <c r="G709">
        <v>5.1961861553184798</v>
      </c>
      <c r="H709">
        <v>12</v>
      </c>
      <c r="I709">
        <v>3.1480962903768002</v>
      </c>
      <c r="J709">
        <v>3.7549999999999999</v>
      </c>
      <c r="K709">
        <v>23.499268286709398</v>
      </c>
      <c r="L709">
        <v>21.186906822638001</v>
      </c>
      <c r="M709">
        <v>3.57978742613756</v>
      </c>
      <c r="N709">
        <v>66.556349926966206</v>
      </c>
      <c r="O709">
        <v>24.5642087901292</v>
      </c>
      <c r="P709">
        <v>2.6196721083427899</v>
      </c>
      <c r="Q709">
        <v>16.009021356632001</v>
      </c>
      <c r="R709">
        <v>50.902798821636203</v>
      </c>
      <c r="S709">
        <v>-3.4830955918371802</v>
      </c>
      <c r="T709">
        <v>27.085954805402501</v>
      </c>
      <c r="U709">
        <v>-0.27343433838839498</v>
      </c>
      <c r="V709">
        <v>35.800798914176802</v>
      </c>
    </row>
    <row r="710" spans="1:22" x14ac:dyDescent="0.25">
      <c r="A710" t="str">
        <f t="shared" si="11"/>
        <v>Honduras2013</v>
      </c>
      <c r="B710" t="s">
        <v>107</v>
      </c>
      <c r="C710" t="s">
        <v>108</v>
      </c>
      <c r="D710">
        <v>2013</v>
      </c>
      <c r="E710">
        <v>2081.1284352794501</v>
      </c>
      <c r="F710">
        <v>2.79155975746801</v>
      </c>
      <c r="G710">
        <v>5.1618989858149398</v>
      </c>
      <c r="H710">
        <v>12</v>
      </c>
      <c r="I710">
        <v>3.22201663746013</v>
      </c>
      <c r="J710">
        <v>5.6459999999999999</v>
      </c>
      <c r="K710">
        <v>23.8938403917359</v>
      </c>
      <c r="L710">
        <v>22.3379430792634</v>
      </c>
      <c r="M710">
        <v>1.37403051856492</v>
      </c>
      <c r="N710">
        <v>65.037011952509303</v>
      </c>
      <c r="O710">
        <v>21.760352303105599</v>
      </c>
      <c r="P710">
        <v>3.14601704836058</v>
      </c>
      <c r="Q710">
        <v>12.6974100262328</v>
      </c>
      <c r="R710">
        <v>47.9414903194725</v>
      </c>
      <c r="S710">
        <v>-5.4786338067842797</v>
      </c>
      <c r="T710">
        <v>37.317202200418002</v>
      </c>
      <c r="U710">
        <v>-0.41375898188683602</v>
      </c>
      <c r="V710">
        <v>33.111360614437302</v>
      </c>
    </row>
    <row r="711" spans="1:22" x14ac:dyDescent="0.25">
      <c r="A711" t="str">
        <f t="shared" si="11"/>
        <v>Honduras2014</v>
      </c>
      <c r="B711" t="s">
        <v>107</v>
      </c>
      <c r="C711" t="s">
        <v>108</v>
      </c>
      <c r="D711">
        <v>2014</v>
      </c>
      <c r="E711">
        <v>2179.8817197727099</v>
      </c>
      <c r="F711">
        <v>3.0580805621436999</v>
      </c>
      <c r="G711">
        <v>6.1292493031302202</v>
      </c>
      <c r="H711">
        <v>12</v>
      </c>
      <c r="I711">
        <v>3.3152702062672099</v>
      </c>
      <c r="J711">
        <v>7.0780000000000003</v>
      </c>
      <c r="K711">
        <v>24.241917734948601</v>
      </c>
      <c r="L711">
        <v>23.113433542174501</v>
      </c>
      <c r="M711">
        <v>6.8493567248018596</v>
      </c>
      <c r="N711">
        <v>63.579525959665403</v>
      </c>
      <c r="O711">
        <v>22.183832227738499</v>
      </c>
      <c r="P711">
        <v>3.5093211021551798</v>
      </c>
      <c r="Q711">
        <v>14.711596300724</v>
      </c>
      <c r="R711">
        <v>47.562654730020597</v>
      </c>
      <c r="S711">
        <v>-2.8107898246931802</v>
      </c>
      <c r="T711">
        <v>35.226951791073802</v>
      </c>
      <c r="U711">
        <v>-0.27491804759555699</v>
      </c>
      <c r="V711">
        <v>35.772362395344899</v>
      </c>
    </row>
    <row r="712" spans="1:22" x14ac:dyDescent="0.25">
      <c r="A712" t="str">
        <f t="shared" si="11"/>
        <v>Honduras2015</v>
      </c>
      <c r="B712" t="s">
        <v>107</v>
      </c>
      <c r="C712" t="s">
        <v>108</v>
      </c>
      <c r="D712">
        <v>2015</v>
      </c>
      <c r="E712">
        <v>2271.20265980349</v>
      </c>
      <c r="F712">
        <v>3.8400799709395099</v>
      </c>
      <c r="G712">
        <v>3.15783117980923</v>
      </c>
      <c r="H712">
        <v>12</v>
      </c>
      <c r="I712">
        <v>3.4226865952785999</v>
      </c>
      <c r="J712">
        <v>6.1470000000000002</v>
      </c>
      <c r="K712">
        <v>21.9760874717836</v>
      </c>
      <c r="L712">
        <v>23.363155171353</v>
      </c>
      <c r="M712">
        <v>6.9327703694637002</v>
      </c>
      <c r="N712">
        <v>62.1657515555952</v>
      </c>
      <c r="O712">
        <v>25.117983028862401</v>
      </c>
      <c r="P712">
        <v>3.8150402079745902</v>
      </c>
      <c r="Q712">
        <v>19.675332379337299</v>
      </c>
      <c r="R712">
        <v>45.166757456258097</v>
      </c>
      <c r="S712">
        <v>-0.78110324667553699</v>
      </c>
      <c r="T712">
        <v>38.320028988966598</v>
      </c>
      <c r="U712">
        <v>-0.15892858519822101</v>
      </c>
      <c r="V712">
        <v>37.995396744554199</v>
      </c>
    </row>
    <row r="713" spans="1:22" x14ac:dyDescent="0.25">
      <c r="A713" t="str">
        <f t="shared" si="11"/>
        <v>Honduras2016</v>
      </c>
      <c r="B713" t="s">
        <v>107</v>
      </c>
      <c r="C713" t="s">
        <v>108</v>
      </c>
      <c r="D713">
        <v>2016</v>
      </c>
      <c r="E713">
        <v>2307.3446835108198</v>
      </c>
      <c r="F713">
        <v>3.8929721972641298</v>
      </c>
      <c r="G713">
        <v>2.7246122329528899</v>
      </c>
      <c r="H713">
        <v>12</v>
      </c>
      <c r="I713">
        <v>3.5352854432141498</v>
      </c>
      <c r="J713">
        <v>6.7270000000000003</v>
      </c>
      <c r="K713">
        <v>23.499268286709398</v>
      </c>
      <c r="L713">
        <v>22.209912610084501</v>
      </c>
      <c r="M713">
        <v>3.6780681442604202</v>
      </c>
      <c r="N713">
        <v>60.820626990527501</v>
      </c>
      <c r="O713">
        <v>23.377128535763401</v>
      </c>
      <c r="P713">
        <v>3.9785179544116498</v>
      </c>
      <c r="Q713">
        <v>20.425775068719499</v>
      </c>
      <c r="R713">
        <v>42.7141047814182</v>
      </c>
      <c r="S713">
        <v>-0.39736458440935901</v>
      </c>
      <c r="T713">
        <v>39.421741339533497</v>
      </c>
      <c r="U713">
        <v>-0.13269446192411199</v>
      </c>
      <c r="V713">
        <v>38.4981954984613</v>
      </c>
    </row>
    <row r="714" spans="1:22" x14ac:dyDescent="0.25">
      <c r="A714" t="str">
        <f t="shared" si="11"/>
        <v>Honduras2017</v>
      </c>
      <c r="B714" t="s">
        <v>107</v>
      </c>
      <c r="C714" t="s">
        <v>108</v>
      </c>
      <c r="D714">
        <v>2017</v>
      </c>
      <c r="E714">
        <v>2413.0076562941999</v>
      </c>
      <c r="F714">
        <v>4.8429139105038699</v>
      </c>
      <c r="G714">
        <v>3.9343608444204401</v>
      </c>
      <c r="H714">
        <v>12</v>
      </c>
      <c r="I714">
        <v>3.6514707524241001</v>
      </c>
      <c r="J714">
        <v>5.5279999999999996</v>
      </c>
      <c r="K714">
        <v>23.499268286709398</v>
      </c>
      <c r="L714">
        <v>22.209912610084501</v>
      </c>
      <c r="M714">
        <v>4.5128429763520996</v>
      </c>
      <c r="N714">
        <v>59.591994282200801</v>
      </c>
      <c r="O714">
        <v>24.820713172360101</v>
      </c>
      <c r="P714">
        <v>4.5578760516724399</v>
      </c>
      <c r="Q714">
        <v>23.152885359230702</v>
      </c>
      <c r="R714">
        <v>43.093854837017801</v>
      </c>
      <c r="S714">
        <v>-0.40775438361455402</v>
      </c>
      <c r="T714">
        <v>41.286158570951201</v>
      </c>
      <c r="U714">
        <v>-7.5122760316755799E-2</v>
      </c>
      <c r="V714">
        <v>39.601604959720497</v>
      </c>
    </row>
    <row r="715" spans="1:22" x14ac:dyDescent="0.25">
      <c r="A715" t="str">
        <f t="shared" si="11"/>
        <v>Honduras2018</v>
      </c>
      <c r="B715" t="s">
        <v>107</v>
      </c>
      <c r="C715" t="s">
        <v>108</v>
      </c>
      <c r="D715">
        <v>2018</v>
      </c>
      <c r="E715">
        <v>2464.6424153191801</v>
      </c>
      <c r="F715">
        <v>3.8449947696673501</v>
      </c>
      <c r="G715">
        <v>4.3473493777752799</v>
      </c>
      <c r="H715">
        <v>12</v>
      </c>
      <c r="I715">
        <v>3.7699699356199199</v>
      </c>
      <c r="J715">
        <v>5.6479999999999997</v>
      </c>
      <c r="K715">
        <v>23.499268286709398</v>
      </c>
      <c r="L715">
        <v>22.209912610084501</v>
      </c>
      <c r="M715">
        <v>1.94721691531043</v>
      </c>
      <c r="N715">
        <v>58.5071463840858</v>
      </c>
      <c r="O715">
        <v>26.572086282813999</v>
      </c>
      <c r="P715">
        <v>4.0537658674182904</v>
      </c>
      <c r="Q715">
        <v>19.573757260819299</v>
      </c>
      <c r="R715">
        <v>41.454816561324698</v>
      </c>
      <c r="S715">
        <v>0.197209917123845</v>
      </c>
      <c r="T715">
        <v>42.4155978179882</v>
      </c>
      <c r="U715">
        <v>-0.112121205897244</v>
      </c>
      <c r="V715">
        <v>38.8924990315369</v>
      </c>
    </row>
    <row r="716" spans="1:22" x14ac:dyDescent="0.25">
      <c r="A716" t="str">
        <f t="shared" si="11"/>
        <v>Honduras2019</v>
      </c>
      <c r="B716" t="s">
        <v>107</v>
      </c>
      <c r="C716" t="s">
        <v>108</v>
      </c>
      <c r="D716">
        <v>2019</v>
      </c>
      <c r="E716">
        <v>2502.3274432807302</v>
      </c>
      <c r="F716">
        <v>2.5596343459231399</v>
      </c>
      <c r="G716">
        <v>4.3658715981926699</v>
      </c>
      <c r="H716">
        <v>12</v>
      </c>
      <c r="I716">
        <v>3.8898356420718798</v>
      </c>
      <c r="J716">
        <v>5.6980000000000004</v>
      </c>
      <c r="K716">
        <v>23.499268286709398</v>
      </c>
      <c r="L716">
        <v>22.209912610084501</v>
      </c>
      <c r="M716">
        <v>3.3587408846643898</v>
      </c>
      <c r="N716">
        <v>57.552525124328298</v>
      </c>
      <c r="O716">
        <v>22.967694116528101</v>
      </c>
      <c r="P716">
        <v>4.9294402958119798</v>
      </c>
      <c r="Q716">
        <v>19.841010982973199</v>
      </c>
      <c r="R716">
        <v>40.218963738896399</v>
      </c>
      <c r="S716">
        <v>8.9128805643403794E-2</v>
      </c>
      <c r="T716">
        <v>43.284923547923398</v>
      </c>
      <c r="U716">
        <v>-7.9757771050343207E-2</v>
      </c>
      <c r="V716">
        <v>39.512771130709197</v>
      </c>
    </row>
    <row r="717" spans="1:22" x14ac:dyDescent="0.25">
      <c r="A717" t="str">
        <f t="shared" si="11"/>
        <v>Honduras2020</v>
      </c>
      <c r="B717" t="s">
        <v>107</v>
      </c>
      <c r="C717" t="s">
        <v>108</v>
      </c>
      <c r="D717">
        <v>2020</v>
      </c>
      <c r="E717">
        <v>2307.6149431951098</v>
      </c>
      <c r="F717">
        <v>-8.9650822326729607</v>
      </c>
      <c r="G717">
        <v>3.4684117795118401</v>
      </c>
      <c r="H717">
        <v>12</v>
      </c>
      <c r="I717">
        <v>3.9940944542446899</v>
      </c>
      <c r="J717">
        <v>10.981999999999999</v>
      </c>
      <c r="K717">
        <v>24.3924492884403</v>
      </c>
      <c r="L717">
        <v>22.209912610084501</v>
      </c>
      <c r="M717">
        <v>3.4019822834870399</v>
      </c>
      <c r="N717">
        <v>56.677234498891401</v>
      </c>
      <c r="O717">
        <v>19.666372727561001</v>
      </c>
      <c r="P717">
        <v>8.3401816661679398</v>
      </c>
      <c r="Q717">
        <v>21.939663016955802</v>
      </c>
      <c r="R717">
        <v>35.875140103037801</v>
      </c>
      <c r="S717">
        <v>-4.58439853313382</v>
      </c>
      <c r="T717">
        <v>53.475569140324197</v>
      </c>
      <c r="U717">
        <v>-0.45866312606096599</v>
      </c>
      <c r="V717">
        <v>32.250735408856301</v>
      </c>
    </row>
    <row r="718" spans="1:22" x14ac:dyDescent="0.25">
      <c r="A718" t="str">
        <f t="shared" si="11"/>
        <v>Honduras2021</v>
      </c>
      <c r="B718" t="s">
        <v>107</v>
      </c>
      <c r="C718" t="s">
        <v>108</v>
      </c>
      <c r="D718">
        <v>2021</v>
      </c>
      <c r="E718">
        <v>2735.14751503977</v>
      </c>
      <c r="F718">
        <v>12.565284377127901</v>
      </c>
      <c r="G718">
        <v>4.4808796341344497</v>
      </c>
      <c r="H718">
        <v>12</v>
      </c>
      <c r="I718">
        <v>4.0706416641637997</v>
      </c>
      <c r="J718">
        <v>8.5060000000000002</v>
      </c>
      <c r="K718">
        <v>23.499268286709398</v>
      </c>
      <c r="L718">
        <v>22.209912610084501</v>
      </c>
      <c r="M718">
        <v>4.6057280888879299</v>
      </c>
      <c r="N718">
        <v>55.874776978247297</v>
      </c>
      <c r="O718">
        <v>24.230933049991499</v>
      </c>
      <c r="P718">
        <v>5.9932817448167803</v>
      </c>
      <c r="Q718">
        <v>18.2740133869675</v>
      </c>
      <c r="R718">
        <v>39.3653983599255</v>
      </c>
      <c r="S718">
        <v>-3.1665759241809099</v>
      </c>
      <c r="T718">
        <v>52.735676352812597</v>
      </c>
      <c r="U718">
        <v>-0.19968790948398399</v>
      </c>
      <c r="V718">
        <v>37.214210453446</v>
      </c>
    </row>
    <row r="719" spans="1:22" x14ac:dyDescent="0.25">
      <c r="A719" t="str">
        <f t="shared" si="11"/>
        <v>Honduras2022</v>
      </c>
      <c r="B719" t="s">
        <v>107</v>
      </c>
      <c r="C719" t="s">
        <v>108</v>
      </c>
      <c r="D719">
        <v>2022</v>
      </c>
      <c r="E719">
        <v>3003.28996826399</v>
      </c>
      <c r="F719">
        <v>4.14356194013767</v>
      </c>
      <c r="G719">
        <v>9.0896391152502503</v>
      </c>
      <c r="H719">
        <v>12</v>
      </c>
      <c r="I719">
        <v>4.1666507388469602</v>
      </c>
      <c r="J719">
        <v>8.7739999999999991</v>
      </c>
      <c r="K719">
        <v>23.499268286709398</v>
      </c>
      <c r="L719">
        <v>22.209912610084501</v>
      </c>
      <c r="M719">
        <v>9.3123950300273606</v>
      </c>
      <c r="N719">
        <v>55.1663201925249</v>
      </c>
      <c r="O719">
        <v>26.326231741088101</v>
      </c>
      <c r="P719">
        <v>4.8408643764503898</v>
      </c>
      <c r="Q719">
        <v>18.9162460889012</v>
      </c>
      <c r="R719">
        <v>42.4391817948962</v>
      </c>
      <c r="S719">
        <v>1.5714184227225301</v>
      </c>
      <c r="T719">
        <v>46.935795418877497</v>
      </c>
      <c r="U719">
        <v>-7.43319258662513E-2</v>
      </c>
      <c r="V719">
        <v>39.6167619585691</v>
      </c>
    </row>
    <row r="720" spans="1:22" x14ac:dyDescent="0.25">
      <c r="A720" t="str">
        <f t="shared" si="11"/>
        <v>Honduras2023</v>
      </c>
      <c r="B720" t="s">
        <v>107</v>
      </c>
      <c r="C720" t="s">
        <v>108</v>
      </c>
      <c r="D720">
        <v>2023</v>
      </c>
      <c r="E720">
        <v>3227.4576250977598</v>
      </c>
      <c r="F720">
        <v>3.5758476045441201</v>
      </c>
      <c r="G720">
        <v>6.6632518034745702</v>
      </c>
      <c r="H720">
        <v>12</v>
      </c>
      <c r="I720">
        <v>4.2927233081984904</v>
      </c>
      <c r="J720">
        <v>6.07</v>
      </c>
      <c r="K720">
        <v>23.499268286709398</v>
      </c>
      <c r="L720">
        <v>22.209912610084501</v>
      </c>
      <c r="M720">
        <v>6.0475227989929197</v>
      </c>
      <c r="N720">
        <v>54.5329302016737</v>
      </c>
      <c r="O720">
        <v>22.186430960185699</v>
      </c>
      <c r="P720">
        <v>4.3065654054594997</v>
      </c>
      <c r="Q720">
        <v>17.746495317958701</v>
      </c>
      <c r="R720">
        <v>37.368680471371903</v>
      </c>
      <c r="S720">
        <v>-1.9642727426718101</v>
      </c>
      <c r="T720">
        <v>41.697623796687097</v>
      </c>
      <c r="U720">
        <v>-0.15148430392964701</v>
      </c>
      <c r="V720">
        <v>38.138072575816601</v>
      </c>
    </row>
    <row r="721" spans="1:22" x14ac:dyDescent="0.25">
      <c r="A721" t="str">
        <f t="shared" si="11"/>
        <v>Honduras2024</v>
      </c>
      <c r="B721" t="s">
        <v>107</v>
      </c>
      <c r="C721" t="s">
        <v>108</v>
      </c>
      <c r="D721">
        <v>2024</v>
      </c>
      <c r="E721">
        <v>3426.43483328923</v>
      </c>
      <c r="F721">
        <v>3.5539700329666899</v>
      </c>
      <c r="G721">
        <v>4.6062109812710696</v>
      </c>
      <c r="H721">
        <v>12</v>
      </c>
      <c r="I721">
        <v>4.41772213694935</v>
      </c>
      <c r="J721">
        <v>4.91</v>
      </c>
      <c r="K721">
        <v>23.499268286709398</v>
      </c>
      <c r="L721">
        <v>22.209912610084501</v>
      </c>
      <c r="M721">
        <v>5.1009447471859604</v>
      </c>
      <c r="N721">
        <v>53.9383402159092</v>
      </c>
      <c r="O721">
        <v>22.492335528296898</v>
      </c>
      <c r="P721">
        <v>4.4550426205418399</v>
      </c>
      <c r="Q721">
        <v>17.7555166464754</v>
      </c>
      <c r="R721">
        <v>33.549100994049503</v>
      </c>
      <c r="S721">
        <v>-1.1176555887380699</v>
      </c>
      <c r="T721">
        <v>41.503070439886997</v>
      </c>
      <c r="U721">
        <v>-9.8325252353741205E-2</v>
      </c>
      <c r="V721">
        <v>39.1569099355399</v>
      </c>
    </row>
    <row r="722" spans="1:22" x14ac:dyDescent="0.25">
      <c r="A722" t="str">
        <f t="shared" si="11"/>
        <v>Honduras2025</v>
      </c>
      <c r="B722" t="s">
        <v>107</v>
      </c>
      <c r="C722" t="s">
        <v>108</v>
      </c>
      <c r="D722">
        <v>2025</v>
      </c>
      <c r="E722">
        <v>2307.6149431951098</v>
      </c>
      <c r="F722">
        <v>3.8356906620750499</v>
      </c>
      <c r="G722">
        <v>4.6062109812710696</v>
      </c>
      <c r="H722">
        <v>12</v>
      </c>
      <c r="I722">
        <v>3.6514707524241001</v>
      </c>
      <c r="J722">
        <v>4.92</v>
      </c>
      <c r="K722">
        <v>23.499268286709398</v>
      </c>
      <c r="L722">
        <v>22.209912610084501</v>
      </c>
      <c r="M722">
        <v>4.6057280888879299</v>
      </c>
      <c r="N722">
        <v>59.591994282200801</v>
      </c>
      <c r="O722">
        <v>23.377128535763401</v>
      </c>
      <c r="P722">
        <v>4.0537658674182904</v>
      </c>
      <c r="Q722">
        <v>18.698708734665701</v>
      </c>
      <c r="R722">
        <v>42.7141047814182</v>
      </c>
      <c r="S722">
        <v>-0.74399662640662401</v>
      </c>
      <c r="T722">
        <v>41.2087691185138</v>
      </c>
      <c r="U722">
        <v>-0.117295963987402</v>
      </c>
      <c r="V722">
        <v>38.793320496301902</v>
      </c>
    </row>
    <row r="723" spans="1:22" x14ac:dyDescent="0.25">
      <c r="A723" t="str">
        <f t="shared" si="11"/>
        <v>Hungary2010</v>
      </c>
      <c r="B723" t="s">
        <v>109</v>
      </c>
      <c r="C723" t="s">
        <v>110</v>
      </c>
      <c r="D723">
        <v>2010</v>
      </c>
      <c r="E723">
        <v>13189.8433874768</v>
      </c>
      <c r="F723">
        <v>1.06795068152046</v>
      </c>
      <c r="G723">
        <v>4.8555579569195597</v>
      </c>
      <c r="H723">
        <v>13</v>
      </c>
      <c r="I723">
        <v>16.4983294883917</v>
      </c>
      <c r="J723">
        <v>11.172000000000001</v>
      </c>
      <c r="K723">
        <v>43.618525780607698</v>
      </c>
      <c r="L723">
        <v>38.056137887227599</v>
      </c>
      <c r="M723">
        <v>2.5312083317536902</v>
      </c>
      <c r="N723">
        <v>45.347439172963298</v>
      </c>
      <c r="O723">
        <v>21.189279124332302</v>
      </c>
      <c r="P723">
        <v>4.2865614533065903</v>
      </c>
      <c r="Q723">
        <v>20.818657681589901</v>
      </c>
      <c r="R723">
        <v>81.253503545501502</v>
      </c>
      <c r="S723">
        <v>-4.43619653974475</v>
      </c>
      <c r="T723">
        <v>80.174300517741699</v>
      </c>
      <c r="U723">
        <v>0.58238410185761702</v>
      </c>
      <c r="V723">
        <v>52.203269880343903</v>
      </c>
    </row>
    <row r="724" spans="1:22" x14ac:dyDescent="0.25">
      <c r="A724" t="str">
        <f t="shared" si="11"/>
        <v>Hungary2011</v>
      </c>
      <c r="B724" t="s">
        <v>109</v>
      </c>
      <c r="C724" t="s">
        <v>110</v>
      </c>
      <c r="D724">
        <v>2011</v>
      </c>
      <c r="E724">
        <v>14211.460557822</v>
      </c>
      <c r="F724">
        <v>1.91670916599742</v>
      </c>
      <c r="G724">
        <v>3.9299209893507001</v>
      </c>
      <c r="H724">
        <v>13</v>
      </c>
      <c r="I724">
        <v>16.702614184748001</v>
      </c>
      <c r="J724">
        <v>11.029</v>
      </c>
      <c r="K724">
        <v>45.054665740654599</v>
      </c>
      <c r="L724">
        <v>37.337531975566002</v>
      </c>
      <c r="M724">
        <v>1.92745966857339</v>
      </c>
      <c r="N724">
        <v>45.492137125278497</v>
      </c>
      <c r="O724">
        <v>21.0337908782192</v>
      </c>
      <c r="P724">
        <v>4.2823721750375796</v>
      </c>
      <c r="Q724">
        <v>21.344893239293299</v>
      </c>
      <c r="R724">
        <v>86.193150318186795</v>
      </c>
      <c r="S724">
        <v>-5.2198315257484396</v>
      </c>
      <c r="T724">
        <v>80.468347174085494</v>
      </c>
      <c r="U724">
        <v>0.598510794116762</v>
      </c>
      <c r="V724">
        <v>52.512351326970503</v>
      </c>
    </row>
    <row r="725" spans="1:22" x14ac:dyDescent="0.25">
      <c r="A725" t="str">
        <f t="shared" si="11"/>
        <v>Hungary2012</v>
      </c>
      <c r="B725" t="s">
        <v>109</v>
      </c>
      <c r="C725" t="s">
        <v>110</v>
      </c>
      <c r="D725">
        <v>2012</v>
      </c>
      <c r="E725">
        <v>12950.1594488143</v>
      </c>
      <c r="F725">
        <v>-1.3394844651818101</v>
      </c>
      <c r="G725">
        <v>5.6521451708864596</v>
      </c>
      <c r="H725">
        <v>13</v>
      </c>
      <c r="I725">
        <v>16.992044570011402</v>
      </c>
      <c r="J725">
        <v>11.003</v>
      </c>
      <c r="K725">
        <v>44.719155890691702</v>
      </c>
      <c r="L725">
        <v>40.448047772287403</v>
      </c>
      <c r="M725">
        <v>2.8771245355042798</v>
      </c>
      <c r="N725">
        <v>45.918319317644901</v>
      </c>
      <c r="O725">
        <v>20.286530817094398</v>
      </c>
      <c r="P725">
        <v>4.3168117718764201</v>
      </c>
      <c r="Q725">
        <v>21.359167541789098</v>
      </c>
      <c r="R725">
        <v>86.087609706121498</v>
      </c>
      <c r="S725">
        <v>-2.3305872446228699</v>
      </c>
      <c r="T725">
        <v>78.363984028322704</v>
      </c>
      <c r="U725">
        <v>0.73779415730528897</v>
      </c>
      <c r="V725">
        <v>55.181832625028498</v>
      </c>
    </row>
    <row r="726" spans="1:22" x14ac:dyDescent="0.25">
      <c r="A726" t="str">
        <f t="shared" si="11"/>
        <v>Hungary2013</v>
      </c>
      <c r="B726" t="s">
        <v>109</v>
      </c>
      <c r="C726" t="s">
        <v>110</v>
      </c>
      <c r="D726">
        <v>2013</v>
      </c>
      <c r="E726">
        <v>13739.4620151401</v>
      </c>
      <c r="F726">
        <v>2.0321699067814598</v>
      </c>
      <c r="G726">
        <v>1.7331998498310099</v>
      </c>
      <c r="H726">
        <v>11</v>
      </c>
      <c r="I726">
        <v>17.321549002252102</v>
      </c>
      <c r="J726">
        <v>10.177</v>
      </c>
      <c r="K726">
        <v>46.945529470977199</v>
      </c>
      <c r="L726">
        <v>40.155620290235603</v>
      </c>
      <c r="M726">
        <v>2.8348095721203599</v>
      </c>
      <c r="N726">
        <v>46.551856455172398</v>
      </c>
      <c r="O726">
        <v>21.894653404054601</v>
      </c>
      <c r="P726">
        <v>4.38117231683849</v>
      </c>
      <c r="Q726">
        <v>24.817896258133601</v>
      </c>
      <c r="R726">
        <v>85.393785207062194</v>
      </c>
      <c r="S726">
        <v>-2.5982156086685699</v>
      </c>
      <c r="T726">
        <v>77.220233208310802</v>
      </c>
      <c r="U726">
        <v>0.70569806873853302</v>
      </c>
      <c r="V726">
        <v>54.566684439284302</v>
      </c>
    </row>
    <row r="727" spans="1:22" x14ac:dyDescent="0.25">
      <c r="A727" t="str">
        <f t="shared" si="11"/>
        <v>Hungary2014</v>
      </c>
      <c r="B727" t="s">
        <v>109</v>
      </c>
      <c r="C727" t="s">
        <v>110</v>
      </c>
      <c r="D727">
        <v>2014</v>
      </c>
      <c r="E727">
        <v>14352.501883174</v>
      </c>
      <c r="F727">
        <v>4.3343536411396704</v>
      </c>
      <c r="G727">
        <v>-0.22756627098821899</v>
      </c>
      <c r="H727">
        <v>11</v>
      </c>
      <c r="I727">
        <v>17.686301777925699</v>
      </c>
      <c r="J727">
        <v>7.7249999999999996</v>
      </c>
      <c r="K727">
        <v>44.991253778547197</v>
      </c>
      <c r="L727">
        <v>40.034386264624899</v>
      </c>
      <c r="M727">
        <v>3.6901211040437301</v>
      </c>
      <c r="N727">
        <v>47.383234498665097</v>
      </c>
      <c r="O727">
        <v>24.440516078797899</v>
      </c>
      <c r="P727">
        <v>3.7420241128715901</v>
      </c>
      <c r="Q727">
        <v>25.013207759425899</v>
      </c>
      <c r="R727">
        <v>87.027164110267293</v>
      </c>
      <c r="S727">
        <v>-2.7729762645091101</v>
      </c>
      <c r="T727">
        <v>76.490501502279997</v>
      </c>
      <c r="U727">
        <v>0.74238164657174799</v>
      </c>
      <c r="V727">
        <v>55.2697556656668</v>
      </c>
    </row>
    <row r="728" spans="1:22" x14ac:dyDescent="0.25">
      <c r="A728" t="str">
        <f t="shared" si="11"/>
        <v>Hungary2015</v>
      </c>
      <c r="B728" t="s">
        <v>109</v>
      </c>
      <c r="C728" t="s">
        <v>110</v>
      </c>
      <c r="D728">
        <v>2015</v>
      </c>
      <c r="E728">
        <v>12782.9412577973</v>
      </c>
      <c r="F728">
        <v>3.6598161540695502</v>
      </c>
      <c r="G728">
        <v>-6.16446800641672E-2</v>
      </c>
      <c r="H728">
        <v>13</v>
      </c>
      <c r="I728">
        <v>18.055990465089099</v>
      </c>
      <c r="J728">
        <v>6.8129999999999997</v>
      </c>
      <c r="K728">
        <v>43.245622034511896</v>
      </c>
      <c r="L728">
        <v>40.198749140875798</v>
      </c>
      <c r="M728">
        <v>2.81115788673696</v>
      </c>
      <c r="N728">
        <v>48.251697038493397</v>
      </c>
      <c r="O728">
        <v>23.8567656111926</v>
      </c>
      <c r="P728">
        <v>3.4185689691372199</v>
      </c>
      <c r="Q728">
        <v>25.678493692463601</v>
      </c>
      <c r="R728">
        <v>87.434884137390696</v>
      </c>
      <c r="S728">
        <v>-2.00287539637463</v>
      </c>
      <c r="T728">
        <v>75.724126816834101</v>
      </c>
      <c r="U728">
        <v>0.88438430658153999</v>
      </c>
      <c r="V728">
        <v>57.9913545450501</v>
      </c>
    </row>
    <row r="729" spans="1:22" x14ac:dyDescent="0.25">
      <c r="A729" t="str">
        <f t="shared" si="11"/>
        <v>Hungary2016</v>
      </c>
      <c r="B729" t="s">
        <v>109</v>
      </c>
      <c r="C729" t="s">
        <v>110</v>
      </c>
      <c r="D729">
        <v>2016</v>
      </c>
      <c r="E729">
        <v>13215.860527778899</v>
      </c>
      <c r="F729">
        <v>2.43864141309342</v>
      </c>
      <c r="G729">
        <v>0.39476930668639199</v>
      </c>
      <c r="H729">
        <v>13</v>
      </c>
      <c r="I729">
        <v>18.438266140918799</v>
      </c>
      <c r="J729">
        <v>5.1150000000000002</v>
      </c>
      <c r="K729">
        <v>43.390747400534103</v>
      </c>
      <c r="L729">
        <v>40.493331080994402</v>
      </c>
      <c r="M729">
        <v>1.32255007729512</v>
      </c>
      <c r="N729">
        <v>49.141968992361797</v>
      </c>
      <c r="O729">
        <v>22.032182193145498</v>
      </c>
      <c r="P729">
        <v>2.62688532938793</v>
      </c>
      <c r="Q729">
        <v>26.246506173078298</v>
      </c>
      <c r="R729">
        <v>86.111463459811901</v>
      </c>
      <c r="S729">
        <v>-1.7916455058454399</v>
      </c>
      <c r="T729">
        <v>74.645885883854703</v>
      </c>
      <c r="U729">
        <v>0.93781266117469697</v>
      </c>
      <c r="V729">
        <v>59.015353320692697</v>
      </c>
    </row>
    <row r="730" spans="1:22" x14ac:dyDescent="0.25">
      <c r="A730" t="str">
        <f t="shared" si="11"/>
        <v>Hungary2017</v>
      </c>
      <c r="B730" t="s">
        <v>109</v>
      </c>
      <c r="C730" t="s">
        <v>110</v>
      </c>
      <c r="D730">
        <v>2017</v>
      </c>
      <c r="E730">
        <v>14736.166815725799</v>
      </c>
      <c r="F730">
        <v>4.1241838945180502</v>
      </c>
      <c r="G730">
        <v>2.3482428115015401</v>
      </c>
      <c r="H730">
        <v>13</v>
      </c>
      <c r="I730">
        <v>18.7797493757284</v>
      </c>
      <c r="J730">
        <v>4.1559999999999997</v>
      </c>
      <c r="K730">
        <v>42.016381918932197</v>
      </c>
      <c r="L730">
        <v>39.685797175401703</v>
      </c>
      <c r="M730">
        <v>4.0372927373861502</v>
      </c>
      <c r="N730">
        <v>49.959506679894602</v>
      </c>
      <c r="O730">
        <v>23.2730768860194</v>
      </c>
      <c r="P730">
        <v>2.49519454988071</v>
      </c>
      <c r="Q730">
        <v>24.880268824054301</v>
      </c>
      <c r="R730">
        <v>85.746153344948297</v>
      </c>
      <c r="S730">
        <v>-2.4549301029837101</v>
      </c>
      <c r="T730">
        <v>72.0016393155895</v>
      </c>
      <c r="U730">
        <v>0.91809675026220905</v>
      </c>
      <c r="V730">
        <v>58.637481518560698</v>
      </c>
    </row>
    <row r="731" spans="1:22" x14ac:dyDescent="0.25">
      <c r="A731" t="str">
        <f t="shared" si="11"/>
        <v>Hungary2018</v>
      </c>
      <c r="B731" t="s">
        <v>109</v>
      </c>
      <c r="C731" t="s">
        <v>110</v>
      </c>
      <c r="D731">
        <v>2018</v>
      </c>
      <c r="E731">
        <v>16605.057051188702</v>
      </c>
      <c r="F731">
        <v>5.6061381376887596</v>
      </c>
      <c r="G731">
        <v>2.8502479259464599</v>
      </c>
      <c r="H731">
        <v>13</v>
      </c>
      <c r="I731">
        <v>19.129232928876899</v>
      </c>
      <c r="J731">
        <v>3.6669999999999998</v>
      </c>
      <c r="K731">
        <v>39.6980879246317</v>
      </c>
      <c r="L731">
        <v>38.288403880572702</v>
      </c>
      <c r="M731">
        <v>4.8453839510307102</v>
      </c>
      <c r="N731">
        <v>50.774440166074598</v>
      </c>
      <c r="O731">
        <v>27.091094582759599</v>
      </c>
      <c r="P731">
        <v>2.5466919286943099</v>
      </c>
      <c r="Q731">
        <v>27.1040455571144</v>
      </c>
      <c r="R731">
        <v>83.396779500125604</v>
      </c>
      <c r="S731">
        <v>-2.0464156225547501</v>
      </c>
      <c r="T731">
        <v>68.816159274889699</v>
      </c>
      <c r="U731">
        <v>0.92023213176271101</v>
      </c>
      <c r="V731">
        <v>58.678407877957198</v>
      </c>
    </row>
    <row r="732" spans="1:22" x14ac:dyDescent="0.25">
      <c r="A732" t="str">
        <f t="shared" si="11"/>
        <v>Hungary2019</v>
      </c>
      <c r="B732" t="s">
        <v>109</v>
      </c>
      <c r="C732" t="s">
        <v>110</v>
      </c>
      <c r="D732">
        <v>2019</v>
      </c>
      <c r="E732">
        <v>17012.859855319901</v>
      </c>
      <c r="F732">
        <v>5.0771849508893299</v>
      </c>
      <c r="G732">
        <v>3.3385863538200802</v>
      </c>
      <c r="H732">
        <v>13</v>
      </c>
      <c r="I732">
        <v>19.602922987429402</v>
      </c>
      <c r="J732">
        <v>3.411</v>
      </c>
      <c r="K732">
        <v>39.326377674523798</v>
      </c>
      <c r="L732">
        <v>37.870577726187904</v>
      </c>
      <c r="M732">
        <v>4.7529365339562597</v>
      </c>
      <c r="N732">
        <v>51.866154849897299</v>
      </c>
      <c r="O732">
        <v>28.698347217767601</v>
      </c>
      <c r="P732">
        <v>2.5097396251830801</v>
      </c>
      <c r="Q732">
        <v>27.928257225337401</v>
      </c>
      <c r="R732">
        <v>81.065700696964001</v>
      </c>
      <c r="S732">
        <v>-2.0242933971653101</v>
      </c>
      <c r="T732">
        <v>64.9884306578722</v>
      </c>
      <c r="U732">
        <v>0.90683794000255202</v>
      </c>
      <c r="V732">
        <v>58.421697072101999</v>
      </c>
    </row>
    <row r="733" spans="1:22" x14ac:dyDescent="0.25">
      <c r="A733" t="str">
        <f t="shared" si="11"/>
        <v>Hungary2020</v>
      </c>
      <c r="B733" t="s">
        <v>109</v>
      </c>
      <c r="C733" t="s">
        <v>110</v>
      </c>
      <c r="D733">
        <v>2020</v>
      </c>
      <c r="E733">
        <v>16386.930882125798</v>
      </c>
      <c r="F733">
        <v>-4.3387254002405804</v>
      </c>
      <c r="G733">
        <v>3.3267438576673798</v>
      </c>
      <c r="H733">
        <v>13</v>
      </c>
      <c r="I733">
        <v>20.0906737724303</v>
      </c>
      <c r="J733">
        <v>4.2480000000000002</v>
      </c>
      <c r="K733">
        <v>44.096595836818302</v>
      </c>
      <c r="L733">
        <v>37.738313202042498</v>
      </c>
      <c r="M733">
        <v>6.4266136441308399</v>
      </c>
      <c r="N733">
        <v>53.018285446645301</v>
      </c>
      <c r="O733">
        <v>27.464494072521202</v>
      </c>
      <c r="P733">
        <v>3.5808541574764199</v>
      </c>
      <c r="Q733">
        <v>26.480710954236901</v>
      </c>
      <c r="R733">
        <v>78.087931744304797</v>
      </c>
      <c r="S733">
        <v>-7.4868597755529303</v>
      </c>
      <c r="T733">
        <v>78.686600816763402</v>
      </c>
      <c r="U733">
        <v>0.54276986255387505</v>
      </c>
      <c r="V733">
        <v>51.444030093643804</v>
      </c>
    </row>
    <row r="734" spans="1:22" x14ac:dyDescent="0.25">
      <c r="A734" t="str">
        <f t="shared" si="11"/>
        <v>Hungary2021</v>
      </c>
      <c r="B734" t="s">
        <v>109</v>
      </c>
      <c r="C734" t="s">
        <v>110</v>
      </c>
      <c r="D734">
        <v>2021</v>
      </c>
      <c r="E734">
        <v>19030.628130329002</v>
      </c>
      <c r="F734">
        <v>7.2229158081113702</v>
      </c>
      <c r="G734">
        <v>5.1109653438285498</v>
      </c>
      <c r="H734">
        <v>13</v>
      </c>
      <c r="I734">
        <v>20.405013489341801</v>
      </c>
      <c r="J734">
        <v>4.0209999999999999</v>
      </c>
      <c r="K734">
        <v>42.2666073391105</v>
      </c>
      <c r="L734">
        <v>35.753292637970297</v>
      </c>
      <c r="M734">
        <v>6.1669489229612102</v>
      </c>
      <c r="N734">
        <v>53.775845573536401</v>
      </c>
      <c r="O734">
        <v>30.9364017933183</v>
      </c>
      <c r="P734">
        <v>3.0232148402231198</v>
      </c>
      <c r="Q734">
        <v>26.595441948650599</v>
      </c>
      <c r="R734">
        <v>79.411434382137799</v>
      </c>
      <c r="S734">
        <v>-7.1100691243392298</v>
      </c>
      <c r="T734">
        <v>76.214668537877202</v>
      </c>
      <c r="U734">
        <v>0.63793028961763298</v>
      </c>
      <c r="V734">
        <v>53.267858686998999</v>
      </c>
    </row>
    <row r="735" spans="1:22" x14ac:dyDescent="0.25">
      <c r="A735" t="str">
        <f t="shared" si="11"/>
        <v>Hungary2022</v>
      </c>
      <c r="B735" t="s">
        <v>109</v>
      </c>
      <c r="C735" t="s">
        <v>110</v>
      </c>
      <c r="D735">
        <v>2022</v>
      </c>
      <c r="E735">
        <v>18428.028825614001</v>
      </c>
      <c r="F735">
        <v>4.1523805777922904</v>
      </c>
      <c r="G735">
        <v>14.608143949243299</v>
      </c>
      <c r="H735">
        <v>13</v>
      </c>
      <c r="I735">
        <v>20.6075593133653</v>
      </c>
      <c r="J735">
        <v>3.5830000000000002</v>
      </c>
      <c r="K735">
        <v>42.417806138744503</v>
      </c>
      <c r="L735">
        <v>37.921334819621499</v>
      </c>
      <c r="M735">
        <v>13.967890951606799</v>
      </c>
      <c r="N735">
        <v>54.221378306220799</v>
      </c>
      <c r="O735">
        <v>34.361366653230299</v>
      </c>
      <c r="P735">
        <v>2.5233539495603301</v>
      </c>
      <c r="Q735">
        <v>25.3719772883289</v>
      </c>
      <c r="R735">
        <v>89.771947485887296</v>
      </c>
      <c r="S735">
        <v>-6.1902283986968696</v>
      </c>
      <c r="T735">
        <v>74.080568458513596</v>
      </c>
      <c r="U735">
        <v>0.67982938743177401</v>
      </c>
      <c r="V735">
        <v>54.0708896840964</v>
      </c>
    </row>
    <row r="736" spans="1:22" x14ac:dyDescent="0.25">
      <c r="A736" t="str">
        <f t="shared" si="11"/>
        <v>Hungary2023</v>
      </c>
      <c r="B736" t="s">
        <v>109</v>
      </c>
      <c r="C736" t="s">
        <v>110</v>
      </c>
      <c r="D736">
        <v>2023</v>
      </c>
      <c r="E736">
        <v>22230.627787518701</v>
      </c>
      <c r="F736">
        <v>-0.81710737051345494</v>
      </c>
      <c r="G736">
        <v>17.124965967873699</v>
      </c>
      <c r="H736">
        <v>13</v>
      </c>
      <c r="I736">
        <v>20.819084281895002</v>
      </c>
      <c r="J736">
        <v>4.0960000000000001</v>
      </c>
      <c r="K736">
        <v>43.390747400534103</v>
      </c>
      <c r="L736">
        <v>38.176077118159803</v>
      </c>
      <c r="M736">
        <v>15.1060960246171</v>
      </c>
      <c r="N736">
        <v>54.570348045646398</v>
      </c>
      <c r="O736">
        <v>26.031894632821398</v>
      </c>
      <c r="P736">
        <v>2.7266608416804599</v>
      </c>
      <c r="Q736">
        <v>26.088671136601501</v>
      </c>
      <c r="R736">
        <v>81.234632301779996</v>
      </c>
      <c r="S736">
        <v>-6.7729201924256399</v>
      </c>
      <c r="T736">
        <v>73.233913028556699</v>
      </c>
      <c r="U736">
        <v>0.69324521995319699</v>
      </c>
      <c r="V736">
        <v>54.328015253108802</v>
      </c>
    </row>
    <row r="737" spans="1:22" x14ac:dyDescent="0.25">
      <c r="A737" t="str">
        <f t="shared" si="11"/>
        <v>Hungary2024</v>
      </c>
      <c r="B737" t="s">
        <v>109</v>
      </c>
      <c r="C737" t="s">
        <v>110</v>
      </c>
      <c r="D737">
        <v>2024</v>
      </c>
      <c r="E737">
        <v>23292.326388247799</v>
      </c>
      <c r="F737">
        <v>0.560117843140432</v>
      </c>
      <c r="G737">
        <v>3.70370370370369</v>
      </c>
      <c r="H737">
        <v>13</v>
      </c>
      <c r="I737">
        <v>20.993197231807802</v>
      </c>
      <c r="J737">
        <v>4.5</v>
      </c>
      <c r="K737">
        <v>43.390747400534103</v>
      </c>
      <c r="L737">
        <v>37.960763368240997</v>
      </c>
      <c r="M737">
        <v>7.5722301966087997</v>
      </c>
      <c r="N737">
        <v>54.7857651144164</v>
      </c>
      <c r="O737">
        <v>23.459583813232499</v>
      </c>
      <c r="P737">
        <v>2.8591041514881899</v>
      </c>
      <c r="Q737">
        <v>25.096632052731401</v>
      </c>
      <c r="R737">
        <v>75.3908902777126</v>
      </c>
      <c r="S737">
        <v>-4.8983449122734797</v>
      </c>
      <c r="T737">
        <v>73.513465039341</v>
      </c>
      <c r="U737">
        <v>0.78755777771179902</v>
      </c>
      <c r="V737">
        <v>56.135593727271797</v>
      </c>
    </row>
    <row r="738" spans="1:22" x14ac:dyDescent="0.25">
      <c r="A738" t="str">
        <f t="shared" si="11"/>
        <v>Hungary2025</v>
      </c>
      <c r="B738" t="s">
        <v>109</v>
      </c>
      <c r="C738" t="s">
        <v>110</v>
      </c>
      <c r="D738">
        <v>2025</v>
      </c>
      <c r="E738">
        <v>14736.166815725799</v>
      </c>
      <c r="F738">
        <v>2.43864141309342</v>
      </c>
      <c r="G738">
        <v>3.3385863538200802</v>
      </c>
      <c r="H738">
        <v>13</v>
      </c>
      <c r="I738">
        <v>18.7797493757284</v>
      </c>
      <c r="J738">
        <v>4.5209999999999999</v>
      </c>
      <c r="K738">
        <v>43.390747400534103</v>
      </c>
      <c r="L738">
        <v>38.176077118159803</v>
      </c>
      <c r="M738">
        <v>4.0372927373861502</v>
      </c>
      <c r="N738">
        <v>49.959506679894602</v>
      </c>
      <c r="O738">
        <v>23.8567656111926</v>
      </c>
      <c r="P738">
        <v>3.0232148402231198</v>
      </c>
      <c r="Q738">
        <v>25.3719772883289</v>
      </c>
      <c r="R738">
        <v>85.393785207062194</v>
      </c>
      <c r="S738">
        <v>-4.6848069140675399</v>
      </c>
      <c r="T738">
        <v>75.162183001492593</v>
      </c>
      <c r="U738">
        <v>0.77706071952751998</v>
      </c>
      <c r="V738">
        <v>55.934408891796302</v>
      </c>
    </row>
    <row r="739" spans="1:22" x14ac:dyDescent="0.25">
      <c r="A739" t="str">
        <f t="shared" si="11"/>
        <v>Iceland2010</v>
      </c>
      <c r="B739" t="s">
        <v>111</v>
      </c>
      <c r="C739" t="s">
        <v>112</v>
      </c>
      <c r="D739">
        <v>2010</v>
      </c>
      <c r="E739">
        <v>43776.467740047498</v>
      </c>
      <c r="F739">
        <v>-2.2218184759920199</v>
      </c>
      <c r="G739">
        <v>5.3967311316747697</v>
      </c>
      <c r="H739">
        <v>10</v>
      </c>
      <c r="I739">
        <v>12.135165546678101</v>
      </c>
      <c r="J739">
        <v>7.5640000000000001</v>
      </c>
      <c r="K739">
        <v>37.494398464002202</v>
      </c>
      <c r="L739">
        <v>31.464753846266699</v>
      </c>
      <c r="M739">
        <v>6.5520547116749404</v>
      </c>
      <c r="N739">
        <v>49.398490236329202</v>
      </c>
      <c r="O739">
        <v>13.833771437949601</v>
      </c>
      <c r="P739">
        <v>8.1894229739429605</v>
      </c>
      <c r="Q739">
        <v>6.8143215651302302</v>
      </c>
      <c r="R739">
        <v>51.149160132486202</v>
      </c>
      <c r="S739">
        <v>-6.5558204822972401</v>
      </c>
      <c r="T739">
        <v>131.50055994989199</v>
      </c>
      <c r="U739">
        <v>9.7249004240176004E-2</v>
      </c>
      <c r="V739">
        <v>42.905252942252098</v>
      </c>
    </row>
    <row r="740" spans="1:22" x14ac:dyDescent="0.25">
      <c r="A740" t="str">
        <f t="shared" si="11"/>
        <v>Iceland2011</v>
      </c>
      <c r="B740" t="s">
        <v>111</v>
      </c>
      <c r="C740" t="s">
        <v>112</v>
      </c>
      <c r="D740">
        <v>2011</v>
      </c>
      <c r="E740">
        <v>48254.953927253999</v>
      </c>
      <c r="F740">
        <v>1.37999669140882</v>
      </c>
      <c r="G740">
        <v>4.0010266434312003</v>
      </c>
      <c r="H740">
        <v>10</v>
      </c>
      <c r="I740">
        <v>12.4507656586356</v>
      </c>
      <c r="J740">
        <v>7.0279999999999996</v>
      </c>
      <c r="K740">
        <v>38.023843042670997</v>
      </c>
      <c r="L740">
        <v>32.765861777993301</v>
      </c>
      <c r="M740">
        <v>3.45265873955316</v>
      </c>
      <c r="N740">
        <v>49.889349865857298</v>
      </c>
      <c r="O740">
        <v>15.314206529142099</v>
      </c>
      <c r="P740">
        <v>9.9757413921253093</v>
      </c>
      <c r="Q740">
        <v>9.8457514185516999</v>
      </c>
      <c r="R740">
        <v>53.957343615260399</v>
      </c>
      <c r="S740">
        <v>-6.4202909024496897</v>
      </c>
      <c r="T740">
        <v>136.62863298929901</v>
      </c>
      <c r="U740">
        <v>0.24001758685397301</v>
      </c>
      <c r="V740">
        <v>45.641531364262399</v>
      </c>
    </row>
    <row r="741" spans="1:22" x14ac:dyDescent="0.25">
      <c r="A741" t="str">
        <f t="shared" si="11"/>
        <v>Iceland2012</v>
      </c>
      <c r="B741" t="s">
        <v>111</v>
      </c>
      <c r="C741" t="s">
        <v>112</v>
      </c>
      <c r="D741">
        <v>2012</v>
      </c>
      <c r="E741">
        <v>46594.9869146614</v>
      </c>
      <c r="F741">
        <v>1.16931174886884</v>
      </c>
      <c r="G741">
        <v>5.1858998875069799</v>
      </c>
      <c r="H741">
        <v>10</v>
      </c>
      <c r="I741">
        <v>12.7719224973156</v>
      </c>
      <c r="J741">
        <v>6</v>
      </c>
      <c r="K741">
        <v>36.592182170409899</v>
      </c>
      <c r="L741">
        <v>33.670305727654998</v>
      </c>
      <c r="M741">
        <v>3.5073149873421601</v>
      </c>
      <c r="N741">
        <v>50.322471783718903</v>
      </c>
      <c r="O741">
        <v>15.8900528697338</v>
      </c>
      <c r="P741">
        <v>5.3436450561209003</v>
      </c>
      <c r="Q741">
        <v>11.3918777325335</v>
      </c>
      <c r="R741">
        <v>54.184494421801801</v>
      </c>
      <c r="S741">
        <v>-2.5896008307266101</v>
      </c>
      <c r="T741">
        <v>132.20210495680701</v>
      </c>
      <c r="U741">
        <v>0.39276080236628502</v>
      </c>
      <c r="V741">
        <v>48.5689819073934</v>
      </c>
    </row>
    <row r="742" spans="1:22" x14ac:dyDescent="0.25">
      <c r="A742" t="str">
        <f t="shared" si="11"/>
        <v>Iceland2013</v>
      </c>
      <c r="B742" t="s">
        <v>111</v>
      </c>
      <c r="C742" t="s">
        <v>112</v>
      </c>
      <c r="D742">
        <v>2013</v>
      </c>
      <c r="E742">
        <v>50173.336006105703</v>
      </c>
      <c r="F742">
        <v>3.5969570097285102</v>
      </c>
      <c r="G742">
        <v>3.8722792374824899</v>
      </c>
      <c r="H742">
        <v>10</v>
      </c>
      <c r="I742">
        <v>13.0702053657851</v>
      </c>
      <c r="J742">
        <v>5.3760000000000003</v>
      </c>
      <c r="K742">
        <v>34.405344805106502</v>
      </c>
      <c r="L742">
        <v>33.398210184841197</v>
      </c>
      <c r="M742">
        <v>2.4929901361769402</v>
      </c>
      <c r="N742">
        <v>50.740751087148801</v>
      </c>
      <c r="O742">
        <v>15.0113948829854</v>
      </c>
      <c r="P742">
        <v>5.9500692065791503</v>
      </c>
      <c r="Q742">
        <v>20.848081372244401</v>
      </c>
      <c r="R742">
        <v>52.8240993487182</v>
      </c>
      <c r="S742">
        <v>-0.876094677477947</v>
      </c>
      <c r="T742">
        <v>121.064917567592</v>
      </c>
      <c r="U742">
        <v>0.63560564163376199</v>
      </c>
      <c r="V742">
        <v>53.223304878306799</v>
      </c>
    </row>
    <row r="743" spans="1:22" x14ac:dyDescent="0.25">
      <c r="A743" t="str">
        <f t="shared" si="11"/>
        <v>Iceland2014</v>
      </c>
      <c r="B743" t="s">
        <v>111</v>
      </c>
      <c r="C743" t="s">
        <v>112</v>
      </c>
      <c r="D743">
        <v>2014</v>
      </c>
      <c r="E743">
        <v>55140.364935792997</v>
      </c>
      <c r="F743">
        <v>1.9138160909824899</v>
      </c>
      <c r="G743">
        <v>2.0446148153933299</v>
      </c>
      <c r="H743">
        <v>10</v>
      </c>
      <c r="I743">
        <v>13.361932750658401</v>
      </c>
      <c r="J743">
        <v>4.8970000000000002</v>
      </c>
      <c r="K743">
        <v>33.983294293234898</v>
      </c>
      <c r="L743">
        <v>34.843884895015101</v>
      </c>
      <c r="M743">
        <v>4.2124430113672302</v>
      </c>
      <c r="N743">
        <v>51.072410801631698</v>
      </c>
      <c r="O743">
        <v>17.073367186094099</v>
      </c>
      <c r="P743">
        <v>5.44119700784755</v>
      </c>
      <c r="Q743">
        <v>20.7457228855158</v>
      </c>
      <c r="R743">
        <v>50.913700514177997</v>
      </c>
      <c r="S743">
        <v>0.59106079258790101</v>
      </c>
      <c r="T743">
        <v>114.12065534262599</v>
      </c>
      <c r="U743">
        <v>0.737474403022643</v>
      </c>
      <c r="V743">
        <v>55.175704268719798</v>
      </c>
    </row>
    <row r="744" spans="1:22" x14ac:dyDescent="0.25">
      <c r="A744" t="str">
        <f t="shared" si="11"/>
        <v>Iceland2015</v>
      </c>
      <c r="B744" t="s">
        <v>111</v>
      </c>
      <c r="C744" t="s">
        <v>112</v>
      </c>
      <c r="D744">
        <v>2015</v>
      </c>
      <c r="E744">
        <v>53505.696407933901</v>
      </c>
      <c r="F744">
        <v>3.7685902384858099</v>
      </c>
      <c r="G744">
        <v>1.6330555818132599</v>
      </c>
      <c r="H744">
        <v>10</v>
      </c>
      <c r="I744">
        <v>13.679345765164999</v>
      </c>
      <c r="J744">
        <v>3.9790000000000001</v>
      </c>
      <c r="K744">
        <v>31.877125493780099</v>
      </c>
      <c r="L744">
        <v>32.028360740101498</v>
      </c>
      <c r="M744">
        <v>6.7516300233807698</v>
      </c>
      <c r="N744">
        <v>51.222109973898498</v>
      </c>
      <c r="O744">
        <v>19.1932461301069</v>
      </c>
      <c r="P744">
        <v>6.9414997562703604</v>
      </c>
      <c r="Q744">
        <v>24.3099744769601</v>
      </c>
      <c r="R744">
        <v>51.334774443723397</v>
      </c>
      <c r="S744">
        <v>-0.14449517906866899</v>
      </c>
      <c r="T744">
        <v>96.315244455522105</v>
      </c>
      <c r="U744">
        <v>0.75196088531981597</v>
      </c>
      <c r="V744">
        <v>55.453349729610999</v>
      </c>
    </row>
    <row r="745" spans="1:22" x14ac:dyDescent="0.25">
      <c r="A745" t="str">
        <f t="shared" si="11"/>
        <v>Iceland2016</v>
      </c>
      <c r="B745" t="s">
        <v>111</v>
      </c>
      <c r="C745" t="s">
        <v>112</v>
      </c>
      <c r="D745">
        <v>2016</v>
      </c>
      <c r="E745">
        <v>62854.090640793198</v>
      </c>
      <c r="F745">
        <v>6.2180876421761599</v>
      </c>
      <c r="G745">
        <v>1.6969276199775101</v>
      </c>
      <c r="H745">
        <v>10</v>
      </c>
      <c r="I745">
        <v>13.9213912898367</v>
      </c>
      <c r="J745">
        <v>2.9780000000000002</v>
      </c>
      <c r="K745">
        <v>34.999701808920101</v>
      </c>
      <c r="L745">
        <v>47.306743037911303</v>
      </c>
      <c r="M745">
        <v>2.6988235057365402</v>
      </c>
      <c r="N745">
        <v>51.078913114953501</v>
      </c>
      <c r="O745">
        <v>20.815553889952401</v>
      </c>
      <c r="P745">
        <v>9.3283199922036406</v>
      </c>
      <c r="Q745">
        <v>28.363422933598301</v>
      </c>
      <c r="R745">
        <v>47.489023094966697</v>
      </c>
      <c r="S745">
        <v>12.697612552980599</v>
      </c>
      <c r="T745">
        <v>81.335026201771697</v>
      </c>
      <c r="U745">
        <v>1.7389367765136501</v>
      </c>
      <c r="V745">
        <v>74.369562139056399</v>
      </c>
    </row>
    <row r="746" spans="1:22" x14ac:dyDescent="0.25">
      <c r="A746" t="str">
        <f t="shared" si="11"/>
        <v>Iceland2017</v>
      </c>
      <c r="B746" t="s">
        <v>111</v>
      </c>
      <c r="C746" t="s">
        <v>112</v>
      </c>
      <c r="D746">
        <v>2017</v>
      </c>
      <c r="E746">
        <v>72976.372999097497</v>
      </c>
      <c r="F746">
        <v>3.4850670391668901</v>
      </c>
      <c r="G746">
        <v>1.7604155918059601</v>
      </c>
      <c r="H746">
        <v>10</v>
      </c>
      <c r="I746">
        <v>14.0228770869629</v>
      </c>
      <c r="J746">
        <v>2.742</v>
      </c>
      <c r="K746">
        <v>31.033846055305599</v>
      </c>
      <c r="L746">
        <v>33.339448992708803</v>
      </c>
      <c r="M746">
        <v>1.57374573775908</v>
      </c>
      <c r="N746">
        <v>50.550423723240598</v>
      </c>
      <c r="O746">
        <v>21.575432529700102</v>
      </c>
      <c r="P746">
        <v>7.1086791781485701</v>
      </c>
      <c r="Q746">
        <v>25.350895360663198</v>
      </c>
      <c r="R746">
        <v>45.671087862199002</v>
      </c>
      <c r="S746">
        <v>1.27623385145863</v>
      </c>
      <c r="T746">
        <v>70.792359329486004</v>
      </c>
      <c r="U746">
        <v>1.0480649951111201</v>
      </c>
      <c r="V746">
        <v>61.1284308395932</v>
      </c>
    </row>
    <row r="747" spans="1:22" x14ac:dyDescent="0.25">
      <c r="A747" t="str">
        <f t="shared" si="11"/>
        <v>Iceland2018</v>
      </c>
      <c r="B747" t="s">
        <v>111</v>
      </c>
      <c r="C747" t="s">
        <v>112</v>
      </c>
      <c r="D747">
        <v>2018</v>
      </c>
      <c r="E747">
        <v>75633.865135191503</v>
      </c>
      <c r="F747">
        <v>4.66077032612084</v>
      </c>
      <c r="G747">
        <v>2.6829176826739198</v>
      </c>
      <c r="H747">
        <v>10</v>
      </c>
      <c r="I747">
        <v>14.120996219399499</v>
      </c>
      <c r="J747">
        <v>2.7040000000000002</v>
      </c>
      <c r="K747">
        <v>30.382524786350402</v>
      </c>
      <c r="L747">
        <v>32.499044384827599</v>
      </c>
      <c r="M747">
        <v>3.1046241623425899</v>
      </c>
      <c r="N747">
        <v>49.924340958744601</v>
      </c>
      <c r="O747">
        <v>22.195021476425499</v>
      </c>
      <c r="P747">
        <v>6.3319461737875304</v>
      </c>
      <c r="Q747">
        <v>25.7544121800032</v>
      </c>
      <c r="R747">
        <v>46.471917383294802</v>
      </c>
      <c r="S747">
        <v>1.0441316698942</v>
      </c>
      <c r="T747">
        <v>62.258587599660103</v>
      </c>
      <c r="U747">
        <v>1.07832072506975</v>
      </c>
      <c r="V747">
        <v>61.708307024621497</v>
      </c>
    </row>
    <row r="748" spans="1:22" x14ac:dyDescent="0.25">
      <c r="A748" t="str">
        <f t="shared" si="11"/>
        <v>Iceland2019</v>
      </c>
      <c r="B748" t="s">
        <v>111</v>
      </c>
      <c r="C748" t="s">
        <v>112</v>
      </c>
      <c r="D748">
        <v>2019</v>
      </c>
      <c r="E748">
        <v>69296.314436160101</v>
      </c>
      <c r="F748">
        <v>1.1382123046500101</v>
      </c>
      <c r="G748">
        <v>3.0139717915605302</v>
      </c>
      <c r="H748">
        <v>10</v>
      </c>
      <c r="I748">
        <v>14.299299000969</v>
      </c>
      <c r="J748">
        <v>3.5070000000000001</v>
      </c>
      <c r="K748">
        <v>30.6922340261305</v>
      </c>
      <c r="L748">
        <v>30.0597687054453</v>
      </c>
      <c r="M748">
        <v>4.8367891486657903</v>
      </c>
      <c r="N748">
        <v>49.637902198317498</v>
      </c>
      <c r="O748">
        <v>20.203483585292702</v>
      </c>
      <c r="P748">
        <v>8.1318008125939496</v>
      </c>
      <c r="Q748">
        <v>26.642838912392399</v>
      </c>
      <c r="R748">
        <v>44.713862277529898</v>
      </c>
      <c r="S748">
        <v>-1.4472410691989099</v>
      </c>
      <c r="T748">
        <v>65.717508075138298</v>
      </c>
      <c r="U748">
        <v>0.86754875226701</v>
      </c>
      <c r="V748">
        <v>57.668687168586402</v>
      </c>
    </row>
    <row r="749" spans="1:22" x14ac:dyDescent="0.25">
      <c r="A749" t="str">
        <f t="shared" si="11"/>
        <v>Iceland2020</v>
      </c>
      <c r="B749" t="s">
        <v>111</v>
      </c>
      <c r="C749" t="s">
        <v>112</v>
      </c>
      <c r="D749">
        <v>2020</v>
      </c>
      <c r="E749">
        <v>60127.939357561598</v>
      </c>
      <c r="F749">
        <v>-6.6458781629783603</v>
      </c>
      <c r="G749">
        <v>2.8479240151866501</v>
      </c>
      <c r="H749">
        <v>10</v>
      </c>
      <c r="I749">
        <v>14.564364699656901</v>
      </c>
      <c r="J749">
        <v>5.4779999999999998</v>
      </c>
      <c r="K749">
        <v>36.353890205707401</v>
      </c>
      <c r="L749">
        <v>28.925450454692601</v>
      </c>
      <c r="M749">
        <v>4.3411199566860299</v>
      </c>
      <c r="N749">
        <v>49.907142272764503</v>
      </c>
      <c r="O749">
        <v>21.046340093824998</v>
      </c>
      <c r="P749">
        <v>10.0263147226872</v>
      </c>
      <c r="Q749">
        <v>21.264418302453802</v>
      </c>
      <c r="R749">
        <v>34.1387322744214</v>
      </c>
      <c r="S749">
        <v>-8.8098681891116897</v>
      </c>
      <c r="T749">
        <v>76.087912353064894</v>
      </c>
      <c r="U749">
        <v>0.26685610248608099</v>
      </c>
      <c r="V749">
        <v>46.155913799518302</v>
      </c>
    </row>
    <row r="750" spans="1:22" x14ac:dyDescent="0.25">
      <c r="A750" t="str">
        <f t="shared" si="11"/>
        <v>Iceland2021</v>
      </c>
      <c r="B750" t="s">
        <v>111</v>
      </c>
      <c r="C750" t="s">
        <v>112</v>
      </c>
      <c r="D750">
        <v>2021</v>
      </c>
      <c r="E750">
        <v>70425.406427727299</v>
      </c>
      <c r="F750">
        <v>5.1805719742237999</v>
      </c>
      <c r="G750">
        <v>4.4442397018973896</v>
      </c>
      <c r="H750">
        <v>10</v>
      </c>
      <c r="I750">
        <v>14.8686344991929</v>
      </c>
      <c r="J750">
        <v>6.0289999999999999</v>
      </c>
      <c r="K750">
        <v>34.667330814819998</v>
      </c>
      <c r="L750">
        <v>28.381747914336</v>
      </c>
      <c r="M750">
        <v>6.14860758347253</v>
      </c>
      <c r="N750">
        <v>50.358823671868102</v>
      </c>
      <c r="O750">
        <v>22.819674554348801</v>
      </c>
      <c r="P750">
        <v>7.7382850990533196</v>
      </c>
      <c r="Q750">
        <v>18.724719742236001</v>
      </c>
      <c r="R750">
        <v>37.3649519241173</v>
      </c>
      <c r="S750">
        <v>-7.9626934843267403</v>
      </c>
      <c r="T750">
        <v>73.588789075069201</v>
      </c>
      <c r="U750">
        <v>0.44323261425897797</v>
      </c>
      <c r="V750">
        <v>49.536316087458196</v>
      </c>
    </row>
    <row r="751" spans="1:22" x14ac:dyDescent="0.25">
      <c r="A751" t="str">
        <f t="shared" si="11"/>
        <v>Iceland2022</v>
      </c>
      <c r="B751" t="s">
        <v>111</v>
      </c>
      <c r="C751" t="s">
        <v>112</v>
      </c>
      <c r="D751">
        <v>2022</v>
      </c>
      <c r="E751">
        <v>76350.455041650202</v>
      </c>
      <c r="F751">
        <v>8.8206939562349191</v>
      </c>
      <c r="G751">
        <v>8.3087551155892001</v>
      </c>
      <c r="H751">
        <v>10</v>
      </c>
      <c r="I751">
        <v>15.110994845611501</v>
      </c>
      <c r="J751">
        <v>3.7890000000000001</v>
      </c>
      <c r="K751">
        <v>32.566487477083697</v>
      </c>
      <c r="L751">
        <v>30.6667359788343</v>
      </c>
      <c r="M751">
        <v>8.8317495343216894</v>
      </c>
      <c r="N751">
        <v>50.351670582864003</v>
      </c>
      <c r="O751">
        <v>24.2511352122354</v>
      </c>
      <c r="P751">
        <v>4.84909060628343</v>
      </c>
      <c r="Q751">
        <v>21.326526428703001</v>
      </c>
      <c r="R751">
        <v>46.741621666501302</v>
      </c>
      <c r="S751">
        <v>-3.8181566204040198</v>
      </c>
      <c r="T751">
        <v>66.431050553629007</v>
      </c>
      <c r="U751">
        <v>0.81677760983143299</v>
      </c>
      <c r="V751">
        <v>56.695616070142599</v>
      </c>
    </row>
    <row r="752" spans="1:22" x14ac:dyDescent="0.25">
      <c r="A752" t="str">
        <f t="shared" si="11"/>
        <v>Iceland2023</v>
      </c>
      <c r="B752" t="s">
        <v>111</v>
      </c>
      <c r="C752" t="s">
        <v>112</v>
      </c>
      <c r="D752">
        <v>2023</v>
      </c>
      <c r="E752">
        <v>82138.789297355703</v>
      </c>
      <c r="F752">
        <v>5.1861576014018897</v>
      </c>
      <c r="G752">
        <v>8.7363029993729793</v>
      </c>
      <c r="H752">
        <v>10</v>
      </c>
      <c r="I752">
        <v>15.348303155015699</v>
      </c>
      <c r="J752">
        <v>3.5179999999999998</v>
      </c>
      <c r="K752">
        <v>32.074011733061297</v>
      </c>
      <c r="L752">
        <v>31.470973703207001</v>
      </c>
      <c r="M752">
        <v>5.2896095858162404</v>
      </c>
      <c r="N752">
        <v>50.159830241205398</v>
      </c>
      <c r="O752">
        <v>25.151211772875602</v>
      </c>
      <c r="P752">
        <v>4.5778611673483498</v>
      </c>
      <c r="Q752">
        <v>26.2109824620048</v>
      </c>
      <c r="R752">
        <v>44.145893022856498</v>
      </c>
      <c r="S752">
        <v>-2.3150337474743101</v>
      </c>
      <c r="T752">
        <v>61.518732386507601</v>
      </c>
      <c r="U752">
        <v>0.94192506788205699</v>
      </c>
      <c r="V752">
        <v>59.094171009639901</v>
      </c>
    </row>
    <row r="753" spans="1:22" x14ac:dyDescent="0.25">
      <c r="A753" t="str">
        <f t="shared" si="11"/>
        <v>Iceland2024</v>
      </c>
      <c r="B753" t="s">
        <v>111</v>
      </c>
      <c r="C753" t="s">
        <v>112</v>
      </c>
      <c r="D753">
        <v>2024</v>
      </c>
      <c r="E753">
        <v>86040.530985128804</v>
      </c>
      <c r="F753">
        <v>-0.97067646891838399</v>
      </c>
      <c r="G753">
        <v>5.8568384997006602</v>
      </c>
      <c r="H753">
        <v>10</v>
      </c>
      <c r="I753">
        <v>15.6448154592516</v>
      </c>
      <c r="J753">
        <v>3.6</v>
      </c>
      <c r="K753">
        <v>34.1943195491707</v>
      </c>
      <c r="L753">
        <v>32.263702562464502</v>
      </c>
      <c r="M753">
        <v>6.0197294597737603</v>
      </c>
      <c r="N753">
        <v>50.1688158799601</v>
      </c>
      <c r="O753">
        <v>26.111656991022699</v>
      </c>
      <c r="P753">
        <v>4.82371261947128</v>
      </c>
      <c r="Q753">
        <v>24.360104295088099</v>
      </c>
      <c r="R753">
        <v>42.451986287291298</v>
      </c>
      <c r="S753">
        <v>-3.7100168138736001</v>
      </c>
      <c r="T753">
        <v>60.448605855107097</v>
      </c>
      <c r="U753">
        <v>0.85315620358847</v>
      </c>
      <c r="V753">
        <v>57.392842023486402</v>
      </c>
    </row>
    <row r="754" spans="1:22" x14ac:dyDescent="0.25">
      <c r="A754" t="str">
        <f t="shared" si="11"/>
        <v>Iceland2025</v>
      </c>
      <c r="B754" t="s">
        <v>111</v>
      </c>
      <c r="C754" t="s">
        <v>112</v>
      </c>
      <c r="D754">
        <v>2025</v>
      </c>
      <c r="E754">
        <v>62854.090640793198</v>
      </c>
      <c r="F754">
        <v>3.4850670391668901</v>
      </c>
      <c r="G754">
        <v>3.8722792374824899</v>
      </c>
      <c r="H754">
        <v>10</v>
      </c>
      <c r="I754">
        <v>14.0228770869629</v>
      </c>
      <c r="J754">
        <v>3.625</v>
      </c>
      <c r="K754">
        <v>34.1943195491707</v>
      </c>
      <c r="L754">
        <v>32.263702562464502</v>
      </c>
      <c r="M754">
        <v>4.3411199566860299</v>
      </c>
      <c r="N754">
        <v>50.322471783718903</v>
      </c>
      <c r="O754">
        <v>20.815553889952401</v>
      </c>
      <c r="P754">
        <v>6.9414997562703604</v>
      </c>
      <c r="Q754">
        <v>21.326526428703001</v>
      </c>
      <c r="R754">
        <v>46.741621666501302</v>
      </c>
      <c r="S754">
        <v>-2.7652565845736401</v>
      </c>
      <c r="T754">
        <v>56.1057616053602</v>
      </c>
      <c r="U754">
        <v>0.79119521596176401</v>
      </c>
      <c r="V754">
        <v>56.205308251381702</v>
      </c>
    </row>
    <row r="755" spans="1:22" x14ac:dyDescent="0.25">
      <c r="A755" t="str">
        <f t="shared" si="11"/>
        <v>India2010</v>
      </c>
      <c r="B755" t="s">
        <v>113</v>
      </c>
      <c r="C755" t="s">
        <v>114</v>
      </c>
      <c r="D755">
        <v>2010</v>
      </c>
      <c r="E755">
        <v>1347.51939071367</v>
      </c>
      <c r="F755">
        <v>8.4975847022123503</v>
      </c>
      <c r="G755">
        <v>11.989389920424401</v>
      </c>
      <c r="H755">
        <v>8</v>
      </c>
      <c r="I755">
        <v>4.9404471910610503</v>
      </c>
      <c r="J755">
        <v>7.6310000000000002</v>
      </c>
      <c r="K755">
        <v>16.505135951404899</v>
      </c>
      <c r="L755">
        <v>13.1835965373763</v>
      </c>
      <c r="M755">
        <v>10.5260308551661</v>
      </c>
      <c r="N755">
        <v>56.9435299366504</v>
      </c>
      <c r="O755">
        <v>39.785624184773603</v>
      </c>
      <c r="P755">
        <v>7.7606341102683896</v>
      </c>
      <c r="Q755">
        <v>36.305875041067203</v>
      </c>
      <c r="R755">
        <v>22.400933248794502</v>
      </c>
      <c r="S755">
        <v>-8.5301820558598003</v>
      </c>
      <c r="T755">
        <v>67.675280667813198</v>
      </c>
      <c r="U755">
        <v>-0.95308450487779195</v>
      </c>
      <c r="V755">
        <v>22.7747391814741</v>
      </c>
    </row>
    <row r="756" spans="1:22" x14ac:dyDescent="0.25">
      <c r="A756" t="str">
        <f t="shared" si="11"/>
        <v>India2011</v>
      </c>
      <c r="B756" t="s">
        <v>113</v>
      </c>
      <c r="C756" t="s">
        <v>114</v>
      </c>
      <c r="D756">
        <v>2011</v>
      </c>
      <c r="E756">
        <v>1445.4612748603699</v>
      </c>
      <c r="F756">
        <v>5.2413161993769499</v>
      </c>
      <c r="G756">
        <v>8.9117933648337093</v>
      </c>
      <c r="H756">
        <v>8</v>
      </c>
      <c r="I756">
        <v>5.0124057389161001</v>
      </c>
      <c r="J756">
        <v>7.609</v>
      </c>
      <c r="K756">
        <v>14.489839403049301</v>
      </c>
      <c r="L756">
        <v>11.495996009089099</v>
      </c>
      <c r="M756">
        <v>8.7335789061806501</v>
      </c>
      <c r="N756">
        <v>55.9876762675338</v>
      </c>
      <c r="O756">
        <v>39.590421855218999</v>
      </c>
      <c r="P756">
        <v>6.1887901034765802</v>
      </c>
      <c r="Q756">
        <v>35.131793093810401</v>
      </c>
      <c r="R756">
        <v>24.540411319571302</v>
      </c>
      <c r="S756">
        <v>-8.0283022214735702</v>
      </c>
      <c r="T756">
        <v>68.6991770790261</v>
      </c>
      <c r="U756">
        <v>-1.00636808125976</v>
      </c>
      <c r="V756">
        <v>21.753515200453499</v>
      </c>
    </row>
    <row r="757" spans="1:22" x14ac:dyDescent="0.25">
      <c r="A757" t="str">
        <f t="shared" si="11"/>
        <v>India2012</v>
      </c>
      <c r="B757" t="s">
        <v>113</v>
      </c>
      <c r="C757" t="s">
        <v>114</v>
      </c>
      <c r="D757">
        <v>2012</v>
      </c>
      <c r="E757">
        <v>1429.3219952003201</v>
      </c>
      <c r="F757">
        <v>5.4563875516658698</v>
      </c>
      <c r="G757">
        <v>9.4789969141980102</v>
      </c>
      <c r="H757">
        <v>8</v>
      </c>
      <c r="I757">
        <v>5.0933882604732696</v>
      </c>
      <c r="J757">
        <v>7.6449999999999996</v>
      </c>
      <c r="K757">
        <v>16.166712404361999</v>
      </c>
      <c r="L757">
        <v>12.599872776486</v>
      </c>
      <c r="M757">
        <v>7.9343874779296</v>
      </c>
      <c r="N757">
        <v>55.060078071413997</v>
      </c>
      <c r="O757">
        <v>38.347415673040302</v>
      </c>
      <c r="P757">
        <v>5.9037150958866098</v>
      </c>
      <c r="Q757">
        <v>35.261292320435999</v>
      </c>
      <c r="R757">
        <v>24.534430661418</v>
      </c>
      <c r="S757">
        <v>-7.31826419144718</v>
      </c>
      <c r="T757">
        <v>68.145819924378003</v>
      </c>
      <c r="U757">
        <v>-0.92548492594223797</v>
      </c>
      <c r="V757">
        <v>23.303708026827199</v>
      </c>
    </row>
    <row r="758" spans="1:22" x14ac:dyDescent="0.25">
      <c r="A758" t="str">
        <f t="shared" si="11"/>
        <v>India2013</v>
      </c>
      <c r="B758" t="s">
        <v>113</v>
      </c>
      <c r="C758" t="s">
        <v>114</v>
      </c>
      <c r="D758">
        <v>2013</v>
      </c>
      <c r="E758">
        <v>1432.8439751219501</v>
      </c>
      <c r="F758">
        <v>6.3861064009482504</v>
      </c>
      <c r="G758">
        <v>10.0178784746102</v>
      </c>
      <c r="H758">
        <v>8</v>
      </c>
      <c r="I758">
        <v>5.1826277265507601</v>
      </c>
      <c r="J758">
        <v>7.6779999999999999</v>
      </c>
      <c r="K758">
        <v>16.638682548696501</v>
      </c>
      <c r="L758">
        <v>12.608993412469299</v>
      </c>
      <c r="M758">
        <v>6.18650400083453</v>
      </c>
      <c r="N758">
        <v>54.137837656517497</v>
      </c>
      <c r="O758">
        <v>34.023197899754798</v>
      </c>
      <c r="P758">
        <v>6.02774649537524</v>
      </c>
      <c r="Q758">
        <v>34.3046574869553</v>
      </c>
      <c r="R758">
        <v>25.430861300518998</v>
      </c>
      <c r="S758">
        <v>-6.78467823107023</v>
      </c>
      <c r="T758">
        <v>68.018335847905504</v>
      </c>
      <c r="U758">
        <v>-0.83832381704725101</v>
      </c>
      <c r="V758">
        <v>24.974223045898299</v>
      </c>
    </row>
    <row r="759" spans="1:22" x14ac:dyDescent="0.25">
      <c r="A759" t="str">
        <f t="shared" si="11"/>
        <v>India2014</v>
      </c>
      <c r="B759" t="s">
        <v>113</v>
      </c>
      <c r="C759" t="s">
        <v>114</v>
      </c>
      <c r="D759">
        <v>2014</v>
      </c>
      <c r="E759">
        <v>1553.88396075118</v>
      </c>
      <c r="F759">
        <v>7.4102276050885401</v>
      </c>
      <c r="G759">
        <v>6.6656567186789903</v>
      </c>
      <c r="H759">
        <v>8</v>
      </c>
      <c r="I759">
        <v>5.3071546126922096</v>
      </c>
      <c r="J759">
        <v>7.6559999999999997</v>
      </c>
      <c r="K759">
        <v>14.803137644208</v>
      </c>
      <c r="L759">
        <v>11.550620644555</v>
      </c>
      <c r="M759">
        <v>3.33175691706154</v>
      </c>
      <c r="N759">
        <v>53.242109023434303</v>
      </c>
      <c r="O759">
        <v>34.2678056268836</v>
      </c>
      <c r="P759">
        <v>6.5991330802016996</v>
      </c>
      <c r="Q759">
        <v>33.466025748980499</v>
      </c>
      <c r="R759">
        <v>22.967963008117199</v>
      </c>
      <c r="S759">
        <v>-6.9019082821155502</v>
      </c>
      <c r="T759">
        <v>67.641611626215905</v>
      </c>
      <c r="U759">
        <v>-0.86091447185588299</v>
      </c>
      <c r="V759">
        <v>24.541254390188101</v>
      </c>
    </row>
    <row r="760" spans="1:22" x14ac:dyDescent="0.25">
      <c r="A760" t="str">
        <f t="shared" si="11"/>
        <v>India2015</v>
      </c>
      <c r="B760" t="s">
        <v>113</v>
      </c>
      <c r="C760" t="s">
        <v>114</v>
      </c>
      <c r="D760">
        <v>2015</v>
      </c>
      <c r="E760">
        <v>1583.99815907985</v>
      </c>
      <c r="F760">
        <v>7.9962537857147096</v>
      </c>
      <c r="G760">
        <v>4.9069734412725596</v>
      </c>
      <c r="H760">
        <v>8</v>
      </c>
      <c r="I760">
        <v>5.4692130782775701</v>
      </c>
      <c r="J760">
        <v>7.6289999999999996</v>
      </c>
      <c r="K760">
        <v>15.1256903622794</v>
      </c>
      <c r="L760">
        <v>12.4152095425778</v>
      </c>
      <c r="M760">
        <v>2.2795881084983298</v>
      </c>
      <c r="N760">
        <v>52.397705819257197</v>
      </c>
      <c r="O760">
        <v>32.116730135827602</v>
      </c>
      <c r="P760">
        <v>8.0030918292965492</v>
      </c>
      <c r="Q760">
        <v>32.453924111190197</v>
      </c>
      <c r="R760">
        <v>19.813189156404501</v>
      </c>
      <c r="S760">
        <v>-7.28117841100297</v>
      </c>
      <c r="T760">
        <v>69.755372840182304</v>
      </c>
      <c r="U760">
        <v>-0.83686886336487598</v>
      </c>
      <c r="V760">
        <v>25.002108441222799</v>
      </c>
    </row>
    <row r="761" spans="1:22" x14ac:dyDescent="0.25">
      <c r="A761" t="str">
        <f t="shared" si="11"/>
        <v>India2016</v>
      </c>
      <c r="B761" t="s">
        <v>113</v>
      </c>
      <c r="C761" t="s">
        <v>114</v>
      </c>
      <c r="D761">
        <v>2016</v>
      </c>
      <c r="E761">
        <v>1707.5089291224299</v>
      </c>
      <c r="F761">
        <v>8.2563055017908606</v>
      </c>
      <c r="G761">
        <v>4.9482163406214097</v>
      </c>
      <c r="H761">
        <v>8</v>
      </c>
      <c r="I761">
        <v>5.6417308534043604</v>
      </c>
      <c r="J761">
        <v>7.6109999999999998</v>
      </c>
      <c r="K761">
        <v>15.2719500252316</v>
      </c>
      <c r="L761">
        <v>12.8510169890546</v>
      </c>
      <c r="M761">
        <v>3.2379749508076698</v>
      </c>
      <c r="N761">
        <v>51.576893729805903</v>
      </c>
      <c r="O761">
        <v>30.172690580036001</v>
      </c>
      <c r="P761">
        <v>8.4301390576823501</v>
      </c>
      <c r="Q761">
        <v>31.726414740368298</v>
      </c>
      <c r="R761">
        <v>19.158234910594601</v>
      </c>
      <c r="S761">
        <v>-7.2142562029385404</v>
      </c>
      <c r="T761">
        <v>69.815448403805902</v>
      </c>
      <c r="U761">
        <v>-0.796802015104637</v>
      </c>
      <c r="V761">
        <v>25.770022854361098</v>
      </c>
    </row>
    <row r="762" spans="1:22" x14ac:dyDescent="0.25">
      <c r="A762" t="str">
        <f t="shared" si="11"/>
        <v>India2017</v>
      </c>
      <c r="B762" t="s">
        <v>113</v>
      </c>
      <c r="C762" t="s">
        <v>114</v>
      </c>
      <c r="D762">
        <v>2017</v>
      </c>
      <c r="E762">
        <v>1950.1046828086601</v>
      </c>
      <c r="F762">
        <v>6.7953834189791102</v>
      </c>
      <c r="G762">
        <v>3.3281733746129798</v>
      </c>
      <c r="H762">
        <v>8</v>
      </c>
      <c r="I762">
        <v>5.8247052897296001</v>
      </c>
      <c r="J762">
        <v>7.6260000000000003</v>
      </c>
      <c r="K762">
        <v>15.614109922098301</v>
      </c>
      <c r="L762">
        <v>12.7267619005257</v>
      </c>
      <c r="M762">
        <v>3.9692579335233802</v>
      </c>
      <c r="N762">
        <v>50.767203345238897</v>
      </c>
      <c r="O762">
        <v>30.9821728344733</v>
      </c>
      <c r="P762">
        <v>8.1627186694363001</v>
      </c>
      <c r="Q762">
        <v>31.706753170612298</v>
      </c>
      <c r="R762">
        <v>18.7917648392982</v>
      </c>
      <c r="S762">
        <v>-6.3264118568756</v>
      </c>
      <c r="T762">
        <v>70.776243877013897</v>
      </c>
      <c r="U762">
        <v>-0.77401305662044895</v>
      </c>
      <c r="V762">
        <v>26.206792164658498</v>
      </c>
    </row>
    <row r="763" spans="1:22" x14ac:dyDescent="0.25">
      <c r="A763" t="str">
        <f t="shared" si="11"/>
        <v>India2018</v>
      </c>
      <c r="B763" t="s">
        <v>113</v>
      </c>
      <c r="C763" t="s">
        <v>114</v>
      </c>
      <c r="D763">
        <v>2018</v>
      </c>
      <c r="E763">
        <v>1966.25455171679</v>
      </c>
      <c r="F763">
        <v>6.4538513449776902</v>
      </c>
      <c r="G763">
        <v>3.9388264669163</v>
      </c>
      <c r="H763">
        <v>8</v>
      </c>
      <c r="I763">
        <v>6.0192595143722096</v>
      </c>
      <c r="J763">
        <v>7.6520000000000001</v>
      </c>
      <c r="K763">
        <v>15.6631319151388</v>
      </c>
      <c r="L763">
        <v>13.188532948648101</v>
      </c>
      <c r="M763">
        <v>3.8842402719666298</v>
      </c>
      <c r="N763">
        <v>50.0307900245271</v>
      </c>
      <c r="O763">
        <v>32.343218215448502</v>
      </c>
      <c r="P763">
        <v>6.9010554851236403</v>
      </c>
      <c r="Q763">
        <v>31.410492231141198</v>
      </c>
      <c r="R763">
        <v>19.927828598856198</v>
      </c>
      <c r="S763">
        <v>-6.4572065730073298</v>
      </c>
      <c r="T763">
        <v>71.682930789466297</v>
      </c>
      <c r="U763">
        <v>-0.79305212122982605</v>
      </c>
      <c r="V763">
        <v>25.841892683889501</v>
      </c>
    </row>
    <row r="764" spans="1:22" x14ac:dyDescent="0.25">
      <c r="A764" t="str">
        <f t="shared" si="11"/>
        <v>India2019</v>
      </c>
      <c r="B764" t="s">
        <v>113</v>
      </c>
      <c r="C764" t="s">
        <v>114</v>
      </c>
      <c r="D764">
        <v>2019</v>
      </c>
      <c r="E764">
        <v>2041.4286369858501</v>
      </c>
      <c r="F764">
        <v>3.87143694070356</v>
      </c>
      <c r="G764">
        <v>3.7295057353912902</v>
      </c>
      <c r="H764">
        <v>8</v>
      </c>
      <c r="I764">
        <v>6.2234730410980399</v>
      </c>
      <c r="J764">
        <v>6.51</v>
      </c>
      <c r="K764">
        <v>15.443029973664901</v>
      </c>
      <c r="L764">
        <v>12.604433094477599</v>
      </c>
      <c r="M764">
        <v>2.4055171610651298</v>
      </c>
      <c r="N764">
        <v>49.378131385678302</v>
      </c>
      <c r="O764">
        <v>30.096197568568801</v>
      </c>
      <c r="P764">
        <v>8.2736594004839592</v>
      </c>
      <c r="Q764">
        <v>29.7022005792949</v>
      </c>
      <c r="R764">
        <v>18.664264897256999</v>
      </c>
      <c r="S764">
        <v>-7.8583277767839599</v>
      </c>
      <c r="T764">
        <v>76.665332359768698</v>
      </c>
      <c r="U764">
        <v>-0.85258899884222505</v>
      </c>
      <c r="V764">
        <v>24.700818992870499</v>
      </c>
    </row>
    <row r="765" spans="1:22" x14ac:dyDescent="0.25">
      <c r="A765" t="str">
        <f t="shared" si="11"/>
        <v>India2020</v>
      </c>
      <c r="B765" t="s">
        <v>113</v>
      </c>
      <c r="C765" t="s">
        <v>114</v>
      </c>
      <c r="D765">
        <v>2020</v>
      </c>
      <c r="E765">
        <v>1907.0425163766899</v>
      </c>
      <c r="F765">
        <v>-5.7777247068680104</v>
      </c>
      <c r="G765">
        <v>6.6234367762853497</v>
      </c>
      <c r="H765">
        <v>8</v>
      </c>
      <c r="I765">
        <v>6.4168530233689802</v>
      </c>
      <c r="J765">
        <v>7.859</v>
      </c>
      <c r="K765">
        <v>15.443029973664901</v>
      </c>
      <c r="L765">
        <v>12.604433094477599</v>
      </c>
      <c r="M765">
        <v>4.8148579189340497</v>
      </c>
      <c r="N765">
        <v>48.725925362151997</v>
      </c>
      <c r="O765">
        <v>28.922384008065901</v>
      </c>
      <c r="P765">
        <v>12.9323281065786</v>
      </c>
      <c r="Q765">
        <v>28.679682113157199</v>
      </c>
      <c r="R765">
        <v>18.682476929675602</v>
      </c>
      <c r="S765">
        <v>-13.174212288510001</v>
      </c>
      <c r="T765">
        <v>90.561742837047305</v>
      </c>
      <c r="U765">
        <v>-1.1918873159983201</v>
      </c>
      <c r="V765">
        <v>18.197885035964301</v>
      </c>
    </row>
    <row r="766" spans="1:22" x14ac:dyDescent="0.25">
      <c r="A766" t="str">
        <f t="shared" si="11"/>
        <v>India2021</v>
      </c>
      <c r="B766" t="s">
        <v>113</v>
      </c>
      <c r="C766" t="s">
        <v>114</v>
      </c>
      <c r="D766">
        <v>2021</v>
      </c>
      <c r="E766">
        <v>2239.6138436748201</v>
      </c>
      <c r="F766">
        <v>9.6895924919287495</v>
      </c>
      <c r="G766">
        <v>5.1314074717636897</v>
      </c>
      <c r="H766">
        <v>8</v>
      </c>
      <c r="I766">
        <v>6.5457906926880698</v>
      </c>
      <c r="J766">
        <v>6.38</v>
      </c>
      <c r="K766">
        <v>15.443029973664901</v>
      </c>
      <c r="L766">
        <v>12.604433094477599</v>
      </c>
      <c r="M766">
        <v>8.3549077148159796</v>
      </c>
      <c r="N766">
        <v>48.040576618990698</v>
      </c>
      <c r="O766">
        <v>32.1158221755014</v>
      </c>
      <c r="P766">
        <v>9.8423857445232805</v>
      </c>
      <c r="Q766">
        <v>29.866133064956301</v>
      </c>
      <c r="R766">
        <v>21.399158330551501</v>
      </c>
      <c r="S766">
        <v>-9.7014152262017301</v>
      </c>
      <c r="T766">
        <v>85.712655411085393</v>
      </c>
      <c r="U766">
        <v>-0.865167376202854</v>
      </c>
      <c r="V766">
        <v>24.459743947327102</v>
      </c>
    </row>
    <row r="767" spans="1:22" x14ac:dyDescent="0.25">
      <c r="A767" t="str">
        <f t="shared" si="11"/>
        <v>India2022</v>
      </c>
      <c r="B767" t="s">
        <v>113</v>
      </c>
      <c r="C767" t="s">
        <v>114</v>
      </c>
      <c r="D767">
        <v>2022</v>
      </c>
      <c r="E767">
        <v>2347.4482943462299</v>
      </c>
      <c r="F767">
        <v>7.6093649776889496</v>
      </c>
      <c r="G767">
        <v>6.6990341407985197</v>
      </c>
      <c r="H767">
        <v>8</v>
      </c>
      <c r="I767">
        <v>6.69899975408181</v>
      </c>
      <c r="J767">
        <v>4.8220000000000001</v>
      </c>
      <c r="K767">
        <v>13.333517849133599</v>
      </c>
      <c r="L767">
        <v>9.1101178438265595</v>
      </c>
      <c r="M767">
        <v>5.89714185891133</v>
      </c>
      <c r="N767">
        <v>47.463705957060199</v>
      </c>
      <c r="O767">
        <v>33.6192585388984</v>
      </c>
      <c r="P767">
        <v>7.0095121054435898</v>
      </c>
      <c r="Q767">
        <v>29.8126610526337</v>
      </c>
      <c r="R767">
        <v>23.251541204529801</v>
      </c>
      <c r="S767">
        <v>-9.2342343619999205</v>
      </c>
      <c r="T767">
        <v>84.597731608878703</v>
      </c>
      <c r="U767">
        <v>-0.92145279539943203</v>
      </c>
      <c r="V767">
        <v>23.380987156429899</v>
      </c>
    </row>
    <row r="768" spans="1:22" x14ac:dyDescent="0.25">
      <c r="A768" t="str">
        <f t="shared" si="11"/>
        <v>India2023</v>
      </c>
      <c r="B768" t="s">
        <v>113</v>
      </c>
      <c r="C768" t="s">
        <v>114</v>
      </c>
      <c r="D768">
        <v>2023</v>
      </c>
      <c r="E768">
        <v>2530.1203127820399</v>
      </c>
      <c r="F768">
        <v>9.1907549302834504</v>
      </c>
      <c r="G768">
        <v>5.6491431890792496</v>
      </c>
      <c r="H768">
        <v>8</v>
      </c>
      <c r="I768">
        <v>6.9218433013863701</v>
      </c>
      <c r="J768">
        <v>4.1719999999999997</v>
      </c>
      <c r="K768">
        <v>15.443029973664901</v>
      </c>
      <c r="L768">
        <v>12.604433094477599</v>
      </c>
      <c r="M768">
        <v>2.5919495451376799</v>
      </c>
      <c r="N768">
        <v>47.013218112062198</v>
      </c>
      <c r="O768">
        <v>33.362310363884397</v>
      </c>
      <c r="P768">
        <v>7.9723731438974701</v>
      </c>
      <c r="Q768">
        <v>30.939006073248201</v>
      </c>
      <c r="R768">
        <v>21.448697783354099</v>
      </c>
      <c r="S768">
        <v>-8.3743846499661299</v>
      </c>
      <c r="T768">
        <v>85.010465875722005</v>
      </c>
      <c r="U768">
        <v>-0.76875393204784204</v>
      </c>
      <c r="V768">
        <v>26.307587653576501</v>
      </c>
    </row>
    <row r="769" spans="1:22" x14ac:dyDescent="0.25">
      <c r="A769" t="str">
        <f t="shared" si="11"/>
        <v>India2024</v>
      </c>
      <c r="B769" t="s">
        <v>113</v>
      </c>
      <c r="C769" t="s">
        <v>114</v>
      </c>
      <c r="D769">
        <v>2024</v>
      </c>
      <c r="E769">
        <v>2694.7378085996102</v>
      </c>
      <c r="F769">
        <v>6.4947655238382103</v>
      </c>
      <c r="G769">
        <v>4.9530355097365604</v>
      </c>
      <c r="H769">
        <v>8</v>
      </c>
      <c r="I769">
        <v>7.1465171403990801</v>
      </c>
      <c r="J769">
        <v>4.173</v>
      </c>
      <c r="K769">
        <v>15.443029973664901</v>
      </c>
      <c r="L769">
        <v>12.604433094477599</v>
      </c>
      <c r="M769">
        <v>3.08227399218495</v>
      </c>
      <c r="N769">
        <v>46.563997305935501</v>
      </c>
      <c r="O769">
        <v>32.914137254912703</v>
      </c>
      <c r="P769">
        <v>7.5213608818869702</v>
      </c>
      <c r="Q769">
        <v>30.268447331198999</v>
      </c>
      <c r="R769">
        <v>21.1618460520863</v>
      </c>
      <c r="S769">
        <v>-7.8549181574531701</v>
      </c>
      <c r="T769">
        <v>84.7817687192032</v>
      </c>
      <c r="U769">
        <v>-0.76938336549957798</v>
      </c>
      <c r="V769">
        <v>26.295524038875399</v>
      </c>
    </row>
    <row r="770" spans="1:22" x14ac:dyDescent="0.25">
      <c r="A770" t="str">
        <f t="shared" si="11"/>
        <v>India2025</v>
      </c>
      <c r="B770" t="s">
        <v>113</v>
      </c>
      <c r="C770" t="s">
        <v>114</v>
      </c>
      <c r="D770">
        <v>2025</v>
      </c>
      <c r="E770">
        <v>1907.0425163766899</v>
      </c>
      <c r="F770">
        <v>6.7953834189791102</v>
      </c>
      <c r="G770">
        <v>5.6491431890792496</v>
      </c>
      <c r="H770">
        <v>8</v>
      </c>
      <c r="I770">
        <v>5.8247052897296001</v>
      </c>
      <c r="J770">
        <v>4.2190000000000003</v>
      </c>
      <c r="K770">
        <v>15.443029973664901</v>
      </c>
      <c r="L770">
        <v>12.604433094477599</v>
      </c>
      <c r="M770">
        <v>3.9692579335233802</v>
      </c>
      <c r="N770">
        <v>50.767203345238897</v>
      </c>
      <c r="O770">
        <v>32.914137254912703</v>
      </c>
      <c r="P770">
        <v>7.7606341102683896</v>
      </c>
      <c r="Q770">
        <v>31.706753170612298</v>
      </c>
      <c r="R770">
        <v>21.399158330551501</v>
      </c>
      <c r="S770">
        <v>-7.4402351006114698</v>
      </c>
      <c r="T770">
        <v>84.074720214457798</v>
      </c>
      <c r="U770">
        <v>-0.80335190104117005</v>
      </c>
      <c r="V770">
        <v>25.644488852225301</v>
      </c>
    </row>
    <row r="771" spans="1:22" x14ac:dyDescent="0.25">
      <c r="A771" t="str">
        <f t="shared" si="11"/>
        <v>Iraq2010</v>
      </c>
      <c r="B771" t="s">
        <v>115</v>
      </c>
      <c r="C771" t="s">
        <v>116</v>
      </c>
      <c r="D771">
        <v>2010</v>
      </c>
      <c r="E771">
        <v>4461.7519616155496</v>
      </c>
      <c r="F771">
        <v>6.4025648447119297</v>
      </c>
      <c r="G771">
        <v>2.8777472527476</v>
      </c>
      <c r="H771">
        <v>6</v>
      </c>
      <c r="I771">
        <v>2.9987422277450402</v>
      </c>
      <c r="J771">
        <v>8.2669999999999995</v>
      </c>
      <c r="K771">
        <v>26.267503568600699</v>
      </c>
      <c r="L771">
        <v>36.583777593047003</v>
      </c>
      <c r="M771">
        <v>16.5867407502258</v>
      </c>
      <c r="N771">
        <v>79.345209664758698</v>
      </c>
      <c r="O771">
        <v>15.867865390969699</v>
      </c>
      <c r="P771">
        <v>12.7409467178946</v>
      </c>
      <c r="Q771">
        <v>35.978253864506897</v>
      </c>
      <c r="R771">
        <v>39.41682921428</v>
      </c>
      <c r="S771">
        <v>-4.1789094821675201</v>
      </c>
      <c r="T771">
        <v>53.5328797242787</v>
      </c>
      <c r="U771">
        <v>-0.31214738841843898</v>
      </c>
      <c r="V771">
        <v>35.058831168135796</v>
      </c>
    </row>
    <row r="772" spans="1:22" x14ac:dyDescent="0.25">
      <c r="A772" t="str">
        <f t="shared" ref="A772:A835" si="12">C772&amp;D772</f>
        <v>Iraq2011</v>
      </c>
      <c r="B772" t="s">
        <v>115</v>
      </c>
      <c r="C772" t="s">
        <v>116</v>
      </c>
      <c r="D772">
        <v>2011</v>
      </c>
      <c r="E772">
        <v>5775.5422908029304</v>
      </c>
      <c r="F772">
        <v>7.5464712004259997</v>
      </c>
      <c r="G772">
        <v>5.8014553708529997</v>
      </c>
      <c r="H772">
        <v>6</v>
      </c>
      <c r="I772">
        <v>3.0001455004005</v>
      </c>
      <c r="J772">
        <v>8.1929999999999996</v>
      </c>
      <c r="K772">
        <v>26.267503568600699</v>
      </c>
      <c r="L772">
        <v>36.583777593047003</v>
      </c>
      <c r="M772">
        <v>24.6894374235643</v>
      </c>
      <c r="N772">
        <v>78.8269184426333</v>
      </c>
      <c r="O772">
        <v>16.7595018107714</v>
      </c>
      <c r="P772">
        <v>13.775673419173399</v>
      </c>
      <c r="Q772">
        <v>42.747789501016499</v>
      </c>
      <c r="R772">
        <v>44.417523039281903</v>
      </c>
      <c r="S772">
        <v>4.7444576252022497</v>
      </c>
      <c r="T772">
        <v>40.719365900651901</v>
      </c>
      <c r="U772">
        <v>0.220485094933074</v>
      </c>
      <c r="V772">
        <v>45.267174939391097</v>
      </c>
    </row>
    <row r="773" spans="1:22" x14ac:dyDescent="0.25">
      <c r="A773" t="str">
        <f t="shared" si="12"/>
        <v>Iraq2012</v>
      </c>
      <c r="B773" t="s">
        <v>115</v>
      </c>
      <c r="C773" t="s">
        <v>116</v>
      </c>
      <c r="D773">
        <v>2012</v>
      </c>
      <c r="E773">
        <v>6477.5961845095499</v>
      </c>
      <c r="F773">
        <v>13.936430173753701</v>
      </c>
      <c r="G773">
        <v>6.0890964159504302</v>
      </c>
      <c r="H773">
        <v>6</v>
      </c>
      <c r="I773">
        <v>2.9951781827533401</v>
      </c>
      <c r="J773">
        <v>7.9649999999999999</v>
      </c>
      <c r="K773">
        <v>26.267503568600699</v>
      </c>
      <c r="L773">
        <v>36.583777593047003</v>
      </c>
      <c r="M773">
        <v>2.66976938276827</v>
      </c>
      <c r="N773">
        <v>78.408437605972793</v>
      </c>
      <c r="O773">
        <v>13.4461715093466</v>
      </c>
      <c r="P773">
        <v>13.090794350489499</v>
      </c>
      <c r="Q773">
        <v>41.711428113309999</v>
      </c>
      <c r="R773">
        <v>44.508435361238099</v>
      </c>
      <c r="S773">
        <v>4.0938652832951297</v>
      </c>
      <c r="T773">
        <v>34.781799462465699</v>
      </c>
      <c r="U773">
        <v>0.30277994560114402</v>
      </c>
      <c r="V773">
        <v>46.844424079243701</v>
      </c>
    </row>
    <row r="774" spans="1:22" x14ac:dyDescent="0.25">
      <c r="A774" t="str">
        <f t="shared" si="12"/>
        <v>Iraq2013</v>
      </c>
      <c r="B774" t="s">
        <v>115</v>
      </c>
      <c r="C774" t="s">
        <v>116</v>
      </c>
      <c r="D774">
        <v>2013</v>
      </c>
      <c r="E774">
        <v>6650.3528224739503</v>
      </c>
      <c r="F774">
        <v>7.6282859229875397</v>
      </c>
      <c r="G774">
        <v>1.8794980074946901</v>
      </c>
      <c r="H774">
        <v>6</v>
      </c>
      <c r="I774">
        <v>3.0014634379031202</v>
      </c>
      <c r="J774">
        <v>9.2219999999999995</v>
      </c>
      <c r="K774">
        <v>26.267503568600699</v>
      </c>
      <c r="L774">
        <v>36.583777593047003</v>
      </c>
      <c r="M774">
        <v>-1.1332865067757301E-2</v>
      </c>
      <c r="N774">
        <v>77.959549470950705</v>
      </c>
      <c r="O774">
        <v>20.267739821453802</v>
      </c>
      <c r="P774">
        <v>12.7980431197862</v>
      </c>
      <c r="Q774">
        <v>41.385484072787897</v>
      </c>
      <c r="R774">
        <v>39.663536535202603</v>
      </c>
      <c r="S774">
        <v>-6.0622827762647802</v>
      </c>
      <c r="T774">
        <v>31.9870161482242</v>
      </c>
      <c r="U774">
        <v>-0.31928711647074198</v>
      </c>
      <c r="V774">
        <v>34.921992352124199</v>
      </c>
    </row>
    <row r="775" spans="1:22" x14ac:dyDescent="0.25">
      <c r="A775" t="str">
        <f t="shared" si="12"/>
        <v>Iraq2014</v>
      </c>
      <c r="B775" t="s">
        <v>115</v>
      </c>
      <c r="C775" t="s">
        <v>116</v>
      </c>
      <c r="D775">
        <v>2014</v>
      </c>
      <c r="E775">
        <v>6249.3922697896896</v>
      </c>
      <c r="F775">
        <v>2.2636881756361298</v>
      </c>
      <c r="G775">
        <v>2.2359740790467901</v>
      </c>
      <c r="H775">
        <v>6</v>
      </c>
      <c r="I775">
        <v>3.02041509700436</v>
      </c>
      <c r="J775">
        <v>10.59</v>
      </c>
      <c r="K775">
        <v>25.709014155358101</v>
      </c>
      <c r="L775">
        <v>39.169436418087997</v>
      </c>
      <c r="M775">
        <v>-4.8066370399159597</v>
      </c>
      <c r="N775">
        <v>77.432273290107901</v>
      </c>
      <c r="O775">
        <v>18.2159749362255</v>
      </c>
      <c r="P775">
        <v>11.3259059912738</v>
      </c>
      <c r="Q775">
        <v>37.9756367322003</v>
      </c>
      <c r="R775">
        <v>38.941726451477898</v>
      </c>
      <c r="S775">
        <v>-5.6305337486190901</v>
      </c>
      <c r="T775">
        <v>27.565261108443501</v>
      </c>
      <c r="U775">
        <v>-0.36532447245639499</v>
      </c>
      <c r="V775">
        <v>34.039648201305603</v>
      </c>
    </row>
    <row r="776" spans="1:22" x14ac:dyDescent="0.25">
      <c r="A776" t="str">
        <f t="shared" si="12"/>
        <v>Iraq2015</v>
      </c>
      <c r="B776" t="s">
        <v>115</v>
      </c>
      <c r="C776" t="s">
        <v>116</v>
      </c>
      <c r="D776">
        <v>2015</v>
      </c>
      <c r="E776">
        <v>4440.1418925236703</v>
      </c>
      <c r="F776">
        <v>2.6067664293954098</v>
      </c>
      <c r="G776">
        <v>1.39333028780309</v>
      </c>
      <c r="H776">
        <v>6</v>
      </c>
      <c r="I776">
        <v>3.0451084235768802</v>
      </c>
      <c r="J776">
        <v>10.865</v>
      </c>
      <c r="K776">
        <v>27.0309301531966</v>
      </c>
      <c r="L776">
        <v>30.595811618745302</v>
      </c>
      <c r="M776">
        <v>-28.7601353853759</v>
      </c>
      <c r="N776">
        <v>76.745768996664395</v>
      </c>
      <c r="O776">
        <v>20.359651707882001</v>
      </c>
      <c r="P776">
        <v>10.8017323095628</v>
      </c>
      <c r="Q776">
        <v>25.071538671070201</v>
      </c>
      <c r="R776">
        <v>34.514146441095598</v>
      </c>
      <c r="S776">
        <v>-12.829653968198199</v>
      </c>
      <c r="T776">
        <v>48.334902078266602</v>
      </c>
      <c r="U776">
        <v>-1.00954072483181</v>
      </c>
      <c r="V776">
        <v>21.692708852250099</v>
      </c>
    </row>
    <row r="777" spans="1:22" x14ac:dyDescent="0.25">
      <c r="A777" t="str">
        <f t="shared" si="12"/>
        <v>Iraq2016</v>
      </c>
      <c r="B777" t="s">
        <v>115</v>
      </c>
      <c r="C777" t="s">
        <v>116</v>
      </c>
      <c r="D777">
        <v>2016</v>
      </c>
      <c r="E777">
        <v>4334.4209640418803</v>
      </c>
      <c r="F777">
        <v>13.7873730187089</v>
      </c>
      <c r="G777">
        <v>0.55652139715551097</v>
      </c>
      <c r="H777">
        <v>6</v>
      </c>
      <c r="I777">
        <v>3.0857434619784598</v>
      </c>
      <c r="J777">
        <v>10.82</v>
      </c>
      <c r="K777">
        <v>26.5600237455794</v>
      </c>
      <c r="L777">
        <v>27.584506989239699</v>
      </c>
      <c r="M777">
        <v>-11.104170920330301</v>
      </c>
      <c r="N777">
        <v>75.941151388931004</v>
      </c>
      <c r="O777">
        <v>17.877204793727898</v>
      </c>
      <c r="P777">
        <v>11.8139189353787</v>
      </c>
      <c r="Q777">
        <v>24.444461346610002</v>
      </c>
      <c r="R777">
        <v>28.1085236792986</v>
      </c>
      <c r="S777">
        <v>-14.448702068708901</v>
      </c>
      <c r="T777">
        <v>60.300789902419801</v>
      </c>
      <c r="U777">
        <v>-1.0264085406086501</v>
      </c>
      <c r="V777">
        <v>21.369423158075399</v>
      </c>
    </row>
    <row r="778" spans="1:22" x14ac:dyDescent="0.25">
      <c r="A778" t="str">
        <f t="shared" si="12"/>
        <v>Iraq2017</v>
      </c>
      <c r="B778" t="s">
        <v>115</v>
      </c>
      <c r="C778" t="s">
        <v>116</v>
      </c>
      <c r="D778">
        <v>2017</v>
      </c>
      <c r="E778">
        <v>4759.2846435467</v>
      </c>
      <c r="F778">
        <v>-1.8197503511830899</v>
      </c>
      <c r="G778">
        <v>0.18405889884769</v>
      </c>
      <c r="H778">
        <v>6</v>
      </c>
      <c r="I778">
        <v>3.1507228873442101</v>
      </c>
      <c r="J778">
        <v>13.02</v>
      </c>
      <c r="K778">
        <v>25.9749833916221</v>
      </c>
      <c r="L778">
        <v>34.563725679561699</v>
      </c>
      <c r="M778">
        <v>14.650359788845099</v>
      </c>
      <c r="N778">
        <v>75.059907760272793</v>
      </c>
      <c r="O778">
        <v>17.8524768622366</v>
      </c>
      <c r="P778">
        <v>11.7385756809119</v>
      </c>
      <c r="Q778">
        <v>32.102130573335302</v>
      </c>
      <c r="R778">
        <v>33.916063413497902</v>
      </c>
      <c r="S778">
        <v>-1.5208096750455899</v>
      </c>
      <c r="T778">
        <v>55.873546418424901</v>
      </c>
      <c r="U778">
        <v>-0.45715575147523002</v>
      </c>
      <c r="V778">
        <v>32.279625494317102</v>
      </c>
    </row>
    <row r="779" spans="1:22" x14ac:dyDescent="0.25">
      <c r="A779" t="str">
        <f t="shared" si="12"/>
        <v>Iraq2018</v>
      </c>
      <c r="B779" t="s">
        <v>115</v>
      </c>
      <c r="C779" t="s">
        <v>116</v>
      </c>
      <c r="D779">
        <v>2018</v>
      </c>
      <c r="E779">
        <v>5646.6893207474204</v>
      </c>
      <c r="F779">
        <v>2.63385099105624</v>
      </c>
      <c r="G779">
        <v>0.36744148893684903</v>
      </c>
      <c r="H779">
        <v>6</v>
      </c>
      <c r="I779">
        <v>3.2330356629635801</v>
      </c>
      <c r="J779">
        <v>13.458</v>
      </c>
      <c r="K779">
        <v>24.483420431224399</v>
      </c>
      <c r="L779">
        <v>39.0612217990099</v>
      </c>
      <c r="M779">
        <v>18.203992099393702</v>
      </c>
      <c r="N779">
        <v>74.106529319578101</v>
      </c>
      <c r="O779">
        <v>17.585470516286598</v>
      </c>
      <c r="P779">
        <v>12.987978471572999</v>
      </c>
      <c r="Q779">
        <v>40.281070230868202</v>
      </c>
      <c r="R779">
        <v>40.8026420265318</v>
      </c>
      <c r="S779">
        <v>7.6852951774737299</v>
      </c>
      <c r="T779">
        <v>44.362640219966501</v>
      </c>
      <c r="U779">
        <v>0.19595478304316799</v>
      </c>
      <c r="V779">
        <v>44.797031145282602</v>
      </c>
    </row>
    <row r="780" spans="1:22" x14ac:dyDescent="0.25">
      <c r="A780" t="str">
        <f t="shared" si="12"/>
        <v>Iraq2019</v>
      </c>
      <c r="B780" t="s">
        <v>115</v>
      </c>
      <c r="C780" t="s">
        <v>116</v>
      </c>
      <c r="D780">
        <v>2019</v>
      </c>
      <c r="E780">
        <v>5671.8568632941997</v>
      </c>
      <c r="F780">
        <v>5.5137905754232301</v>
      </c>
      <c r="G780">
        <v>-0.198965380023928</v>
      </c>
      <c r="H780">
        <v>6</v>
      </c>
      <c r="I780">
        <v>3.3172032049148799</v>
      </c>
      <c r="J780">
        <v>14.096</v>
      </c>
      <c r="K780">
        <v>27.612135277090701</v>
      </c>
      <c r="L780">
        <v>38.603829506532399</v>
      </c>
      <c r="M780">
        <v>-2.6744400358069398</v>
      </c>
      <c r="N780">
        <v>73.095141926333497</v>
      </c>
      <c r="O780">
        <v>22.740724588358599</v>
      </c>
      <c r="P780">
        <v>10.8595841433164</v>
      </c>
      <c r="Q780">
        <v>37.350147579137797</v>
      </c>
      <c r="R780">
        <v>38.051868198883803</v>
      </c>
      <c r="S780">
        <v>0.83378691022648699</v>
      </c>
      <c r="T780">
        <v>41.712045226309698</v>
      </c>
      <c r="U780">
        <v>-0.169679338204964</v>
      </c>
      <c r="V780">
        <v>37.789349637171497</v>
      </c>
    </row>
    <row r="781" spans="1:22" x14ac:dyDescent="0.25">
      <c r="A781" t="str">
        <f t="shared" si="12"/>
        <v>Iraq2020</v>
      </c>
      <c r="B781" t="s">
        <v>115</v>
      </c>
      <c r="C781" t="s">
        <v>116</v>
      </c>
      <c r="D781">
        <v>2020</v>
      </c>
      <c r="E781">
        <v>4295.1894512122799</v>
      </c>
      <c r="F781">
        <v>-12.0367930931152</v>
      </c>
      <c r="G781">
        <v>0.57416267942579502</v>
      </c>
      <c r="H781">
        <v>6</v>
      </c>
      <c r="I781">
        <v>3.3603955418580802</v>
      </c>
      <c r="J781">
        <v>15.766</v>
      </c>
      <c r="K781">
        <v>26.267503568600699</v>
      </c>
      <c r="L781">
        <v>36.583777593047003</v>
      </c>
      <c r="M781">
        <v>-11.2201963874294</v>
      </c>
      <c r="N781">
        <v>71.984051072763506</v>
      </c>
      <c r="O781">
        <v>22.346858995587201</v>
      </c>
      <c r="P781">
        <v>11.3492885016081</v>
      </c>
      <c r="Q781">
        <v>24.031472052625801</v>
      </c>
      <c r="R781">
        <v>27.750277551257</v>
      </c>
      <c r="S781">
        <v>-12.815380556273601</v>
      </c>
      <c r="T781">
        <v>72.455083832329194</v>
      </c>
      <c r="U781">
        <v>-1.2500609705557699</v>
      </c>
      <c r="V781">
        <v>17.082938646634201</v>
      </c>
    </row>
    <row r="782" spans="1:22" x14ac:dyDescent="0.25">
      <c r="A782" t="str">
        <f t="shared" si="12"/>
        <v>Iraq2021</v>
      </c>
      <c r="B782" t="s">
        <v>115</v>
      </c>
      <c r="C782" t="s">
        <v>116</v>
      </c>
      <c r="D782">
        <v>2021</v>
      </c>
      <c r="E782">
        <v>4868.4943108078296</v>
      </c>
      <c r="F782">
        <v>1.5021807095203701</v>
      </c>
      <c r="G782">
        <v>6.04186489058044</v>
      </c>
      <c r="H782">
        <v>6</v>
      </c>
      <c r="I782">
        <v>3.3810473007253901</v>
      </c>
      <c r="J782">
        <v>16.172999999999998</v>
      </c>
      <c r="K782">
        <v>26.267503568600699</v>
      </c>
      <c r="L782">
        <v>36.583777593047003</v>
      </c>
      <c r="M782">
        <v>38.899833152983398</v>
      </c>
      <c r="N782">
        <v>70.774581907443306</v>
      </c>
      <c r="O782">
        <v>21.4281806177489</v>
      </c>
      <c r="P782">
        <v>14.468428813116599</v>
      </c>
      <c r="Q782">
        <v>40.514072013026997</v>
      </c>
      <c r="R782">
        <v>37.3216528340457</v>
      </c>
      <c r="S782">
        <v>-0.37701286731487799</v>
      </c>
      <c r="T782">
        <v>54.714572212960697</v>
      </c>
      <c r="U782">
        <v>-0.28721442767703698</v>
      </c>
      <c r="V782">
        <v>35.5366920617898</v>
      </c>
    </row>
    <row r="783" spans="1:22" x14ac:dyDescent="0.25">
      <c r="A783" t="str">
        <f t="shared" si="12"/>
        <v>Iraq2022</v>
      </c>
      <c r="B783" t="s">
        <v>115</v>
      </c>
      <c r="C783" t="s">
        <v>116</v>
      </c>
      <c r="D783">
        <v>2022</v>
      </c>
      <c r="E783">
        <v>6520.7315456058404</v>
      </c>
      <c r="F783">
        <v>7.9590480499266203</v>
      </c>
      <c r="G783">
        <v>4.9947659638104396</v>
      </c>
      <c r="H783">
        <v>6</v>
      </c>
      <c r="I783">
        <v>3.3976055801979901</v>
      </c>
      <c r="J783">
        <v>15.41</v>
      </c>
      <c r="K783">
        <v>26.267503568600699</v>
      </c>
      <c r="L783">
        <v>36.583777593047003</v>
      </c>
      <c r="M783">
        <v>26.941610949221801</v>
      </c>
      <c r="N783">
        <v>69.4474528755877</v>
      </c>
      <c r="O783">
        <v>24.3148601227151</v>
      </c>
      <c r="P783">
        <v>16.265596420487999</v>
      </c>
      <c r="Q783">
        <v>54.537925904844599</v>
      </c>
      <c r="R783">
        <v>44.525946214534102</v>
      </c>
      <c r="S783">
        <v>8.0977632836140803</v>
      </c>
      <c r="T783">
        <v>38.974058318985598</v>
      </c>
      <c r="U783">
        <v>0.36709054632655502</v>
      </c>
      <c r="V783">
        <v>48.076990137194201</v>
      </c>
    </row>
    <row r="784" spans="1:22" x14ac:dyDescent="0.25">
      <c r="A784" t="str">
        <f t="shared" si="12"/>
        <v>Iraq2023</v>
      </c>
      <c r="B784" t="s">
        <v>115</v>
      </c>
      <c r="C784" t="s">
        <v>116</v>
      </c>
      <c r="D784">
        <v>2023</v>
      </c>
      <c r="E784">
        <v>5965.3183507776102</v>
      </c>
      <c r="F784">
        <v>0.51770552513119095</v>
      </c>
      <c r="G784">
        <v>4.35835351089586</v>
      </c>
      <c r="H784">
        <v>6</v>
      </c>
      <c r="I784">
        <v>3.3967039437703899</v>
      </c>
      <c r="J784">
        <v>15.239000000000001</v>
      </c>
      <c r="K784">
        <v>26.267503568600699</v>
      </c>
      <c r="L784">
        <v>36.583777593047003</v>
      </c>
      <c r="M784">
        <v>-15.534723785008101</v>
      </c>
      <c r="N784">
        <v>68.033619958945593</v>
      </c>
      <c r="O784">
        <v>24.086519701834899</v>
      </c>
      <c r="P784">
        <v>15.873702596299999</v>
      </c>
      <c r="Q784">
        <v>43.320581704093598</v>
      </c>
      <c r="R784">
        <v>39.631232240004302</v>
      </c>
      <c r="S784">
        <v>-1.14082579144163</v>
      </c>
      <c r="T784">
        <v>42.078397215866602</v>
      </c>
      <c r="U784">
        <v>-0.235487423360699</v>
      </c>
      <c r="V784">
        <v>36.528083046800099</v>
      </c>
    </row>
    <row r="785" spans="1:22" x14ac:dyDescent="0.25">
      <c r="A785" t="str">
        <f t="shared" si="12"/>
        <v>Iraq2024</v>
      </c>
      <c r="B785" t="s">
        <v>115</v>
      </c>
      <c r="C785" t="s">
        <v>116</v>
      </c>
      <c r="D785">
        <v>2024</v>
      </c>
      <c r="E785">
        <v>6073.6103234270804</v>
      </c>
      <c r="F785">
        <v>-1.54525198318304</v>
      </c>
      <c r="G785">
        <v>-12.2969837587007</v>
      </c>
      <c r="H785">
        <v>6</v>
      </c>
      <c r="I785">
        <v>3.4143879237257502</v>
      </c>
      <c r="J785">
        <v>15.292999999999999</v>
      </c>
      <c r="K785">
        <v>26.267503568600699</v>
      </c>
      <c r="L785">
        <v>36.583777593047003</v>
      </c>
      <c r="M785">
        <v>4.3696812576486099</v>
      </c>
      <c r="N785">
        <v>66.654824460498503</v>
      </c>
      <c r="O785">
        <v>28.229069704823601</v>
      </c>
      <c r="P785">
        <v>11.2072163127604</v>
      </c>
      <c r="Q785">
        <v>41.939049145325697</v>
      </c>
      <c r="R785">
        <v>37.507493745415701</v>
      </c>
      <c r="S785">
        <v>-3.4534460827434801</v>
      </c>
      <c r="T785">
        <v>45.201621038012298</v>
      </c>
      <c r="U785">
        <v>-0.45490129431962101</v>
      </c>
      <c r="V785">
        <v>32.3228340375085</v>
      </c>
    </row>
    <row r="786" spans="1:22" x14ac:dyDescent="0.25">
      <c r="A786" t="str">
        <f t="shared" si="12"/>
        <v>Iraq2025</v>
      </c>
      <c r="B786" t="s">
        <v>115</v>
      </c>
      <c r="C786" t="s">
        <v>116</v>
      </c>
      <c r="D786">
        <v>2025</v>
      </c>
      <c r="E786">
        <v>5671.8568632941997</v>
      </c>
      <c r="F786">
        <v>2.63385099105624</v>
      </c>
      <c r="G786">
        <v>1.8794980074946901</v>
      </c>
      <c r="H786">
        <v>6</v>
      </c>
      <c r="I786">
        <v>3.1507228873442101</v>
      </c>
      <c r="J786">
        <v>15.484999999999999</v>
      </c>
      <c r="K786">
        <v>26.267503568600699</v>
      </c>
      <c r="L786">
        <v>36.583777593047003</v>
      </c>
      <c r="M786">
        <v>2.66976938276827</v>
      </c>
      <c r="N786">
        <v>75.059907760272793</v>
      </c>
      <c r="O786">
        <v>20.267739821453802</v>
      </c>
      <c r="P786">
        <v>12.7409467178946</v>
      </c>
      <c r="Q786">
        <v>40.281070230868202</v>
      </c>
      <c r="R786">
        <v>38.941726451477898</v>
      </c>
      <c r="S786">
        <v>-6.4057998905475602</v>
      </c>
      <c r="T786">
        <v>53.920525062364597</v>
      </c>
      <c r="U786">
        <v>-0.56276207471183004</v>
      </c>
      <c r="V786">
        <v>30.2555926279137</v>
      </c>
    </row>
    <row r="787" spans="1:22" x14ac:dyDescent="0.25">
      <c r="A787" t="str">
        <f t="shared" si="12"/>
        <v>Ireland2010</v>
      </c>
      <c r="B787" t="s">
        <v>117</v>
      </c>
      <c r="C787" t="s">
        <v>118</v>
      </c>
      <c r="D787">
        <v>2010</v>
      </c>
      <c r="E787">
        <v>48623.966642248699</v>
      </c>
      <c r="F787">
        <v>1.68297175486512</v>
      </c>
      <c r="G787">
        <v>-0.918388645376774</v>
      </c>
      <c r="H787">
        <v>10</v>
      </c>
      <c r="I787">
        <v>11.378359230371</v>
      </c>
      <c r="J787">
        <v>14.534000000000001</v>
      </c>
      <c r="K787">
        <v>62.410565711843397</v>
      </c>
      <c r="L787">
        <v>30.945012408981601</v>
      </c>
      <c r="M787">
        <v>-2.9689268813618002</v>
      </c>
      <c r="N787">
        <v>48.074864886278498</v>
      </c>
      <c r="O787">
        <v>17.291356375860499</v>
      </c>
      <c r="P787">
        <v>9.0810337914240105E-2</v>
      </c>
      <c r="Q787">
        <v>17.2397475680397</v>
      </c>
      <c r="R787">
        <v>103.327078355769</v>
      </c>
      <c r="S787">
        <v>-32.144988191683296</v>
      </c>
      <c r="T787">
        <v>86.231562584078205</v>
      </c>
      <c r="U787">
        <v>-0.62151293234225402</v>
      </c>
      <c r="V787">
        <v>29.129583662456699</v>
      </c>
    </row>
    <row r="788" spans="1:22" x14ac:dyDescent="0.25">
      <c r="A788" t="str">
        <f t="shared" si="12"/>
        <v>Ireland2011</v>
      </c>
      <c r="B788" t="s">
        <v>117</v>
      </c>
      <c r="C788" t="s">
        <v>118</v>
      </c>
      <c r="D788">
        <v>2011</v>
      </c>
      <c r="E788">
        <v>52613.854035568897</v>
      </c>
      <c r="F788">
        <v>1.60886648916944</v>
      </c>
      <c r="G788">
        <v>2.5489783020855001</v>
      </c>
      <c r="H788">
        <v>10</v>
      </c>
      <c r="I788">
        <v>11.7171523074328</v>
      </c>
      <c r="J788">
        <v>15.353999999999999</v>
      </c>
      <c r="K788">
        <v>44.470329510242898</v>
      </c>
      <c r="L788">
        <v>31.615451014255001</v>
      </c>
      <c r="M788">
        <v>1.8679120614553599</v>
      </c>
      <c r="N788">
        <v>49.417348275664096</v>
      </c>
      <c r="O788">
        <v>17.104444903277301</v>
      </c>
      <c r="P788">
        <v>6.6296681034853699E-2</v>
      </c>
      <c r="Q788">
        <v>16.4835128435227</v>
      </c>
      <c r="R788">
        <v>102.41088550995001</v>
      </c>
      <c r="S788">
        <v>-13.470405092391999</v>
      </c>
      <c r="T788">
        <v>109.59022879951</v>
      </c>
      <c r="U788">
        <v>3.1128469556772499E-2</v>
      </c>
      <c r="V788">
        <v>41.637997997266098</v>
      </c>
    </row>
    <row r="789" spans="1:22" x14ac:dyDescent="0.25">
      <c r="A789" t="str">
        <f t="shared" si="12"/>
        <v>Ireland2012</v>
      </c>
      <c r="B789" t="s">
        <v>117</v>
      </c>
      <c r="C789" t="s">
        <v>118</v>
      </c>
      <c r="D789">
        <v>2012</v>
      </c>
      <c r="E789">
        <v>49335.840809955502</v>
      </c>
      <c r="F789">
        <v>-0.40502941658976999</v>
      </c>
      <c r="G789">
        <v>1.69474116680366</v>
      </c>
      <c r="H789">
        <v>10</v>
      </c>
      <c r="I789">
        <v>12.082240248758101</v>
      </c>
      <c r="J789">
        <v>15.451000000000001</v>
      </c>
      <c r="K789">
        <v>39.984224154207297</v>
      </c>
      <c r="L789">
        <v>32.097263765844602</v>
      </c>
      <c r="M789">
        <v>2.4374790995117301</v>
      </c>
      <c r="N789">
        <v>50.536947808777697</v>
      </c>
      <c r="O789">
        <v>19.888211037284201</v>
      </c>
      <c r="P789">
        <v>6.5428748075856302E-2</v>
      </c>
      <c r="Q789">
        <v>16.712029025524298</v>
      </c>
      <c r="R789">
        <v>103.82169518958101</v>
      </c>
      <c r="S789">
        <v>-8.4154295614362802</v>
      </c>
      <c r="T789">
        <v>118.91100768873601</v>
      </c>
      <c r="U789">
        <v>0.134903521260127</v>
      </c>
      <c r="V789">
        <v>43.626933024288299</v>
      </c>
    </row>
    <row r="790" spans="1:22" x14ac:dyDescent="0.25">
      <c r="A790" t="str">
        <f t="shared" si="12"/>
        <v>Ireland2013</v>
      </c>
      <c r="B790" t="s">
        <v>117</v>
      </c>
      <c r="C790" t="s">
        <v>118</v>
      </c>
      <c r="D790">
        <v>2013</v>
      </c>
      <c r="E790">
        <v>52537.610864869202</v>
      </c>
      <c r="F790">
        <v>2.1929375750029001</v>
      </c>
      <c r="G790">
        <v>0.515099484900573</v>
      </c>
      <c r="H790">
        <v>10</v>
      </c>
      <c r="I790">
        <v>12.4475140098686</v>
      </c>
      <c r="J790">
        <v>13.734999999999999</v>
      </c>
      <c r="K790">
        <v>37.628666020376798</v>
      </c>
      <c r="L790">
        <v>32.005434232500299</v>
      </c>
      <c r="M790">
        <v>1.33716015656439</v>
      </c>
      <c r="N790">
        <v>51.3979987426655</v>
      </c>
      <c r="O790">
        <v>18.3655706866444</v>
      </c>
      <c r="P790">
        <v>5.8951581266045397E-2</v>
      </c>
      <c r="Q790">
        <v>21.906371226239301</v>
      </c>
      <c r="R790">
        <v>109.746480737327</v>
      </c>
      <c r="S790">
        <v>-6.2765637557473903</v>
      </c>
      <c r="T790">
        <v>117.675182741144</v>
      </c>
      <c r="U790">
        <v>0.38899852033562499</v>
      </c>
      <c r="V790">
        <v>48.496874648572501</v>
      </c>
    </row>
    <row r="791" spans="1:22" x14ac:dyDescent="0.25">
      <c r="A791" t="str">
        <f t="shared" si="12"/>
        <v>Ireland2014</v>
      </c>
      <c r="B791" t="s">
        <v>117</v>
      </c>
      <c r="C791" t="s">
        <v>118</v>
      </c>
      <c r="D791">
        <v>2014</v>
      </c>
      <c r="E791">
        <v>57214.537978570901</v>
      </c>
      <c r="F791">
        <v>9.3857933513092195</v>
      </c>
      <c r="G791">
        <v>0.19091639871374499</v>
      </c>
      <c r="H791">
        <v>10</v>
      </c>
      <c r="I791">
        <v>12.795190714258201</v>
      </c>
      <c r="J791">
        <v>11.858000000000001</v>
      </c>
      <c r="K791">
        <v>34.393562008838998</v>
      </c>
      <c r="L791">
        <v>31.652903187404501</v>
      </c>
      <c r="M791">
        <v>0.25931056596797902</v>
      </c>
      <c r="N791">
        <v>52.046457378433601</v>
      </c>
      <c r="O791">
        <v>21.936060478515699</v>
      </c>
      <c r="P791">
        <v>5.4827442111275403E-2</v>
      </c>
      <c r="Q791">
        <v>25.5445661555089</v>
      </c>
      <c r="R791">
        <v>115.097265448513</v>
      </c>
      <c r="S791">
        <v>-3.51723622223883</v>
      </c>
      <c r="T791">
        <v>101.387472269996</v>
      </c>
      <c r="U791">
        <v>0.69522414667098098</v>
      </c>
      <c r="V791">
        <v>54.365943026695099</v>
      </c>
    </row>
    <row r="792" spans="1:22" x14ac:dyDescent="0.25">
      <c r="A792" t="str">
        <f t="shared" si="12"/>
        <v>Ireland2015</v>
      </c>
      <c r="B792" t="s">
        <v>117</v>
      </c>
      <c r="C792" t="s">
        <v>118</v>
      </c>
      <c r="D792">
        <v>2015</v>
      </c>
      <c r="E792">
        <v>64250.138518125699</v>
      </c>
      <c r="F792">
        <v>24.623985636400601</v>
      </c>
      <c r="G792">
        <v>-0.330959783371788</v>
      </c>
      <c r="H792">
        <v>10</v>
      </c>
      <c r="I792">
        <v>13.1102542122923</v>
      </c>
      <c r="J792">
        <v>9.9079999999999995</v>
      </c>
      <c r="K792">
        <v>26.588743448124202</v>
      </c>
      <c r="L792">
        <v>25.0692936461699</v>
      </c>
      <c r="M792">
        <v>8.9178125079957802</v>
      </c>
      <c r="N792">
        <v>52.504673782319202</v>
      </c>
      <c r="O792">
        <v>26.0839383373545</v>
      </c>
      <c r="P792">
        <v>5.9154323248217497E-2</v>
      </c>
      <c r="Q792">
        <v>32.637240681325402</v>
      </c>
      <c r="R792">
        <v>126.687521960845</v>
      </c>
      <c r="S792">
        <v>-1.9728665657916</v>
      </c>
      <c r="T792">
        <v>74.031085190462903</v>
      </c>
      <c r="U792">
        <v>1.01565201452901</v>
      </c>
      <c r="V792">
        <v>60.507209155269599</v>
      </c>
    </row>
    <row r="793" spans="1:22" x14ac:dyDescent="0.25">
      <c r="A793" t="str">
        <f t="shared" si="12"/>
        <v>Ireland2016</v>
      </c>
      <c r="B793" t="s">
        <v>117</v>
      </c>
      <c r="C793" t="s">
        <v>118</v>
      </c>
      <c r="D793">
        <v>2016</v>
      </c>
      <c r="E793">
        <v>64129.557154238297</v>
      </c>
      <c r="F793">
        <v>1.2227166113094701</v>
      </c>
      <c r="G793">
        <v>2.0124773596323701E-2</v>
      </c>
      <c r="H793">
        <v>10</v>
      </c>
      <c r="I793">
        <v>13.392092105548301</v>
      </c>
      <c r="J793">
        <v>8.3740000000000006</v>
      </c>
      <c r="K793">
        <v>25.739491002278701</v>
      </c>
      <c r="L793">
        <v>25.6783218366655</v>
      </c>
      <c r="M793">
        <v>0.11646501817106999</v>
      </c>
      <c r="N793">
        <v>52.777436506090801</v>
      </c>
      <c r="O793">
        <v>35.6293704495612</v>
      </c>
      <c r="P793">
        <v>9.0098346600951798E-2</v>
      </c>
      <c r="Q793">
        <v>34.745451590418497</v>
      </c>
      <c r="R793">
        <v>129.17843384387101</v>
      </c>
      <c r="S793">
        <v>-0.76185160890505998</v>
      </c>
      <c r="T793">
        <v>72.683187585392105</v>
      </c>
      <c r="U793">
        <v>0.79549253155466504</v>
      </c>
      <c r="V793">
        <v>56.287669872644301</v>
      </c>
    </row>
    <row r="794" spans="1:22" x14ac:dyDescent="0.25">
      <c r="A794" t="str">
        <f t="shared" si="12"/>
        <v>Ireland2017</v>
      </c>
      <c r="B794" t="s">
        <v>117</v>
      </c>
      <c r="C794" t="s">
        <v>118</v>
      </c>
      <c r="D794">
        <v>2017</v>
      </c>
      <c r="E794">
        <v>72161.4047531385</v>
      </c>
      <c r="F794">
        <v>10.1088576065965</v>
      </c>
      <c r="G794">
        <v>0.36217303822937802</v>
      </c>
      <c r="H794">
        <v>10</v>
      </c>
      <c r="I794">
        <v>13.672045412093601</v>
      </c>
      <c r="J794">
        <v>6.7130000000000001</v>
      </c>
      <c r="K794">
        <v>23.748168138393702</v>
      </c>
      <c r="L794">
        <v>23.975506790141601</v>
      </c>
      <c r="M794">
        <v>1.49398382531361</v>
      </c>
      <c r="N794">
        <v>52.941597650739098</v>
      </c>
      <c r="O794">
        <v>34.034877384793504</v>
      </c>
      <c r="P794">
        <v>9.8414840117107397E-2</v>
      </c>
      <c r="Q794">
        <v>34.877958364040403</v>
      </c>
      <c r="R794">
        <v>128.496270792904</v>
      </c>
      <c r="S794">
        <v>-0.29753604482984503</v>
      </c>
      <c r="T794">
        <v>65.221879195501401</v>
      </c>
      <c r="U794">
        <v>1.01009415301837</v>
      </c>
      <c r="V794">
        <v>60.400688124902302</v>
      </c>
    </row>
    <row r="795" spans="1:22" x14ac:dyDescent="0.25">
      <c r="A795" t="str">
        <f t="shared" si="12"/>
        <v>Ireland2018</v>
      </c>
      <c r="B795" t="s">
        <v>117</v>
      </c>
      <c r="C795" t="s">
        <v>118</v>
      </c>
      <c r="D795">
        <v>2018</v>
      </c>
      <c r="E795">
        <v>80804.112316482599</v>
      </c>
      <c r="F795">
        <v>7.6886593743743497</v>
      </c>
      <c r="G795">
        <v>0.47113071371291598</v>
      </c>
      <c r="H795">
        <v>10</v>
      </c>
      <c r="I795">
        <v>13.953591703573199</v>
      </c>
      <c r="J795">
        <v>5.7409999999999997</v>
      </c>
      <c r="K795">
        <v>23.054476962613698</v>
      </c>
      <c r="L795">
        <v>23.844979427259702</v>
      </c>
      <c r="M795">
        <v>0.92171791480841103</v>
      </c>
      <c r="N795">
        <v>53.028756029893302</v>
      </c>
      <c r="O795">
        <v>28.174387148795301</v>
      </c>
      <c r="P795">
        <v>0.106993521866996</v>
      </c>
      <c r="Q795">
        <v>32.737598038307603</v>
      </c>
      <c r="R795">
        <v>125.96871543688199</v>
      </c>
      <c r="S795">
        <v>9.0440895636398302E-2</v>
      </c>
      <c r="T795">
        <v>61.3379642891244</v>
      </c>
      <c r="U795">
        <v>1.13401451004597</v>
      </c>
      <c r="V795">
        <v>62.775724654470501</v>
      </c>
    </row>
    <row r="796" spans="1:22" x14ac:dyDescent="0.25">
      <c r="A796" t="str">
        <f t="shared" si="12"/>
        <v>Ireland2019</v>
      </c>
      <c r="B796" t="s">
        <v>117</v>
      </c>
      <c r="C796" t="s">
        <v>118</v>
      </c>
      <c r="D796">
        <v>2019</v>
      </c>
      <c r="E796">
        <v>81827.668887399603</v>
      </c>
      <c r="F796">
        <v>4.9728800376681601</v>
      </c>
      <c r="G796">
        <v>0.93784296118927402</v>
      </c>
      <c r="H796">
        <v>10</v>
      </c>
      <c r="I796">
        <v>14.243777884666301</v>
      </c>
      <c r="J796">
        <v>4.95</v>
      </c>
      <c r="K796">
        <v>21.998483326417301</v>
      </c>
      <c r="L796">
        <v>23.346443075997399</v>
      </c>
      <c r="M796">
        <v>3.3970146399798198</v>
      </c>
      <c r="N796">
        <v>53.037168702209101</v>
      </c>
      <c r="O796">
        <v>53.702081717199498</v>
      </c>
      <c r="P796">
        <v>9.30155058216941E-2</v>
      </c>
      <c r="Q796">
        <v>33.568140853007698</v>
      </c>
      <c r="R796">
        <v>131.224509342169</v>
      </c>
      <c r="S796">
        <v>0.40623831621544298</v>
      </c>
      <c r="T796">
        <v>55.7895764147001</v>
      </c>
      <c r="U796">
        <v>0.91802632303228604</v>
      </c>
      <c r="V796">
        <v>58.636131722225699</v>
      </c>
    </row>
    <row r="797" spans="1:22" x14ac:dyDescent="0.25">
      <c r="A797" t="str">
        <f t="shared" si="12"/>
        <v>Ireland2020</v>
      </c>
      <c r="B797" t="s">
        <v>117</v>
      </c>
      <c r="C797" t="s">
        <v>118</v>
      </c>
      <c r="D797">
        <v>2020</v>
      </c>
      <c r="E797">
        <v>86514.070610875395</v>
      </c>
      <c r="F797">
        <v>7.1536950573533504</v>
      </c>
      <c r="G797">
        <v>-0.32618365128003302</v>
      </c>
      <c r="H797">
        <v>10</v>
      </c>
      <c r="I797">
        <v>14.5621473419585</v>
      </c>
      <c r="J797">
        <v>5.6230000000000002</v>
      </c>
      <c r="K797">
        <v>25.1258796519129</v>
      </c>
      <c r="L797">
        <v>21.157015828516698</v>
      </c>
      <c r="M797">
        <v>-2.0641910030796899</v>
      </c>
      <c r="N797">
        <v>53.053557171269802</v>
      </c>
      <c r="O797">
        <v>42.591204167091497</v>
      </c>
      <c r="P797">
        <v>0.119225876816759</v>
      </c>
      <c r="Q797">
        <v>34.595282142957601</v>
      </c>
      <c r="R797">
        <v>139.81188990684501</v>
      </c>
      <c r="S797">
        <v>-4.8682045854639897</v>
      </c>
      <c r="T797">
        <v>56.8973457540447</v>
      </c>
      <c r="U797">
        <v>0.88927207520510898</v>
      </c>
      <c r="V797">
        <v>58.0850326888797</v>
      </c>
    </row>
    <row r="798" spans="1:22" x14ac:dyDescent="0.25">
      <c r="A798" t="str">
        <f t="shared" si="12"/>
        <v>Ireland2021</v>
      </c>
      <c r="B798" t="s">
        <v>117</v>
      </c>
      <c r="C798" t="s">
        <v>118</v>
      </c>
      <c r="D798">
        <v>2021</v>
      </c>
      <c r="E798">
        <v>103783.446284479</v>
      </c>
      <c r="F798">
        <v>16.258188115819699</v>
      </c>
      <c r="G798">
        <v>2.3403411344704401</v>
      </c>
      <c r="H798">
        <v>10</v>
      </c>
      <c r="I798">
        <v>14.853575935449401</v>
      </c>
      <c r="J798">
        <v>6.3570000000000002</v>
      </c>
      <c r="K798">
        <v>22.2593666159683</v>
      </c>
      <c r="L798">
        <v>21.518285081227202</v>
      </c>
      <c r="M798">
        <v>1.0487509767607599</v>
      </c>
      <c r="N798">
        <v>53.044823515530602</v>
      </c>
      <c r="O798">
        <v>23.031901720558999</v>
      </c>
      <c r="P798">
        <v>0.198183800796114</v>
      </c>
      <c r="Q798">
        <v>34.9476573003206</v>
      </c>
      <c r="R798">
        <v>136.39767022285099</v>
      </c>
      <c r="S798">
        <v>-1.30758509962202</v>
      </c>
      <c r="T798">
        <v>52.443777943783502</v>
      </c>
      <c r="U798">
        <v>1.46105240817313</v>
      </c>
      <c r="V798">
        <v>69.043677501250798</v>
      </c>
    </row>
    <row r="799" spans="1:22" x14ac:dyDescent="0.25">
      <c r="A799" t="str">
        <f t="shared" si="12"/>
        <v>Ireland2022</v>
      </c>
      <c r="B799" t="s">
        <v>117</v>
      </c>
      <c r="C799" t="s">
        <v>118</v>
      </c>
      <c r="D799">
        <v>2022</v>
      </c>
      <c r="E799">
        <v>105190.685952731</v>
      </c>
      <c r="F799">
        <v>7.5111388841530404</v>
      </c>
      <c r="G799">
        <v>7.8294573643410503</v>
      </c>
      <c r="H799">
        <v>10</v>
      </c>
      <c r="I799">
        <v>15.16194031114</v>
      </c>
      <c r="J799">
        <v>4.4649999999999999</v>
      </c>
      <c r="K799">
        <v>19.242727421767899</v>
      </c>
      <c r="L799">
        <v>21.513624543698398</v>
      </c>
      <c r="M799">
        <v>8.0040771855036592</v>
      </c>
      <c r="N799">
        <v>52.946640686729403</v>
      </c>
      <c r="O799">
        <v>22.884085640508602</v>
      </c>
      <c r="P799">
        <v>0.179938644225765</v>
      </c>
      <c r="Q799">
        <v>32.154383801212497</v>
      </c>
      <c r="R799">
        <v>139.505980538698</v>
      </c>
      <c r="S799">
        <v>1.58147020076125</v>
      </c>
      <c r="T799">
        <v>42.942686828571297</v>
      </c>
      <c r="U799">
        <v>1.5495787453138099</v>
      </c>
      <c r="V799">
        <v>70.740358253156103</v>
      </c>
    </row>
    <row r="800" spans="1:22" x14ac:dyDescent="0.25">
      <c r="A800" t="str">
        <f t="shared" si="12"/>
        <v>Ireland2023</v>
      </c>
      <c r="B800" t="s">
        <v>117</v>
      </c>
      <c r="C800" t="s">
        <v>118</v>
      </c>
      <c r="D800">
        <v>2023</v>
      </c>
      <c r="E800">
        <v>106818.91713080399</v>
      </c>
      <c r="F800">
        <v>-2.53637409313261</v>
      </c>
      <c r="G800">
        <v>6.2994248741912502</v>
      </c>
      <c r="H800">
        <v>10</v>
      </c>
      <c r="I800">
        <v>15.541706836930899</v>
      </c>
      <c r="J800">
        <v>4.2430000000000003</v>
      </c>
      <c r="K800">
        <v>25.739491002278701</v>
      </c>
      <c r="L800">
        <v>22.834540616139101</v>
      </c>
      <c r="M800">
        <v>3.3925815433399902</v>
      </c>
      <c r="N800">
        <v>52.808810976723699</v>
      </c>
      <c r="O800">
        <v>26.658280390932301</v>
      </c>
      <c r="P800">
        <v>0.157781626450055</v>
      </c>
      <c r="Q800">
        <v>34.113039997658802</v>
      </c>
      <c r="R800">
        <v>136.52636667410999</v>
      </c>
      <c r="S800">
        <v>1.3642851833994301</v>
      </c>
      <c r="T800">
        <v>41.750846627497197</v>
      </c>
      <c r="U800">
        <v>1.4933368466439401</v>
      </c>
      <c r="V800">
        <v>69.662435569287098</v>
      </c>
    </row>
    <row r="801" spans="1:22" x14ac:dyDescent="0.25">
      <c r="A801" t="str">
        <f t="shared" si="12"/>
        <v>Ireland2024</v>
      </c>
      <c r="B801" t="s">
        <v>117</v>
      </c>
      <c r="C801" t="s">
        <v>118</v>
      </c>
      <c r="D801">
        <v>2024</v>
      </c>
      <c r="E801">
        <v>112894.953240805</v>
      </c>
      <c r="F801">
        <v>2.5994672155370799</v>
      </c>
      <c r="G801">
        <v>2.1134499957731698</v>
      </c>
      <c r="H801">
        <v>10</v>
      </c>
      <c r="I801">
        <v>15.892078380328901</v>
      </c>
      <c r="J801">
        <v>4.3</v>
      </c>
      <c r="K801">
        <v>25.739491002278701</v>
      </c>
      <c r="L801">
        <v>25.676010465132599</v>
      </c>
      <c r="M801">
        <v>4.53690860398667</v>
      </c>
      <c r="N801">
        <v>52.549622964983499</v>
      </c>
      <c r="O801">
        <v>18.248379133552898</v>
      </c>
      <c r="P801">
        <v>0.1406788790813</v>
      </c>
      <c r="Q801">
        <v>34.8617497487066</v>
      </c>
      <c r="R801">
        <v>143.98460166103101</v>
      </c>
      <c r="S801">
        <v>4.0166028777847602</v>
      </c>
      <c r="T801">
        <v>38.269775441813501</v>
      </c>
      <c r="U801">
        <v>1.89722348229727</v>
      </c>
      <c r="V801">
        <v>77.403258275820903</v>
      </c>
    </row>
    <row r="802" spans="1:22" x14ac:dyDescent="0.25">
      <c r="A802" t="str">
        <f t="shared" si="12"/>
        <v>Ireland2025</v>
      </c>
      <c r="B802" t="s">
        <v>117</v>
      </c>
      <c r="C802" t="s">
        <v>118</v>
      </c>
      <c r="D802">
        <v>2025</v>
      </c>
      <c r="E802">
        <v>72161.4047531385</v>
      </c>
      <c r="F802">
        <v>4.9728800376681601</v>
      </c>
      <c r="G802">
        <v>0.515099484900573</v>
      </c>
      <c r="H802">
        <v>10</v>
      </c>
      <c r="I802">
        <v>13.672045412093601</v>
      </c>
      <c r="J802">
        <v>4.6319999999999997</v>
      </c>
      <c r="K802">
        <v>25.739491002278701</v>
      </c>
      <c r="L802">
        <v>25.0692936461699</v>
      </c>
      <c r="M802">
        <v>1.49398382531361</v>
      </c>
      <c r="N802">
        <v>52.777436506090801</v>
      </c>
      <c r="O802">
        <v>23.031901720558999</v>
      </c>
      <c r="P802">
        <v>9.30155058216941E-2</v>
      </c>
      <c r="Q802">
        <v>32.737598038307603</v>
      </c>
      <c r="R802">
        <v>128.496270792904</v>
      </c>
      <c r="S802">
        <v>1.5449794608691401</v>
      </c>
      <c r="T802">
        <v>32.930120209092102</v>
      </c>
      <c r="U802">
        <v>1.28728742596164</v>
      </c>
      <c r="V802">
        <v>65.713327345625203</v>
      </c>
    </row>
    <row r="803" spans="1:22" x14ac:dyDescent="0.25">
      <c r="A803" t="str">
        <f t="shared" si="12"/>
        <v>Israel2010</v>
      </c>
      <c r="B803" t="s">
        <v>119</v>
      </c>
      <c r="C803" t="s">
        <v>120</v>
      </c>
      <c r="D803">
        <v>2010</v>
      </c>
      <c r="E803">
        <v>31439.088702761401</v>
      </c>
      <c r="F803">
        <v>5.5343403390219397</v>
      </c>
      <c r="G803">
        <v>2.7027027027027302</v>
      </c>
      <c r="H803">
        <v>13</v>
      </c>
      <c r="I803">
        <v>9.8977883213718396</v>
      </c>
      <c r="J803">
        <v>8.48</v>
      </c>
      <c r="K803">
        <v>36.562470530517402</v>
      </c>
      <c r="L803">
        <v>31.224088618906499</v>
      </c>
      <c r="M803">
        <v>1.19085795447631</v>
      </c>
      <c r="N803">
        <v>60.951402751138197</v>
      </c>
      <c r="O803">
        <v>21.5383508792439</v>
      </c>
      <c r="P803">
        <v>9.9512631264156308</v>
      </c>
      <c r="Q803">
        <v>24.300392861025099</v>
      </c>
      <c r="R803">
        <v>33.528377579188302</v>
      </c>
      <c r="S803">
        <v>-3.7150042019127101</v>
      </c>
      <c r="T803">
        <v>69.028356139435402</v>
      </c>
      <c r="U803">
        <v>0.34762837986718897</v>
      </c>
      <c r="V803">
        <v>47.7039815581821</v>
      </c>
    </row>
    <row r="804" spans="1:22" x14ac:dyDescent="0.25">
      <c r="A804" t="str">
        <f t="shared" si="12"/>
        <v>Israel2011</v>
      </c>
      <c r="B804" t="s">
        <v>119</v>
      </c>
      <c r="C804" t="s">
        <v>120</v>
      </c>
      <c r="D804">
        <v>2011</v>
      </c>
      <c r="E804">
        <v>34522.521597907296</v>
      </c>
      <c r="F804">
        <v>5.5187962137165103</v>
      </c>
      <c r="G804">
        <v>3.48837209302323</v>
      </c>
      <c r="H804">
        <v>13</v>
      </c>
      <c r="I804">
        <v>10.0737415795495</v>
      </c>
      <c r="J804">
        <v>7.1390000000000002</v>
      </c>
      <c r="K804">
        <v>36.107774533682601</v>
      </c>
      <c r="L804">
        <v>31.228675604969499</v>
      </c>
      <c r="M804">
        <v>1.44538689256331</v>
      </c>
      <c r="N804">
        <v>61.650118232835403</v>
      </c>
      <c r="O804">
        <v>23.447127355299902</v>
      </c>
      <c r="P804">
        <v>8.8139640307708707</v>
      </c>
      <c r="Q804">
        <v>24.518436267961999</v>
      </c>
      <c r="R804">
        <v>34.182019410691098</v>
      </c>
      <c r="S804">
        <v>-3.4297473182433098</v>
      </c>
      <c r="T804">
        <v>67.186426807347701</v>
      </c>
      <c r="U804">
        <v>0.38627295156582298</v>
      </c>
      <c r="V804">
        <v>48.444636860146197</v>
      </c>
    </row>
    <row r="805" spans="1:22" x14ac:dyDescent="0.25">
      <c r="A805" t="str">
        <f t="shared" si="12"/>
        <v>Israel2012</v>
      </c>
      <c r="B805" t="s">
        <v>119</v>
      </c>
      <c r="C805" t="s">
        <v>120</v>
      </c>
      <c r="D805">
        <v>2012</v>
      </c>
      <c r="E805">
        <v>33321.430088160203</v>
      </c>
      <c r="F805">
        <v>2.4471683674131799</v>
      </c>
      <c r="G805">
        <v>1.67553715750052</v>
      </c>
      <c r="H805">
        <v>13</v>
      </c>
      <c r="I805">
        <v>10.3421950725313</v>
      </c>
      <c r="J805">
        <v>6.7619999999999996</v>
      </c>
      <c r="K805">
        <v>36.250105484691503</v>
      </c>
      <c r="L805">
        <v>30.518046309009499</v>
      </c>
      <c r="M805">
        <v>3.4215603761403601</v>
      </c>
      <c r="N805">
        <v>62.550267194411397</v>
      </c>
      <c r="O805">
        <v>23.914364095377</v>
      </c>
      <c r="P805">
        <v>8.7584619077954393</v>
      </c>
      <c r="Q805">
        <v>23.671403961138399</v>
      </c>
      <c r="R805">
        <v>34.718418157701002</v>
      </c>
      <c r="S805">
        <v>-4.46122343689236</v>
      </c>
      <c r="T805">
        <v>66.893910054583699</v>
      </c>
      <c r="U805">
        <v>0.28833754490047098</v>
      </c>
      <c r="V805">
        <v>46.567623478748999</v>
      </c>
    </row>
    <row r="806" spans="1:22" x14ac:dyDescent="0.25">
      <c r="A806" t="str">
        <f t="shared" si="12"/>
        <v>Israel2013</v>
      </c>
      <c r="B806" t="s">
        <v>119</v>
      </c>
      <c r="C806" t="s">
        <v>120</v>
      </c>
      <c r="D806">
        <v>2013</v>
      </c>
      <c r="E806">
        <v>37034.316108078499</v>
      </c>
      <c r="F806">
        <v>4.0857091863820498</v>
      </c>
      <c r="G806">
        <v>1.5897634742147599</v>
      </c>
      <c r="H806">
        <v>13</v>
      </c>
      <c r="I806">
        <v>10.589996953304301</v>
      </c>
      <c r="J806">
        <v>6.1369999999999996</v>
      </c>
      <c r="K806">
        <v>36.164927835</v>
      </c>
      <c r="L806">
        <v>31.194652667619799</v>
      </c>
      <c r="M806">
        <v>1.8741405571816201</v>
      </c>
      <c r="N806">
        <v>63.346169436562597</v>
      </c>
      <c r="O806">
        <v>22.3351826403335</v>
      </c>
      <c r="P806">
        <v>9.4165088539476702</v>
      </c>
      <c r="Q806">
        <v>24.605528946187501</v>
      </c>
      <c r="R806">
        <v>32.8051206257893</v>
      </c>
      <c r="S806">
        <v>-4.0673835898054103</v>
      </c>
      <c r="T806">
        <v>66.025875118127303</v>
      </c>
      <c r="U806">
        <v>0.39799407279132498</v>
      </c>
      <c r="V806">
        <v>48.669281880107398</v>
      </c>
    </row>
    <row r="807" spans="1:22" x14ac:dyDescent="0.25">
      <c r="A807" t="str">
        <f t="shared" si="12"/>
        <v>Israel2014</v>
      </c>
      <c r="B807" t="s">
        <v>119</v>
      </c>
      <c r="C807" t="s">
        <v>120</v>
      </c>
      <c r="D807">
        <v>2014</v>
      </c>
      <c r="E807">
        <v>38343.304662623501</v>
      </c>
      <c r="F807">
        <v>3.7758284321310902</v>
      </c>
      <c r="G807">
        <v>0.467557251908503</v>
      </c>
      <c r="H807">
        <v>13</v>
      </c>
      <c r="I807">
        <v>10.795297915876001</v>
      </c>
      <c r="J807">
        <v>5.7889999999999997</v>
      </c>
      <c r="K807">
        <v>34.873730789791203</v>
      </c>
      <c r="L807">
        <v>31.534761336805499</v>
      </c>
      <c r="M807">
        <v>0.77627127550879005</v>
      </c>
      <c r="N807">
        <v>63.978401802870202</v>
      </c>
      <c r="O807">
        <v>22.877341386549102</v>
      </c>
      <c r="P807">
        <v>9.9448582355724007</v>
      </c>
      <c r="Q807">
        <v>26.402038562621101</v>
      </c>
      <c r="R807">
        <v>31.489059586298701</v>
      </c>
      <c r="S807">
        <v>-2.2846869967095902</v>
      </c>
      <c r="T807">
        <v>65.768031599806903</v>
      </c>
      <c r="U807">
        <v>0.496083058233731</v>
      </c>
      <c r="V807">
        <v>50.549238726278297</v>
      </c>
    </row>
    <row r="808" spans="1:22" x14ac:dyDescent="0.25">
      <c r="A808" t="str">
        <f t="shared" si="12"/>
        <v>Israel2015</v>
      </c>
      <c r="B808" t="s">
        <v>119</v>
      </c>
      <c r="C808" t="s">
        <v>120</v>
      </c>
      <c r="D808">
        <v>2015</v>
      </c>
      <c r="E808">
        <v>36213.104148195802</v>
      </c>
      <c r="F808">
        <v>2.2376031748248799</v>
      </c>
      <c r="G808">
        <v>-0.61734257764276501</v>
      </c>
      <c r="H808">
        <v>13</v>
      </c>
      <c r="I808">
        <v>11.0178266647386</v>
      </c>
      <c r="J808">
        <v>5.1760000000000002</v>
      </c>
      <c r="K808">
        <v>34.457546800661298</v>
      </c>
      <c r="L808">
        <v>31.797317343378701</v>
      </c>
      <c r="M808">
        <v>2.3610821174436198</v>
      </c>
      <c r="N808">
        <v>64.638409839836996</v>
      </c>
      <c r="O808">
        <v>22.095003221913402</v>
      </c>
      <c r="P808">
        <v>11.297317403691601</v>
      </c>
      <c r="Q808">
        <v>26.7390939369227</v>
      </c>
      <c r="R808">
        <v>30.8618661959764</v>
      </c>
      <c r="S808">
        <v>-1.2035416762166899</v>
      </c>
      <c r="T808">
        <v>62.847574433813598</v>
      </c>
      <c r="U808">
        <v>0.55241964412429201</v>
      </c>
      <c r="V808">
        <v>51.628976169347801</v>
      </c>
    </row>
    <row r="809" spans="1:22" x14ac:dyDescent="0.25">
      <c r="A809" t="str">
        <f t="shared" si="12"/>
        <v>Israel2016</v>
      </c>
      <c r="B809" t="s">
        <v>119</v>
      </c>
      <c r="C809" t="s">
        <v>120</v>
      </c>
      <c r="D809">
        <v>2016</v>
      </c>
      <c r="E809">
        <v>37671.538913879798</v>
      </c>
      <c r="F809">
        <v>4.45978271860821</v>
      </c>
      <c r="G809">
        <v>-0.53516819571869501</v>
      </c>
      <c r="H809">
        <v>15</v>
      </c>
      <c r="I809">
        <v>11.2613992767727</v>
      </c>
      <c r="J809">
        <v>4.7229999999999999</v>
      </c>
      <c r="K809">
        <v>34.477051379465301</v>
      </c>
      <c r="L809">
        <v>31.5480653681918</v>
      </c>
      <c r="M809">
        <v>0.34865758435150002</v>
      </c>
      <c r="N809">
        <v>65.325420824386896</v>
      </c>
      <c r="O809">
        <v>23.0646486702564</v>
      </c>
      <c r="P809">
        <v>11.270876467993601</v>
      </c>
      <c r="Q809">
        <v>26.288616477343101</v>
      </c>
      <c r="R809">
        <v>29.6960089388032</v>
      </c>
      <c r="S809">
        <v>-1.7817637133941</v>
      </c>
      <c r="T809">
        <v>61.729406231246998</v>
      </c>
      <c r="U809">
        <v>0.65757570840205504</v>
      </c>
      <c r="V809">
        <v>53.644379448969303</v>
      </c>
    </row>
    <row r="810" spans="1:22" x14ac:dyDescent="0.25">
      <c r="A810" t="str">
        <f t="shared" si="12"/>
        <v>Israel2017</v>
      </c>
      <c r="B810" t="s">
        <v>119</v>
      </c>
      <c r="C810" t="s">
        <v>120</v>
      </c>
      <c r="D810">
        <v>2017</v>
      </c>
      <c r="E810">
        <v>41138.470964271997</v>
      </c>
      <c r="F810">
        <v>4.3469311670646</v>
      </c>
      <c r="G810">
        <v>0.249807840123008</v>
      </c>
      <c r="H810">
        <v>15</v>
      </c>
      <c r="I810">
        <v>11.4924645678713</v>
      </c>
      <c r="J810">
        <v>4.1399999999999997</v>
      </c>
      <c r="K810">
        <v>35.544932774961801</v>
      </c>
      <c r="L810">
        <v>32.961940497685703</v>
      </c>
      <c r="M810">
        <v>6.5518169634799003E-3</v>
      </c>
      <c r="N810">
        <v>65.951371618093006</v>
      </c>
      <c r="O810">
        <v>23.1765981056332</v>
      </c>
      <c r="P810">
        <v>12.3844818897413</v>
      </c>
      <c r="Q810">
        <v>26.3828195624777</v>
      </c>
      <c r="R810">
        <v>28.977658758099199</v>
      </c>
      <c r="S810">
        <v>-1.1665519573152801</v>
      </c>
      <c r="T810">
        <v>59.824727657751701</v>
      </c>
      <c r="U810">
        <v>0.76282802407508599</v>
      </c>
      <c r="V810">
        <v>55.661627466495702</v>
      </c>
    </row>
    <row r="811" spans="1:22" x14ac:dyDescent="0.25">
      <c r="A811" t="str">
        <f t="shared" si="12"/>
        <v>Israel2018</v>
      </c>
      <c r="B811" t="s">
        <v>119</v>
      </c>
      <c r="C811" t="s">
        <v>120</v>
      </c>
      <c r="D811">
        <v>2018</v>
      </c>
      <c r="E811">
        <v>42362.665275419597</v>
      </c>
      <c r="F811">
        <v>4.0038986218702499</v>
      </c>
      <c r="G811">
        <v>0.80506037952852605</v>
      </c>
      <c r="H811">
        <v>15</v>
      </c>
      <c r="I811">
        <v>11.701295166142399</v>
      </c>
      <c r="J811">
        <v>3.9169999999999998</v>
      </c>
      <c r="K811">
        <v>35.819371901088502</v>
      </c>
      <c r="L811">
        <v>31.386165723880399</v>
      </c>
      <c r="M811">
        <v>0.68524004677226502</v>
      </c>
      <c r="N811">
        <v>66.401656898021898</v>
      </c>
      <c r="O811">
        <v>24.130994187977901</v>
      </c>
      <c r="P811">
        <v>11.441105922335399</v>
      </c>
      <c r="Q811">
        <v>26.637618335621902</v>
      </c>
      <c r="R811">
        <v>29.6925022331652</v>
      </c>
      <c r="S811">
        <v>-3.5830083645358899</v>
      </c>
      <c r="T811">
        <v>60.076445556091997</v>
      </c>
      <c r="U811">
        <v>0.63411253202773399</v>
      </c>
      <c r="V811">
        <v>53.194688193025797</v>
      </c>
    </row>
    <row r="812" spans="1:22" x14ac:dyDescent="0.25">
      <c r="A812" t="str">
        <f t="shared" si="12"/>
        <v>Israel2019</v>
      </c>
      <c r="B812" t="s">
        <v>119</v>
      </c>
      <c r="C812" t="s">
        <v>120</v>
      </c>
      <c r="D812">
        <v>2019</v>
      </c>
      <c r="E812">
        <v>44250.631362807297</v>
      </c>
      <c r="F812">
        <v>3.7104963275040501</v>
      </c>
      <c r="G812">
        <v>0.81764594029279403</v>
      </c>
      <c r="H812">
        <v>15</v>
      </c>
      <c r="I812">
        <v>11.8854991652299</v>
      </c>
      <c r="J812">
        <v>3.7309999999999999</v>
      </c>
      <c r="K812">
        <v>35.250734066933298</v>
      </c>
      <c r="L812">
        <v>30.7476812177275</v>
      </c>
      <c r="M812">
        <v>1.9164007843925099</v>
      </c>
      <c r="N812">
        <v>66.694344727734403</v>
      </c>
      <c r="O812">
        <v>23.864860054313901</v>
      </c>
      <c r="P812">
        <v>12.3294125116527</v>
      </c>
      <c r="Q812">
        <v>26.846649313187399</v>
      </c>
      <c r="R812">
        <v>28.981042248660799</v>
      </c>
      <c r="S812">
        <v>-3.79282832711589</v>
      </c>
      <c r="T812">
        <v>59.303214635078703</v>
      </c>
      <c r="U812">
        <v>0.64260809260400098</v>
      </c>
      <c r="V812">
        <v>53.357512665063901</v>
      </c>
    </row>
    <row r="813" spans="1:22" x14ac:dyDescent="0.25">
      <c r="A813" t="str">
        <f t="shared" si="12"/>
        <v>Israel2020</v>
      </c>
      <c r="B813" t="s">
        <v>119</v>
      </c>
      <c r="C813" t="s">
        <v>120</v>
      </c>
      <c r="D813">
        <v>2020</v>
      </c>
      <c r="E813">
        <v>44575.571904549201</v>
      </c>
      <c r="F813">
        <v>-2.0216154823758901</v>
      </c>
      <c r="G813">
        <v>-0.57525462089775603</v>
      </c>
      <c r="H813">
        <v>15</v>
      </c>
      <c r="I813">
        <v>12.052877058889299</v>
      </c>
      <c r="J813">
        <v>4.1689999999999996</v>
      </c>
      <c r="K813">
        <v>41.796822247840801</v>
      </c>
      <c r="L813">
        <v>30.3890681003843</v>
      </c>
      <c r="M813">
        <v>1.0571068213242101</v>
      </c>
      <c r="N813">
        <v>66.909617294800299</v>
      </c>
      <c r="O813">
        <v>24.689816130749598</v>
      </c>
      <c r="P813">
        <v>18.777047642911501</v>
      </c>
      <c r="Q813">
        <v>28.4364831712221</v>
      </c>
      <c r="R813">
        <v>27.172299438522899</v>
      </c>
      <c r="S813">
        <v>-10.6413746014076</v>
      </c>
      <c r="T813">
        <v>71.072316557524502</v>
      </c>
      <c r="U813">
        <v>0.34852824501171498</v>
      </c>
      <c r="V813">
        <v>47.721228220806402</v>
      </c>
    </row>
    <row r="814" spans="1:22" x14ac:dyDescent="0.25">
      <c r="A814" t="str">
        <f t="shared" si="12"/>
        <v>Israel2021</v>
      </c>
      <c r="B814" t="s">
        <v>119</v>
      </c>
      <c r="C814" t="s">
        <v>120</v>
      </c>
      <c r="D814">
        <v>2021</v>
      </c>
      <c r="E814">
        <v>52270.904024195603</v>
      </c>
      <c r="F814">
        <v>9.3883740335462793</v>
      </c>
      <c r="G814">
        <v>1.4796547472256101</v>
      </c>
      <c r="H814">
        <v>15</v>
      </c>
      <c r="I814">
        <v>12.1979895950145</v>
      </c>
      <c r="J814">
        <v>4.8120000000000003</v>
      </c>
      <c r="K814">
        <v>38.191126067926703</v>
      </c>
      <c r="L814">
        <v>32.696685487646903</v>
      </c>
      <c r="M814">
        <v>2.2971322775202601</v>
      </c>
      <c r="N814">
        <v>67.061022713517801</v>
      </c>
      <c r="O814">
        <v>25.8836407282582</v>
      </c>
      <c r="P814">
        <v>17.1531635981524</v>
      </c>
      <c r="Q814">
        <v>28.884344892503801</v>
      </c>
      <c r="R814">
        <v>28.823404615301499</v>
      </c>
      <c r="S814">
        <v>-3.3685881567735998</v>
      </c>
      <c r="T814">
        <v>67.685751003670802</v>
      </c>
      <c r="U814">
        <v>0.83718949351996896</v>
      </c>
      <c r="V814">
        <v>57.086826768371701</v>
      </c>
    </row>
    <row r="815" spans="1:22" x14ac:dyDescent="0.25">
      <c r="A815" t="str">
        <f t="shared" si="12"/>
        <v>Israel2022</v>
      </c>
      <c r="B815" t="s">
        <v>119</v>
      </c>
      <c r="C815" t="s">
        <v>120</v>
      </c>
      <c r="D815">
        <v>2022</v>
      </c>
      <c r="E815">
        <v>54949.621556429003</v>
      </c>
      <c r="F815">
        <v>6.26326343841286</v>
      </c>
      <c r="G815">
        <v>4.4116272548837099</v>
      </c>
      <c r="H815">
        <v>15</v>
      </c>
      <c r="I815">
        <v>12.3030366078735</v>
      </c>
      <c r="J815">
        <v>3.6949999999999998</v>
      </c>
      <c r="K815">
        <v>35.2457931380657</v>
      </c>
      <c r="L815">
        <v>33.209410454573501</v>
      </c>
      <c r="M815">
        <v>4.9353036400876196</v>
      </c>
      <c r="N815">
        <v>66.963226167672502</v>
      </c>
      <c r="O815">
        <v>27.282152171809098</v>
      </c>
      <c r="P815">
        <v>13.4105701419856</v>
      </c>
      <c r="Q815">
        <v>30.097316748873801</v>
      </c>
      <c r="R815">
        <v>31.3853280968641</v>
      </c>
      <c r="S815">
        <v>0.29594970338366</v>
      </c>
      <c r="T815">
        <v>60.319713069875696</v>
      </c>
      <c r="U815">
        <v>0.98870737520233698</v>
      </c>
      <c r="V815">
        <v>59.990792771296</v>
      </c>
    </row>
    <row r="816" spans="1:22" x14ac:dyDescent="0.25">
      <c r="A816" t="str">
        <f t="shared" si="12"/>
        <v>Israel2023</v>
      </c>
      <c r="B816" t="s">
        <v>119</v>
      </c>
      <c r="C816" t="s">
        <v>120</v>
      </c>
      <c r="D816">
        <v>2023</v>
      </c>
      <c r="E816">
        <v>52003.720072999698</v>
      </c>
      <c r="F816">
        <v>1.82652049482384</v>
      </c>
      <c r="G816">
        <v>4.2252260316891803</v>
      </c>
      <c r="H816">
        <v>15</v>
      </c>
      <c r="I816">
        <v>12.415708888008799</v>
      </c>
      <c r="J816">
        <v>3.371</v>
      </c>
      <c r="K816">
        <v>37.436479912898399</v>
      </c>
      <c r="L816">
        <v>30.409108423318099</v>
      </c>
      <c r="M816">
        <v>4.5496264292748103</v>
      </c>
      <c r="N816">
        <v>66.750936651399101</v>
      </c>
      <c r="O816">
        <v>26.110198203738499</v>
      </c>
      <c r="P816">
        <v>15.142985600832899</v>
      </c>
      <c r="Q816">
        <v>29.324785686924599</v>
      </c>
      <c r="R816">
        <v>30.410502627567901</v>
      </c>
      <c r="S816">
        <v>-5.3782817994657401</v>
      </c>
      <c r="T816">
        <v>61.3291098566025</v>
      </c>
      <c r="U816">
        <v>0.67199615023299997</v>
      </c>
      <c r="V816">
        <v>53.9207591894939</v>
      </c>
    </row>
    <row r="817" spans="1:22" x14ac:dyDescent="0.25">
      <c r="A817" t="str">
        <f t="shared" si="12"/>
        <v>Israel2024</v>
      </c>
      <c r="B817" t="s">
        <v>119</v>
      </c>
      <c r="C817" t="s">
        <v>120</v>
      </c>
      <c r="D817">
        <v>2024</v>
      </c>
      <c r="E817">
        <v>54176.684438330201</v>
      </c>
      <c r="F817">
        <v>0.87196842437744204</v>
      </c>
      <c r="G817">
        <v>3.0748088980502501</v>
      </c>
      <c r="H817">
        <v>15</v>
      </c>
      <c r="I817">
        <v>12.5526937672772</v>
      </c>
      <c r="J817">
        <v>3.5950000000000002</v>
      </c>
      <c r="K817">
        <v>35.963573217385502</v>
      </c>
      <c r="L817">
        <v>31.589213964529801</v>
      </c>
      <c r="M817">
        <v>5.51536078745987</v>
      </c>
      <c r="N817">
        <v>66.561046416968694</v>
      </c>
      <c r="O817">
        <v>23.426717720764401</v>
      </c>
      <c r="P817">
        <v>15.8333842967618</v>
      </c>
      <c r="Q817">
        <v>26.1257915876323</v>
      </c>
      <c r="R817">
        <v>28.434761587770101</v>
      </c>
      <c r="S817">
        <v>-8.0721295837899891</v>
      </c>
      <c r="T817">
        <v>67.672695663269295</v>
      </c>
      <c r="U817">
        <v>0.55159354041293696</v>
      </c>
      <c r="V817">
        <v>51.613143205832003</v>
      </c>
    </row>
    <row r="818" spans="1:22" x14ac:dyDescent="0.25">
      <c r="A818" t="str">
        <f t="shared" si="12"/>
        <v>Israel2025</v>
      </c>
      <c r="B818" t="s">
        <v>119</v>
      </c>
      <c r="C818" t="s">
        <v>120</v>
      </c>
      <c r="D818">
        <v>2025</v>
      </c>
      <c r="E818">
        <v>41138.470964271997</v>
      </c>
      <c r="F818">
        <v>4.0038986218702499</v>
      </c>
      <c r="G818">
        <v>1.4796547472256101</v>
      </c>
      <c r="H818">
        <v>15</v>
      </c>
      <c r="I818">
        <v>11.4924645678713</v>
      </c>
      <c r="J818">
        <v>3.4889999999999999</v>
      </c>
      <c r="K818">
        <v>35.963573217385502</v>
      </c>
      <c r="L818">
        <v>31.386165723880399</v>
      </c>
      <c r="M818">
        <v>1.8741405571816201</v>
      </c>
      <c r="N818">
        <v>65.951371618093006</v>
      </c>
      <c r="O818">
        <v>23.447127355299902</v>
      </c>
      <c r="P818">
        <v>11.441105922335399</v>
      </c>
      <c r="Q818">
        <v>26.402038562621101</v>
      </c>
      <c r="R818">
        <v>30.410502627567901</v>
      </c>
      <c r="S818">
        <v>-5.2191863902905498</v>
      </c>
      <c r="T818">
        <v>68.511278309607704</v>
      </c>
      <c r="U818">
        <v>0.54756631925799604</v>
      </c>
      <c r="V818">
        <v>51.535958168723802</v>
      </c>
    </row>
    <row r="819" spans="1:22" x14ac:dyDescent="0.25">
      <c r="A819" t="str">
        <f t="shared" si="12"/>
        <v>Italy2010</v>
      </c>
      <c r="B819" t="s">
        <v>121</v>
      </c>
      <c r="C819" t="s">
        <v>122</v>
      </c>
      <c r="D819">
        <v>2010</v>
      </c>
      <c r="E819">
        <v>35856.862548553901</v>
      </c>
      <c r="F819">
        <v>1.52910573247101</v>
      </c>
      <c r="G819">
        <v>1.5255160211824801</v>
      </c>
      <c r="H819">
        <v>12</v>
      </c>
      <c r="I819">
        <v>20.458961210046901</v>
      </c>
      <c r="J819">
        <v>8.3629999999999995</v>
      </c>
      <c r="K819">
        <v>42.692991917461697</v>
      </c>
      <c r="L819">
        <v>38.683027918074103</v>
      </c>
      <c r="M819">
        <v>0.59783970291655897</v>
      </c>
      <c r="N819">
        <v>52.660127821331102</v>
      </c>
      <c r="O819">
        <v>20.796971614666401</v>
      </c>
      <c r="P819">
        <v>2.8846509903551398</v>
      </c>
      <c r="Q819">
        <v>17.563164711354499</v>
      </c>
      <c r="R819">
        <v>24.918651422387899</v>
      </c>
      <c r="S819">
        <v>-4.1613924832997897</v>
      </c>
      <c r="T819">
        <v>118.757694951123</v>
      </c>
      <c r="U819">
        <v>0.44416156095245002</v>
      </c>
      <c r="V819">
        <v>49.554120122113503</v>
      </c>
    </row>
    <row r="820" spans="1:22" x14ac:dyDescent="0.25">
      <c r="A820" t="str">
        <f t="shared" si="12"/>
        <v>Italy2011</v>
      </c>
      <c r="B820" t="s">
        <v>121</v>
      </c>
      <c r="C820" t="s">
        <v>122</v>
      </c>
      <c r="D820">
        <v>2011</v>
      </c>
      <c r="E820">
        <v>38432.374282001903</v>
      </c>
      <c r="F820">
        <v>0.69546315444017603</v>
      </c>
      <c r="G820">
        <v>2.78063272879323</v>
      </c>
      <c r="H820">
        <v>12</v>
      </c>
      <c r="I820">
        <v>20.687933887093099</v>
      </c>
      <c r="J820">
        <v>8.359</v>
      </c>
      <c r="K820">
        <v>41.828153194274599</v>
      </c>
      <c r="L820">
        <v>38.367714673352602</v>
      </c>
      <c r="M820">
        <v>1.7287837088573801</v>
      </c>
      <c r="N820">
        <v>53.127137799100602</v>
      </c>
      <c r="O820">
        <v>20.677363101439099</v>
      </c>
      <c r="P820">
        <v>2.7422509048127801</v>
      </c>
      <c r="Q820">
        <v>17.941094472643599</v>
      </c>
      <c r="R820">
        <v>26.562986654335401</v>
      </c>
      <c r="S820">
        <v>-3.5243938714693099</v>
      </c>
      <c r="T820">
        <v>119.12882090405</v>
      </c>
      <c r="U820">
        <v>0.48485975843552398</v>
      </c>
      <c r="V820">
        <v>50.334134867296598</v>
      </c>
    </row>
    <row r="821" spans="1:22" x14ac:dyDescent="0.25">
      <c r="A821" t="str">
        <f t="shared" si="12"/>
        <v>Italy2012</v>
      </c>
      <c r="B821" t="s">
        <v>121</v>
      </c>
      <c r="C821" t="s">
        <v>122</v>
      </c>
      <c r="D821">
        <v>2012</v>
      </c>
      <c r="E821">
        <v>34854.394944196501</v>
      </c>
      <c r="F821">
        <v>-3.12523877282996</v>
      </c>
      <c r="G821">
        <v>3.0413633322677498</v>
      </c>
      <c r="H821">
        <v>12</v>
      </c>
      <c r="I821">
        <v>20.996644475196099</v>
      </c>
      <c r="J821">
        <v>10.654999999999999</v>
      </c>
      <c r="K821">
        <v>43.498907004936299</v>
      </c>
      <c r="L821">
        <v>39.754093717398803</v>
      </c>
      <c r="M821">
        <v>1.70237982317502</v>
      </c>
      <c r="N821">
        <v>53.770789698464498</v>
      </c>
      <c r="O821">
        <v>17.969806451533898</v>
      </c>
      <c r="P821">
        <v>3.38509081446451</v>
      </c>
      <c r="Q821">
        <v>17.765776868456999</v>
      </c>
      <c r="R821">
        <v>27.9851870768453</v>
      </c>
      <c r="S821">
        <v>-2.9854877735855001</v>
      </c>
      <c r="T821">
        <v>125.900560904256</v>
      </c>
      <c r="U821">
        <v>0.44624011991793999</v>
      </c>
      <c r="V821">
        <v>49.593957430448597</v>
      </c>
    </row>
    <row r="822" spans="1:22" x14ac:dyDescent="0.25">
      <c r="A822" t="str">
        <f t="shared" si="12"/>
        <v>Italy2013</v>
      </c>
      <c r="B822" t="s">
        <v>121</v>
      </c>
      <c r="C822" t="s">
        <v>122</v>
      </c>
      <c r="D822">
        <v>2013</v>
      </c>
      <c r="E822">
        <v>35701.674600237602</v>
      </c>
      <c r="F822">
        <v>-1.8180251074979199</v>
      </c>
      <c r="G822">
        <v>1.21999342274306</v>
      </c>
      <c r="H822">
        <v>12</v>
      </c>
      <c r="I822">
        <v>21.330672420342001</v>
      </c>
      <c r="J822">
        <v>12.148999999999999</v>
      </c>
      <c r="K822">
        <v>43.748053598042603</v>
      </c>
      <c r="L822">
        <v>40.205255083281799</v>
      </c>
      <c r="M822">
        <v>1.12578403623358</v>
      </c>
      <c r="N822">
        <v>54.436375438589799</v>
      </c>
      <c r="O822">
        <v>17.006222379904699</v>
      </c>
      <c r="P822">
        <v>2.7401863841551202</v>
      </c>
      <c r="Q822">
        <v>18.040695098589101</v>
      </c>
      <c r="R822">
        <v>28.177442406394</v>
      </c>
      <c r="S822">
        <v>-2.87455258591923</v>
      </c>
      <c r="T822">
        <v>131.85384709803</v>
      </c>
      <c r="U822">
        <v>0.443333582421855</v>
      </c>
      <c r="V822">
        <v>49.538251226130399</v>
      </c>
    </row>
    <row r="823" spans="1:22" x14ac:dyDescent="0.25">
      <c r="A823" t="str">
        <f t="shared" si="12"/>
        <v>Italy2014</v>
      </c>
      <c r="B823" t="s">
        <v>121</v>
      </c>
      <c r="C823" t="s">
        <v>122</v>
      </c>
      <c r="D823">
        <v>2014</v>
      </c>
      <c r="E823">
        <v>36028.349402234897</v>
      </c>
      <c r="F823">
        <v>-1.3876173045446001E-3</v>
      </c>
      <c r="G823">
        <v>0.241047429826756</v>
      </c>
      <c r="H823">
        <v>12</v>
      </c>
      <c r="I823">
        <v>21.697874007889499</v>
      </c>
      <c r="J823">
        <v>12.683</v>
      </c>
      <c r="K823">
        <v>43.569824925649698</v>
      </c>
      <c r="L823">
        <v>39.933107182615402</v>
      </c>
      <c r="M823">
        <v>0.90255070883426902</v>
      </c>
      <c r="N823">
        <v>55.099899800776598</v>
      </c>
      <c r="O823">
        <v>17.0766736026264</v>
      </c>
      <c r="P823">
        <v>2.6549060080314999</v>
      </c>
      <c r="Q823">
        <v>18.826407973645999</v>
      </c>
      <c r="R823">
        <v>28.622402736353202</v>
      </c>
      <c r="S823">
        <v>-2.8184985246391601</v>
      </c>
      <c r="T823">
        <v>134.79693692228699</v>
      </c>
      <c r="U823">
        <v>0.45406296408325397</v>
      </c>
      <c r="V823">
        <v>49.743888733935698</v>
      </c>
    </row>
    <row r="824" spans="1:22" x14ac:dyDescent="0.25">
      <c r="A824" t="str">
        <f t="shared" si="12"/>
        <v>Italy2015</v>
      </c>
      <c r="B824" t="s">
        <v>121</v>
      </c>
      <c r="C824" t="s">
        <v>122</v>
      </c>
      <c r="D824">
        <v>2015</v>
      </c>
      <c r="E824">
        <v>30639.882975143199</v>
      </c>
      <c r="F824">
        <v>0.88566763524080705</v>
      </c>
      <c r="G824">
        <v>3.8790399657973297E-2</v>
      </c>
      <c r="H824">
        <v>12</v>
      </c>
      <c r="I824">
        <v>22.0285256126439</v>
      </c>
      <c r="J824">
        <v>11.896000000000001</v>
      </c>
      <c r="K824">
        <v>43.5293517131866</v>
      </c>
      <c r="L824">
        <v>39.818245624287499</v>
      </c>
      <c r="M824">
        <v>0.78277647774089598</v>
      </c>
      <c r="N824">
        <v>55.606642532795703</v>
      </c>
      <c r="O824">
        <v>17.281317485348399</v>
      </c>
      <c r="P824">
        <v>2.8118621093051499</v>
      </c>
      <c r="Q824">
        <v>18.520966373082999</v>
      </c>
      <c r="R824">
        <v>29.144111052532001</v>
      </c>
      <c r="S824">
        <v>-2.4591198825451901</v>
      </c>
      <c r="T824">
        <v>134.789854732642</v>
      </c>
      <c r="U824">
        <v>0.451309798750261</v>
      </c>
      <c r="V824">
        <v>49.691122034463199</v>
      </c>
    </row>
    <row r="825" spans="1:22" x14ac:dyDescent="0.25">
      <c r="A825" t="str">
        <f t="shared" si="12"/>
        <v>Italy2016</v>
      </c>
      <c r="B825" t="s">
        <v>121</v>
      </c>
      <c r="C825" t="s">
        <v>122</v>
      </c>
      <c r="D825">
        <v>2016</v>
      </c>
      <c r="E825">
        <v>31391.569289810799</v>
      </c>
      <c r="F825">
        <v>1.23622108511661</v>
      </c>
      <c r="G825">
        <v>-9.4016656915749994E-2</v>
      </c>
      <c r="H825">
        <v>12</v>
      </c>
      <c r="I825">
        <v>22.309588639161699</v>
      </c>
      <c r="J825">
        <v>11.688000000000001</v>
      </c>
      <c r="K825">
        <v>43.201402205827598</v>
      </c>
      <c r="L825">
        <v>39.889276324514498</v>
      </c>
      <c r="M825">
        <v>1.24817184167345</v>
      </c>
      <c r="N825">
        <v>55.919769014988901</v>
      </c>
      <c r="O825">
        <v>17.7118639941996</v>
      </c>
      <c r="P825">
        <v>2.9516146573350999</v>
      </c>
      <c r="Q825">
        <v>20.178726972547398</v>
      </c>
      <c r="R825">
        <v>28.7987488919157</v>
      </c>
      <c r="S825">
        <v>-2.4046605695730299</v>
      </c>
      <c r="T825">
        <v>134.241308356834</v>
      </c>
      <c r="U825">
        <v>0.48087907126177198</v>
      </c>
      <c r="V825">
        <v>50.257841692573599</v>
      </c>
    </row>
    <row r="826" spans="1:22" x14ac:dyDescent="0.25">
      <c r="A826" t="str">
        <f t="shared" si="12"/>
        <v>Italy2017</v>
      </c>
      <c r="B826" t="s">
        <v>121</v>
      </c>
      <c r="C826" t="s">
        <v>122</v>
      </c>
      <c r="D826">
        <v>2017</v>
      </c>
      <c r="E826">
        <v>32844.115660604002</v>
      </c>
      <c r="F826">
        <v>1.6036999529410101</v>
      </c>
      <c r="G826">
        <v>1.22653316645812</v>
      </c>
      <c r="H826">
        <v>12</v>
      </c>
      <c r="I826">
        <v>22.558669089969001</v>
      </c>
      <c r="J826">
        <v>11.211</v>
      </c>
      <c r="K826">
        <v>42.946575308699998</v>
      </c>
      <c r="L826">
        <v>39.424176537251803</v>
      </c>
      <c r="M826">
        <v>0.70982171508069303</v>
      </c>
      <c r="N826">
        <v>56.129984783102003</v>
      </c>
      <c r="O826">
        <v>18.169422290602501</v>
      </c>
      <c r="P826">
        <v>2.9604064779460799</v>
      </c>
      <c r="Q826">
        <v>20.6110559036563</v>
      </c>
      <c r="R826">
        <v>30.1398859152774</v>
      </c>
      <c r="S826">
        <v>-2.50886647295231</v>
      </c>
      <c r="T826">
        <v>133.742411118875</v>
      </c>
      <c r="U826">
        <v>0.50310743462055596</v>
      </c>
      <c r="V826">
        <v>50.683866731848298</v>
      </c>
    </row>
    <row r="827" spans="1:22" x14ac:dyDescent="0.25">
      <c r="A827" t="str">
        <f t="shared" si="12"/>
        <v>Italy2018</v>
      </c>
      <c r="B827" t="s">
        <v>121</v>
      </c>
      <c r="C827" t="s">
        <v>122</v>
      </c>
      <c r="D827">
        <v>2018</v>
      </c>
      <c r="E827">
        <v>34904.108192383399</v>
      </c>
      <c r="F827">
        <v>0.82664671234411502</v>
      </c>
      <c r="G827">
        <v>1.1374876360039099</v>
      </c>
      <c r="H827">
        <v>12</v>
      </c>
      <c r="I827">
        <v>22.806214328884298</v>
      </c>
      <c r="J827">
        <v>10.538</v>
      </c>
      <c r="K827">
        <v>42.502735488858796</v>
      </c>
      <c r="L827">
        <v>39.290406427380702</v>
      </c>
      <c r="M827">
        <v>1.07058151640653</v>
      </c>
      <c r="N827">
        <v>56.307902617925997</v>
      </c>
      <c r="O827">
        <v>18.660871607864401</v>
      </c>
      <c r="P827">
        <v>2.70264013178548</v>
      </c>
      <c r="Q827">
        <v>21.186553529171899</v>
      </c>
      <c r="R827">
        <v>30.8135072735991</v>
      </c>
      <c r="S827">
        <v>-2.1919916478413</v>
      </c>
      <c r="T827">
        <v>134.19969354417699</v>
      </c>
      <c r="U827">
        <v>0.53809278692175</v>
      </c>
      <c r="V827">
        <v>51.354390055926899</v>
      </c>
    </row>
    <row r="828" spans="1:22" x14ac:dyDescent="0.25">
      <c r="A828" t="str">
        <f t="shared" si="12"/>
        <v>Italy2019</v>
      </c>
      <c r="B828" t="s">
        <v>121</v>
      </c>
      <c r="C828" t="s">
        <v>122</v>
      </c>
      <c r="D828">
        <v>2019</v>
      </c>
      <c r="E828">
        <v>33812.788724867998</v>
      </c>
      <c r="F828">
        <v>0.42916253378034203</v>
      </c>
      <c r="G828">
        <v>0.61124694376530397</v>
      </c>
      <c r="H828">
        <v>12</v>
      </c>
      <c r="I828">
        <v>23.104171093177001</v>
      </c>
      <c r="J828">
        <v>9.8840000000000003</v>
      </c>
      <c r="K828">
        <v>42.2948307679073</v>
      </c>
      <c r="L828">
        <v>40.085987946787803</v>
      </c>
      <c r="M828">
        <v>1.04700690430435</v>
      </c>
      <c r="N828">
        <v>56.5632847288554</v>
      </c>
      <c r="O828">
        <v>18.364131527723899</v>
      </c>
      <c r="P828">
        <v>3.2680830259430902</v>
      </c>
      <c r="Q828">
        <v>21.501623631916001</v>
      </c>
      <c r="R828">
        <v>30.9498739181942</v>
      </c>
      <c r="S828">
        <v>-1.4501132441939399</v>
      </c>
      <c r="T828">
        <v>133.899535826294</v>
      </c>
      <c r="U828">
        <v>0.59787634156463598</v>
      </c>
      <c r="V828">
        <v>52.500191517043199</v>
      </c>
    </row>
    <row r="829" spans="1:22" x14ac:dyDescent="0.25">
      <c r="A829" t="str">
        <f t="shared" si="12"/>
        <v>Italy2020</v>
      </c>
      <c r="B829" t="s">
        <v>121</v>
      </c>
      <c r="C829" t="s">
        <v>122</v>
      </c>
      <c r="D829">
        <v>2020</v>
      </c>
      <c r="E829">
        <v>32091.486662136602</v>
      </c>
      <c r="F829">
        <v>-8.8682212218534495</v>
      </c>
      <c r="G829">
        <v>-0.13770757391651001</v>
      </c>
      <c r="H829">
        <v>12</v>
      </c>
      <c r="I829">
        <v>23.379233231567</v>
      </c>
      <c r="J829">
        <v>9.1920000000000002</v>
      </c>
      <c r="K829">
        <v>50.344491557215903</v>
      </c>
      <c r="L829">
        <v>40.595040071271299</v>
      </c>
      <c r="M829">
        <v>1.5774027879677099</v>
      </c>
      <c r="N829">
        <v>56.7526091414435</v>
      </c>
      <c r="O829">
        <v>17.898686829716599</v>
      </c>
      <c r="P829">
        <v>4.6474845614484899</v>
      </c>
      <c r="Q829">
        <v>21.702937627510401</v>
      </c>
      <c r="R829">
        <v>28.725855187019899</v>
      </c>
      <c r="S829">
        <v>-9.3787892669098891</v>
      </c>
      <c r="T829">
        <v>154.379876084796</v>
      </c>
      <c r="U829">
        <v>0.178219165634352</v>
      </c>
      <c r="V829">
        <v>44.457113312323202</v>
      </c>
    </row>
    <row r="830" spans="1:22" x14ac:dyDescent="0.25">
      <c r="A830" t="str">
        <f t="shared" si="12"/>
        <v>Italy2021</v>
      </c>
      <c r="B830" t="s">
        <v>121</v>
      </c>
      <c r="C830" t="s">
        <v>122</v>
      </c>
      <c r="D830">
        <v>2021</v>
      </c>
      <c r="E830">
        <v>36852.542541495102</v>
      </c>
      <c r="F830">
        <v>8.9310621080005497</v>
      </c>
      <c r="G830">
        <v>1.8737832576248099</v>
      </c>
      <c r="H830">
        <v>12</v>
      </c>
      <c r="I830">
        <v>23.661973552365801</v>
      </c>
      <c r="J830">
        <v>9.4969999999999999</v>
      </c>
      <c r="K830">
        <v>49.652717812693702</v>
      </c>
      <c r="L830">
        <v>40.3368257842547</v>
      </c>
      <c r="M830">
        <v>1.28332187292641</v>
      </c>
      <c r="N830">
        <v>56.928354784586503</v>
      </c>
      <c r="O830">
        <v>22.001138231520802</v>
      </c>
      <c r="P830">
        <v>3.8721439393966701</v>
      </c>
      <c r="Q830">
        <v>24.005392614308398</v>
      </c>
      <c r="R830">
        <v>31.171608863009201</v>
      </c>
      <c r="S830">
        <v>-8.8756738098287702</v>
      </c>
      <c r="T830">
        <v>145.819122630675</v>
      </c>
      <c r="U830">
        <v>0.41535019118673799</v>
      </c>
      <c r="V830">
        <v>49.001926299388998</v>
      </c>
    </row>
    <row r="831" spans="1:22" x14ac:dyDescent="0.25">
      <c r="A831" t="str">
        <f t="shared" si="12"/>
        <v>Italy2022</v>
      </c>
      <c r="B831" t="s">
        <v>121</v>
      </c>
      <c r="C831" t="s">
        <v>122</v>
      </c>
      <c r="D831">
        <v>2022</v>
      </c>
      <c r="E831">
        <v>35653.904210349501</v>
      </c>
      <c r="F831">
        <v>4.8211766991356502</v>
      </c>
      <c r="G831">
        <v>8.2012899116171791</v>
      </c>
      <c r="H831">
        <v>12</v>
      </c>
      <c r="I831">
        <v>23.929189689659001</v>
      </c>
      <c r="J831">
        <v>8.0690000000000008</v>
      </c>
      <c r="K831">
        <v>48.370264423825198</v>
      </c>
      <c r="L831">
        <v>39.618029895410203</v>
      </c>
      <c r="M831">
        <v>3.4553591713477099</v>
      </c>
      <c r="N831">
        <v>57.0326358787404</v>
      </c>
      <c r="O831">
        <v>24.597729832239299</v>
      </c>
      <c r="P831">
        <v>3.1271167223129699</v>
      </c>
      <c r="Q831">
        <v>22.784331866277402</v>
      </c>
      <c r="R831">
        <v>35.099140041257797</v>
      </c>
      <c r="S831">
        <v>-8.1012555597318006</v>
      </c>
      <c r="T831">
        <v>138.35595596357001</v>
      </c>
      <c r="U831">
        <v>0.40222808308881902</v>
      </c>
      <c r="V831">
        <v>48.750430202822997</v>
      </c>
    </row>
    <row r="832" spans="1:22" x14ac:dyDescent="0.25">
      <c r="A832" t="str">
        <f t="shared" si="12"/>
        <v>Italy2023</v>
      </c>
      <c r="B832" t="s">
        <v>121</v>
      </c>
      <c r="C832" t="s">
        <v>122</v>
      </c>
      <c r="D832">
        <v>2023</v>
      </c>
      <c r="E832">
        <v>39277.083878391801</v>
      </c>
      <c r="F832">
        <v>0.97569484012700503</v>
      </c>
      <c r="G832">
        <v>5.6221944219590103</v>
      </c>
      <c r="H832">
        <v>12</v>
      </c>
      <c r="I832">
        <v>24.2187831541913</v>
      </c>
      <c r="J832">
        <v>7.6269999999999998</v>
      </c>
      <c r="K832">
        <v>47.280509485267402</v>
      </c>
      <c r="L832">
        <v>39.074271246961104</v>
      </c>
      <c r="M832">
        <v>6.1972646212287401</v>
      </c>
      <c r="N832">
        <v>57.141823839662599</v>
      </c>
      <c r="O832">
        <v>23.0784564391973</v>
      </c>
      <c r="P832">
        <v>3.37671102184111</v>
      </c>
      <c r="Q832">
        <v>23.277376323430001</v>
      </c>
      <c r="R832">
        <v>33.331589347660803</v>
      </c>
      <c r="S832">
        <v>-7.1341700175102503</v>
      </c>
      <c r="T832">
        <v>133.93751190062801</v>
      </c>
      <c r="U832">
        <v>0.461669348710328</v>
      </c>
      <c r="V832">
        <v>49.889671410653001</v>
      </c>
    </row>
    <row r="833" spans="1:22" x14ac:dyDescent="0.25">
      <c r="A833" t="str">
        <f t="shared" si="12"/>
        <v>Italy2024</v>
      </c>
      <c r="B833" t="s">
        <v>121</v>
      </c>
      <c r="C833" t="s">
        <v>122</v>
      </c>
      <c r="D833">
        <v>2024</v>
      </c>
      <c r="E833">
        <v>40385.341395766904</v>
      </c>
      <c r="F833">
        <v>0.69267694844053596</v>
      </c>
      <c r="G833">
        <v>0.98237302306141705</v>
      </c>
      <c r="H833">
        <v>12</v>
      </c>
      <c r="I833">
        <v>24.624776723376002</v>
      </c>
      <c r="J833">
        <v>6.5</v>
      </c>
      <c r="K833">
        <v>43.5141293590614</v>
      </c>
      <c r="L833">
        <v>40.184315522949099</v>
      </c>
      <c r="M833">
        <v>1.9549249629949801</v>
      </c>
      <c r="N833">
        <v>57.522688706397801</v>
      </c>
      <c r="O833">
        <v>22.577428622424399</v>
      </c>
      <c r="P833">
        <v>4.0072725123287203</v>
      </c>
      <c r="Q833">
        <v>23.648110364452702</v>
      </c>
      <c r="R833">
        <v>32.505041554007001</v>
      </c>
      <c r="S833">
        <v>-3.3504977904488999</v>
      </c>
      <c r="T833">
        <v>134.73538746729699</v>
      </c>
      <c r="U833">
        <v>0.66306387865469396</v>
      </c>
      <c r="V833">
        <v>53.749564788514498</v>
      </c>
    </row>
    <row r="834" spans="1:22" x14ac:dyDescent="0.25">
      <c r="A834" t="str">
        <f t="shared" si="12"/>
        <v>Italy2025</v>
      </c>
      <c r="B834" t="s">
        <v>121</v>
      </c>
      <c r="C834" t="s">
        <v>122</v>
      </c>
      <c r="D834">
        <v>2025</v>
      </c>
      <c r="E834">
        <v>35653.904210349501</v>
      </c>
      <c r="F834">
        <v>0.82664671234411502</v>
      </c>
      <c r="G834">
        <v>1.21999342274306</v>
      </c>
      <c r="H834">
        <v>12</v>
      </c>
      <c r="I834">
        <v>22.558669089969001</v>
      </c>
      <c r="J834">
        <v>6.391</v>
      </c>
      <c r="K834">
        <v>43.5141293590614</v>
      </c>
      <c r="L834">
        <v>39.818245624287499</v>
      </c>
      <c r="M834">
        <v>1.24817184167345</v>
      </c>
      <c r="N834">
        <v>56.129984783102003</v>
      </c>
      <c r="O834">
        <v>18.364131527723899</v>
      </c>
      <c r="P834">
        <v>2.9604064779460799</v>
      </c>
      <c r="Q834">
        <v>20.6110559036563</v>
      </c>
      <c r="R834">
        <v>29.144111052532001</v>
      </c>
      <c r="S834">
        <v>-3.1126871028927998</v>
      </c>
      <c r="T834">
        <v>137.088344849912</v>
      </c>
      <c r="U834">
        <v>0.585055435419223</v>
      </c>
      <c r="V834">
        <v>52.2544682059754</v>
      </c>
    </row>
    <row r="835" spans="1:22" x14ac:dyDescent="0.25">
      <c r="A835" t="str">
        <f t="shared" si="12"/>
        <v>Jordan2010</v>
      </c>
      <c r="B835" t="s">
        <v>123</v>
      </c>
      <c r="C835" t="s">
        <v>124</v>
      </c>
      <c r="D835">
        <v>2010</v>
      </c>
      <c r="E835">
        <v>3718.4657162294502</v>
      </c>
      <c r="F835">
        <v>2.31483422063046</v>
      </c>
      <c r="G835">
        <v>4.8455187585211599</v>
      </c>
      <c r="H835">
        <v>10</v>
      </c>
      <c r="I835">
        <v>3.4540153145585601</v>
      </c>
      <c r="J835">
        <v>12.5</v>
      </c>
      <c r="K835">
        <v>26.240330846595899</v>
      </c>
      <c r="L835">
        <v>22.117310038032201</v>
      </c>
      <c r="M835">
        <v>8.0774560971307405</v>
      </c>
      <c r="N835">
        <v>65.150767934097601</v>
      </c>
      <c r="O835">
        <v>35.037631194516898</v>
      </c>
      <c r="P835">
        <v>8.4575716971794304</v>
      </c>
      <c r="Q835">
        <v>28.1043380169043</v>
      </c>
      <c r="R835">
        <v>46.9971426422454</v>
      </c>
      <c r="S835">
        <v>0.18961368274895801</v>
      </c>
      <c r="T835">
        <v>53.397652527655701</v>
      </c>
      <c r="U835">
        <v>-0.38527507693899499</v>
      </c>
      <c r="V835">
        <v>33.6572783020437</v>
      </c>
    </row>
    <row r="836" spans="1:22" x14ac:dyDescent="0.25">
      <c r="A836" t="str">
        <f t="shared" ref="A836:A899" si="13">C836&amp;D836</f>
        <v>Jordan2011</v>
      </c>
      <c r="B836" t="s">
        <v>123</v>
      </c>
      <c r="C836" t="s">
        <v>124</v>
      </c>
      <c r="D836">
        <v>2011</v>
      </c>
      <c r="E836">
        <v>3946.8550385552498</v>
      </c>
      <c r="F836">
        <v>2.7371798863210399</v>
      </c>
      <c r="G836">
        <v>4.1624416292779003</v>
      </c>
      <c r="H836">
        <v>10</v>
      </c>
      <c r="I836">
        <v>3.5150079728100998</v>
      </c>
      <c r="J836">
        <v>12.9</v>
      </c>
      <c r="K836">
        <v>28.847714489001799</v>
      </c>
      <c r="L836">
        <v>20.030869072426398</v>
      </c>
      <c r="M836">
        <v>5.9105109580173396</v>
      </c>
      <c r="N836">
        <v>64.0154314863275</v>
      </c>
      <c r="O836">
        <v>31.747703845530399</v>
      </c>
      <c r="P836">
        <v>6.5155143581601802</v>
      </c>
      <c r="Q836">
        <v>21.734635002230402</v>
      </c>
      <c r="R836">
        <v>46.550577629554603</v>
      </c>
      <c r="S836">
        <v>-1.2079267423514199</v>
      </c>
      <c r="T836">
        <v>56.1432360859338</v>
      </c>
      <c r="U836">
        <v>-0.49519689348019402</v>
      </c>
      <c r="V836">
        <v>31.550535423440699</v>
      </c>
    </row>
    <row r="837" spans="1:22" x14ac:dyDescent="0.25">
      <c r="A837" t="str">
        <f t="shared" si="13"/>
        <v>Jordan2012</v>
      </c>
      <c r="B837" t="s">
        <v>123</v>
      </c>
      <c r="C837" t="s">
        <v>124</v>
      </c>
      <c r="D837">
        <v>2012</v>
      </c>
      <c r="E837">
        <v>4169.5047005461802</v>
      </c>
      <c r="F837">
        <v>2.4293580010023801</v>
      </c>
      <c r="G837">
        <v>4.5152295667099001</v>
      </c>
      <c r="H837">
        <v>10</v>
      </c>
      <c r="I837">
        <v>3.58309518325611</v>
      </c>
      <c r="J837">
        <v>12.2</v>
      </c>
      <c r="K837">
        <v>28.8746412441361</v>
      </c>
      <c r="L837">
        <v>21.045799667103299</v>
      </c>
      <c r="M837">
        <v>4.60681522593885</v>
      </c>
      <c r="N837">
        <v>62.9972385245377</v>
      </c>
      <c r="O837">
        <v>31.0322030208821</v>
      </c>
      <c r="P837">
        <v>4.4054543575990603</v>
      </c>
      <c r="Q837">
        <v>16.134692191800799</v>
      </c>
      <c r="R837">
        <v>45.225985406904002</v>
      </c>
      <c r="S837">
        <v>-3.3259404107039501</v>
      </c>
      <c r="T837">
        <v>64.006889018470105</v>
      </c>
      <c r="U837">
        <v>-0.636937424538074</v>
      </c>
      <c r="V837">
        <v>28.833960463058201</v>
      </c>
    </row>
    <row r="838" spans="1:22" x14ac:dyDescent="0.25">
      <c r="A838" t="str">
        <f t="shared" si="13"/>
        <v>Jordan2013</v>
      </c>
      <c r="B838" t="s">
        <v>123</v>
      </c>
      <c r="C838" t="s">
        <v>124</v>
      </c>
      <c r="D838">
        <v>2013</v>
      </c>
      <c r="E838">
        <v>4311.2191671303799</v>
      </c>
      <c r="F838">
        <v>2.6099473754863101</v>
      </c>
      <c r="G838">
        <v>4.8246231426953701</v>
      </c>
      <c r="H838">
        <v>10</v>
      </c>
      <c r="I838">
        <v>3.5221187092934798</v>
      </c>
      <c r="J838">
        <v>12.6</v>
      </c>
      <c r="K838">
        <v>26.239999934594199</v>
      </c>
      <c r="L838">
        <v>20.928638053457199</v>
      </c>
      <c r="M838">
        <v>6.1436238894443997</v>
      </c>
      <c r="N838">
        <v>62.308495464616101</v>
      </c>
      <c r="O838">
        <v>26.599731979187499</v>
      </c>
      <c r="P838">
        <v>6.5566574779507496</v>
      </c>
      <c r="Q838">
        <v>16.435472400223102</v>
      </c>
      <c r="R838">
        <v>41.295603573651697</v>
      </c>
      <c r="S838">
        <v>-8.7785927308909795</v>
      </c>
      <c r="T838">
        <v>68.760548793458398</v>
      </c>
      <c r="U838">
        <v>-0.85747320618794898</v>
      </c>
      <c r="V838">
        <v>24.607209103887602</v>
      </c>
    </row>
    <row r="839" spans="1:22" x14ac:dyDescent="0.25">
      <c r="A839" t="str">
        <f t="shared" si="13"/>
        <v>Jordan2014</v>
      </c>
      <c r="B839" t="s">
        <v>123</v>
      </c>
      <c r="C839" t="s">
        <v>124</v>
      </c>
      <c r="D839">
        <v>2014</v>
      </c>
      <c r="E839">
        <v>4191.1805008498604</v>
      </c>
      <c r="F839">
        <v>3.3840780993347201</v>
      </c>
      <c r="G839">
        <v>2.8994790500605698</v>
      </c>
      <c r="H839">
        <v>10</v>
      </c>
      <c r="I839">
        <v>3.35011599847379</v>
      </c>
      <c r="J839">
        <v>11.9</v>
      </c>
      <c r="K839">
        <v>27.4877592741813</v>
      </c>
      <c r="L839">
        <v>23.053053684106398</v>
      </c>
      <c r="M839">
        <v>3.4453235631560899</v>
      </c>
      <c r="N839">
        <v>62.060317115643798</v>
      </c>
      <c r="O839">
        <v>25.808595194091701</v>
      </c>
      <c r="P839">
        <v>7.3269809177961802</v>
      </c>
      <c r="Q839">
        <v>18.732953622592699</v>
      </c>
      <c r="R839">
        <v>42.133907705046397</v>
      </c>
      <c r="S839">
        <v>-6.7517514716046101</v>
      </c>
      <c r="T839">
        <v>68.189106943748001</v>
      </c>
      <c r="U839">
        <v>-0.67082550753860204</v>
      </c>
      <c r="V839">
        <v>28.184467216154701</v>
      </c>
    </row>
    <row r="840" spans="1:22" x14ac:dyDescent="0.25">
      <c r="A840" t="str">
        <f t="shared" si="13"/>
        <v>Jordan2015</v>
      </c>
      <c r="B840" t="s">
        <v>123</v>
      </c>
      <c r="C840" t="s">
        <v>124</v>
      </c>
      <c r="D840">
        <v>2015</v>
      </c>
      <c r="E840">
        <v>4042.7567809755501</v>
      </c>
      <c r="F840">
        <v>2.4965287931518798</v>
      </c>
      <c r="G840">
        <v>-0.87685135970404904</v>
      </c>
      <c r="H840">
        <v>10</v>
      </c>
      <c r="I840">
        <v>3.31858033894938</v>
      </c>
      <c r="J840">
        <v>13.074999999999999</v>
      </c>
      <c r="K840">
        <v>25.7146982444767</v>
      </c>
      <c r="L840">
        <v>21.5718760290784</v>
      </c>
      <c r="M840">
        <v>2.1697521169532301</v>
      </c>
      <c r="N840">
        <v>61.623480894950497</v>
      </c>
      <c r="O840">
        <v>24.8350329106344</v>
      </c>
      <c r="P840">
        <v>8.3049308867397595</v>
      </c>
      <c r="Q840">
        <v>16.003859825482301</v>
      </c>
      <c r="R840">
        <v>36.544437022526701</v>
      </c>
      <c r="S840">
        <v>-5.1820600302998097</v>
      </c>
      <c r="T840">
        <v>71.380648704858004</v>
      </c>
      <c r="U840">
        <v>-0.69955520258248505</v>
      </c>
      <c r="V840">
        <v>27.633838757286</v>
      </c>
    </row>
    <row r="841" spans="1:22" x14ac:dyDescent="0.25">
      <c r="A841" t="str">
        <f t="shared" si="13"/>
        <v>Jordan2016</v>
      </c>
      <c r="B841" t="s">
        <v>123</v>
      </c>
      <c r="C841" t="s">
        <v>124</v>
      </c>
      <c r="D841">
        <v>2016</v>
      </c>
      <c r="E841">
        <v>3986.71677010853</v>
      </c>
      <c r="F841">
        <v>1.9941808493012001</v>
      </c>
      <c r="G841">
        <v>-0.77843046305414199</v>
      </c>
      <c r="H841">
        <v>10</v>
      </c>
      <c r="I841">
        <v>3.4128472108232302</v>
      </c>
      <c r="J841">
        <v>15.275</v>
      </c>
      <c r="K841">
        <v>25.857840176474301</v>
      </c>
      <c r="L841">
        <v>22.008768321261599</v>
      </c>
      <c r="M841">
        <v>1.36200664175068</v>
      </c>
      <c r="N841">
        <v>60.958298916876899</v>
      </c>
      <c r="O841">
        <v>23.404418756379599</v>
      </c>
      <c r="P841">
        <v>8.1462940899394596</v>
      </c>
      <c r="Q841">
        <v>14.610765362518</v>
      </c>
      <c r="R841">
        <v>34.395210065567902</v>
      </c>
      <c r="S841">
        <v>-2.6228471951468801</v>
      </c>
      <c r="T841">
        <v>70.703938733665893</v>
      </c>
      <c r="U841">
        <v>-0.62903751187963597</v>
      </c>
      <c r="V841">
        <v>28.9853688482035</v>
      </c>
    </row>
    <row r="842" spans="1:22" x14ac:dyDescent="0.25">
      <c r="A842" t="str">
        <f t="shared" si="13"/>
        <v>Jordan2017</v>
      </c>
      <c r="B842" t="s">
        <v>123</v>
      </c>
      <c r="C842" t="s">
        <v>124</v>
      </c>
      <c r="D842">
        <v>2017</v>
      </c>
      <c r="E842">
        <v>4065.61628749384</v>
      </c>
      <c r="F842">
        <v>2.4735981544904502</v>
      </c>
      <c r="G842">
        <v>3.3238944757609699</v>
      </c>
      <c r="H842">
        <v>10</v>
      </c>
      <c r="I842">
        <v>3.5250052129003202</v>
      </c>
      <c r="J842">
        <v>18.12</v>
      </c>
      <c r="K842">
        <v>25.558874428548599</v>
      </c>
      <c r="L842">
        <v>22.738482118815998</v>
      </c>
      <c r="M842">
        <v>1.78355010971296</v>
      </c>
      <c r="N842">
        <v>60.338812839041999</v>
      </c>
      <c r="O842">
        <v>24.717360352457</v>
      </c>
      <c r="P842">
        <v>7.7500819334076301</v>
      </c>
      <c r="Q842">
        <v>14.4989896499692</v>
      </c>
      <c r="R842">
        <v>34.368369130995703</v>
      </c>
      <c r="S842">
        <v>-3.2158430499779</v>
      </c>
      <c r="T842">
        <v>69.131803059607506</v>
      </c>
      <c r="U842">
        <v>-0.70830675281372801</v>
      </c>
      <c r="V842">
        <v>27.466108030970201</v>
      </c>
    </row>
    <row r="843" spans="1:22" x14ac:dyDescent="0.25">
      <c r="A843" t="str">
        <f t="shared" si="13"/>
        <v>Jordan2018</v>
      </c>
      <c r="B843" t="s">
        <v>123</v>
      </c>
      <c r="C843" t="s">
        <v>124</v>
      </c>
      <c r="D843">
        <v>2018</v>
      </c>
      <c r="E843">
        <v>4145.4398967326497</v>
      </c>
      <c r="F843">
        <v>1.9190709134156401</v>
      </c>
      <c r="G843">
        <v>4.46231108475481</v>
      </c>
      <c r="H843">
        <v>10</v>
      </c>
      <c r="I843">
        <v>3.64857422445874</v>
      </c>
      <c r="J843">
        <v>18.257000000000001</v>
      </c>
      <c r="K843">
        <v>26.292073540607301</v>
      </c>
      <c r="L843">
        <v>23.434310057030501</v>
      </c>
      <c r="M843">
        <v>2.2730468059104298</v>
      </c>
      <c r="N843">
        <v>59.640083293622801</v>
      </c>
      <c r="O843">
        <v>24.3624336974922</v>
      </c>
      <c r="P843">
        <v>7.2437994794057898</v>
      </c>
      <c r="Q843">
        <v>17.8581351064907</v>
      </c>
      <c r="R843">
        <v>34.799115837854799</v>
      </c>
      <c r="S843">
        <v>-4.2318689016573803</v>
      </c>
      <c r="T843">
        <v>67.944001543965896</v>
      </c>
      <c r="U843">
        <v>-0.70708143822136305</v>
      </c>
      <c r="V843">
        <v>27.4895922024726</v>
      </c>
    </row>
    <row r="844" spans="1:22" x14ac:dyDescent="0.25">
      <c r="A844" t="str">
        <f t="shared" si="13"/>
        <v>Jordan2019</v>
      </c>
      <c r="B844" t="s">
        <v>123</v>
      </c>
      <c r="C844" t="s">
        <v>124</v>
      </c>
      <c r="D844">
        <v>2019</v>
      </c>
      <c r="E844">
        <v>4170.1144003464997</v>
      </c>
      <c r="F844">
        <v>1.7512407786622499</v>
      </c>
      <c r="G844">
        <v>0.76151404726560101</v>
      </c>
      <c r="H844">
        <v>10</v>
      </c>
      <c r="I844">
        <v>3.7770155365616298</v>
      </c>
      <c r="J844">
        <v>16.800999999999998</v>
      </c>
      <c r="K844">
        <v>26.248266278703198</v>
      </c>
      <c r="L844">
        <v>22.045986480198099</v>
      </c>
      <c r="M844">
        <v>0.844355656854063</v>
      </c>
      <c r="N844">
        <v>58.8802726956431</v>
      </c>
      <c r="O844">
        <v>21.413334174337901</v>
      </c>
      <c r="P844">
        <v>7.9567804391499504</v>
      </c>
      <c r="Q844">
        <v>20.216182894686199</v>
      </c>
      <c r="R844">
        <v>36.334940435817103</v>
      </c>
      <c r="S844">
        <v>-5.0639991142228604</v>
      </c>
      <c r="T844">
        <v>69.375640661828996</v>
      </c>
      <c r="U844">
        <v>-0.66440404435085498</v>
      </c>
      <c r="V844">
        <v>28.307539889684701</v>
      </c>
    </row>
    <row r="845" spans="1:22" x14ac:dyDescent="0.25">
      <c r="A845" t="str">
        <f t="shared" si="13"/>
        <v>Jordan2020</v>
      </c>
      <c r="B845" t="s">
        <v>123</v>
      </c>
      <c r="C845" t="s">
        <v>124</v>
      </c>
      <c r="D845">
        <v>2020</v>
      </c>
      <c r="E845">
        <v>4022.0401356134998</v>
      </c>
      <c r="F845">
        <v>-1.1027518830904599</v>
      </c>
      <c r="G845">
        <v>0.33329435062837798</v>
      </c>
      <c r="H845">
        <v>10</v>
      </c>
      <c r="I845">
        <v>3.89908540801378</v>
      </c>
      <c r="J845">
        <v>19.213000000000001</v>
      </c>
      <c r="K845">
        <v>28.1652218731959</v>
      </c>
      <c r="L845">
        <v>20.104893527217001</v>
      </c>
      <c r="M845">
        <v>-0.70858797027952403</v>
      </c>
      <c r="N845">
        <v>58.079266097011299</v>
      </c>
      <c r="O845">
        <v>21.4585413761158</v>
      </c>
      <c r="P845">
        <v>10.4582795455973</v>
      </c>
      <c r="Q845">
        <v>16.164398855303801</v>
      </c>
      <c r="R845">
        <v>23.899941960736999</v>
      </c>
      <c r="S845">
        <v>-7.5556770784124403</v>
      </c>
      <c r="T845">
        <v>77.865888722801301</v>
      </c>
      <c r="U845">
        <v>-0.94308744383730403</v>
      </c>
      <c r="V845">
        <v>22.9663411565571</v>
      </c>
    </row>
    <row r="846" spans="1:22" x14ac:dyDescent="0.25">
      <c r="A846" t="str">
        <f t="shared" si="13"/>
        <v>Jordan2021</v>
      </c>
      <c r="B846" t="s">
        <v>123</v>
      </c>
      <c r="C846" t="s">
        <v>124</v>
      </c>
      <c r="D846">
        <v>2021</v>
      </c>
      <c r="E846">
        <v>4183.4999832686599</v>
      </c>
      <c r="F846">
        <v>3.6556435899914699</v>
      </c>
      <c r="G846">
        <v>1.3460937724311799</v>
      </c>
      <c r="H846">
        <v>10</v>
      </c>
      <c r="I846">
        <v>4.0065537381952998</v>
      </c>
      <c r="J846">
        <v>19.837</v>
      </c>
      <c r="K846">
        <v>28.510508403453201</v>
      </c>
      <c r="L846">
        <v>22.284023430550199</v>
      </c>
      <c r="M846">
        <v>2.2036043491638</v>
      </c>
      <c r="N846">
        <v>57.227352303251202</v>
      </c>
      <c r="O846">
        <v>25.177796818106302</v>
      </c>
      <c r="P846">
        <v>9.4180581328837008</v>
      </c>
      <c r="Q846">
        <v>17.689352661715802</v>
      </c>
      <c r="R846">
        <v>29.958414256478999</v>
      </c>
      <c r="S846">
        <v>-6.6204857850358296</v>
      </c>
      <c r="T846">
        <v>79.899286287117903</v>
      </c>
      <c r="U846">
        <v>-0.83691910666228697</v>
      </c>
      <c r="V846">
        <v>25.001145486712499</v>
      </c>
    </row>
    <row r="847" spans="1:22" x14ac:dyDescent="0.25">
      <c r="A847" t="str">
        <f t="shared" si="13"/>
        <v>Jordan2022</v>
      </c>
      <c r="B847" t="s">
        <v>123</v>
      </c>
      <c r="C847" t="s">
        <v>124</v>
      </c>
      <c r="D847">
        <v>2022</v>
      </c>
      <c r="E847">
        <v>4332.2515989793101</v>
      </c>
      <c r="F847">
        <v>2.6474351491205801</v>
      </c>
      <c r="G847">
        <v>4.2291556889711703</v>
      </c>
      <c r="H847">
        <v>10</v>
      </c>
      <c r="I847">
        <v>4.1420805403142902</v>
      </c>
      <c r="J847">
        <v>18.2</v>
      </c>
      <c r="K847">
        <v>28.7963616454714</v>
      </c>
      <c r="L847">
        <v>23.4577330456951</v>
      </c>
      <c r="M847">
        <v>2.61607320131351</v>
      </c>
      <c r="N847">
        <v>56.238165471450401</v>
      </c>
      <c r="O847">
        <v>25.006414864370299</v>
      </c>
      <c r="P847">
        <v>6.9110566885968403</v>
      </c>
      <c r="Q847">
        <v>17.0624125309694</v>
      </c>
      <c r="R847">
        <v>42.537467156343297</v>
      </c>
      <c r="S847">
        <v>-4.90249587742752</v>
      </c>
      <c r="T847">
        <v>80.708939619754403</v>
      </c>
      <c r="U847">
        <v>-0.68404796030380199</v>
      </c>
      <c r="V847">
        <v>27.931047930727399</v>
      </c>
    </row>
    <row r="848" spans="1:22" x14ac:dyDescent="0.25">
      <c r="A848" t="str">
        <f t="shared" si="13"/>
        <v>Jordan2023</v>
      </c>
      <c r="B848" t="s">
        <v>123</v>
      </c>
      <c r="C848" t="s">
        <v>124</v>
      </c>
      <c r="D848">
        <v>2023</v>
      </c>
      <c r="E848">
        <v>4466.0831420857503</v>
      </c>
      <c r="F848">
        <v>2.8840833928168301</v>
      </c>
      <c r="G848">
        <v>2.0848698632713401</v>
      </c>
      <c r="H848">
        <v>10</v>
      </c>
      <c r="I848">
        <v>4.3223032772314296</v>
      </c>
      <c r="J848">
        <v>16.62</v>
      </c>
      <c r="K848">
        <v>28.436996384251199</v>
      </c>
      <c r="L848">
        <v>23.2463327043058</v>
      </c>
      <c r="M848">
        <v>1.8279159257534201</v>
      </c>
      <c r="N848">
        <v>55.1554977992581</v>
      </c>
      <c r="O848">
        <v>25.006414864370299</v>
      </c>
      <c r="P848">
        <v>7.3072098518532398</v>
      </c>
      <c r="Q848">
        <v>17.0624125309694</v>
      </c>
      <c r="R848">
        <v>43.516883394519397</v>
      </c>
      <c r="S848">
        <v>-6.4870455452314904</v>
      </c>
      <c r="T848">
        <v>81.031066300472204</v>
      </c>
      <c r="U848">
        <v>-0.70213973727065104</v>
      </c>
      <c r="V848">
        <v>27.5843040041302</v>
      </c>
    </row>
    <row r="849" spans="1:22" x14ac:dyDescent="0.25">
      <c r="A849" t="str">
        <f t="shared" si="13"/>
        <v>Jordan2024</v>
      </c>
      <c r="B849" t="s">
        <v>123</v>
      </c>
      <c r="C849" t="s">
        <v>124</v>
      </c>
      <c r="D849">
        <v>2024</v>
      </c>
      <c r="E849">
        <v>4618.0959249856696</v>
      </c>
      <c r="F849">
        <v>2.48889409603647</v>
      </c>
      <c r="G849">
        <v>1.55659611283953</v>
      </c>
      <c r="H849">
        <v>10</v>
      </c>
      <c r="I849">
        <v>4.5231637559340196</v>
      </c>
      <c r="J849">
        <v>16.693000000000001</v>
      </c>
      <c r="K849">
        <v>26.889916407394299</v>
      </c>
      <c r="L849">
        <v>22.081648259115099</v>
      </c>
      <c r="M849">
        <v>1.89510102183445</v>
      </c>
      <c r="N849">
        <v>54.300974164825099</v>
      </c>
      <c r="O849">
        <v>25.006414864370299</v>
      </c>
      <c r="P849">
        <v>7.7930820995366998</v>
      </c>
      <c r="Q849">
        <v>17.0624125309694</v>
      </c>
      <c r="R849">
        <v>42.612055119479301</v>
      </c>
      <c r="S849">
        <v>-7.2708050650419098</v>
      </c>
      <c r="T849">
        <v>82.122087959324304</v>
      </c>
      <c r="U849">
        <v>-0.75763974319799798</v>
      </c>
      <c r="V849">
        <v>26.520600310641601</v>
      </c>
    </row>
    <row r="850" spans="1:22" x14ac:dyDescent="0.25">
      <c r="A850" t="str">
        <f t="shared" si="13"/>
        <v>Jordan2025</v>
      </c>
      <c r="B850" t="s">
        <v>123</v>
      </c>
      <c r="C850" t="s">
        <v>124</v>
      </c>
      <c r="D850">
        <v>2025</v>
      </c>
      <c r="E850">
        <v>4169.5047005461802</v>
      </c>
      <c r="F850">
        <v>2.48889409603647</v>
      </c>
      <c r="G850">
        <v>2.8994790500605698</v>
      </c>
      <c r="H850">
        <v>10</v>
      </c>
      <c r="I850">
        <v>3.58309518325611</v>
      </c>
      <c r="J850">
        <v>16.535</v>
      </c>
      <c r="K850">
        <v>26.889916407394299</v>
      </c>
      <c r="L850">
        <v>22.081648259115099</v>
      </c>
      <c r="M850">
        <v>2.2036043491638</v>
      </c>
      <c r="N850">
        <v>60.338812839041999</v>
      </c>
      <c r="O850">
        <v>25.006414864370299</v>
      </c>
      <c r="P850">
        <v>7.7500819334076301</v>
      </c>
      <c r="Q850">
        <v>17.0624125309694</v>
      </c>
      <c r="R850">
        <v>41.295603573651697</v>
      </c>
      <c r="S850">
        <v>-6.3454209916210003</v>
      </c>
      <c r="T850">
        <v>82.846661280143394</v>
      </c>
      <c r="U850">
        <v>-0.79716615760685505</v>
      </c>
      <c r="V850">
        <v>25.763043760970099</v>
      </c>
    </row>
    <row r="851" spans="1:22" x14ac:dyDescent="0.25">
      <c r="A851" t="str">
        <f t="shared" si="13"/>
        <v>Kazakhstan2010</v>
      </c>
      <c r="B851" t="s">
        <v>125</v>
      </c>
      <c r="C851" t="s">
        <v>126</v>
      </c>
      <c r="D851">
        <v>2010</v>
      </c>
      <c r="E851">
        <v>8793.07589980782</v>
      </c>
      <c r="F851">
        <v>7.3000000032981402</v>
      </c>
      <c r="G851">
        <v>7.4004635634139602</v>
      </c>
      <c r="H851">
        <v>9</v>
      </c>
      <c r="I851">
        <v>6.5042604120299403</v>
      </c>
      <c r="J851">
        <v>5.77</v>
      </c>
      <c r="K851">
        <v>16.467831985492602</v>
      </c>
      <c r="L851">
        <v>21.411551995305199</v>
      </c>
      <c r="M851">
        <v>19.5422853937296</v>
      </c>
      <c r="N851">
        <v>46.791496790594401</v>
      </c>
      <c r="O851">
        <v>25.373549020176799</v>
      </c>
      <c r="P851">
        <v>5.1129333972126698</v>
      </c>
      <c r="Q851">
        <v>30.389274086210801</v>
      </c>
      <c r="R851">
        <v>44.2441794984735</v>
      </c>
      <c r="S851">
        <v>1.46969244097987</v>
      </c>
      <c r="T851">
        <v>10.6827352474496</v>
      </c>
      <c r="U851">
        <v>0.17504437719205601</v>
      </c>
      <c r="V851">
        <v>44.396265855900602</v>
      </c>
    </row>
    <row r="852" spans="1:22" x14ac:dyDescent="0.25">
      <c r="A852" t="str">
        <f t="shared" si="13"/>
        <v>Kazakhstan2011</v>
      </c>
      <c r="B852" t="s">
        <v>125</v>
      </c>
      <c r="C852" t="s">
        <v>126</v>
      </c>
      <c r="D852">
        <v>2011</v>
      </c>
      <c r="E852">
        <v>11287.146492603901</v>
      </c>
      <c r="F852">
        <v>7.4000000014418799</v>
      </c>
      <c r="G852">
        <v>8.4529046617678993</v>
      </c>
      <c r="H852">
        <v>9</v>
      </c>
      <c r="I852">
        <v>6.3792443485227404</v>
      </c>
      <c r="J852">
        <v>5.39</v>
      </c>
      <c r="K852">
        <v>15.2070759191101</v>
      </c>
      <c r="L852">
        <v>24.003066520896098</v>
      </c>
      <c r="M852">
        <v>20.542958265529901</v>
      </c>
      <c r="N852">
        <v>47.291870207793202</v>
      </c>
      <c r="O852">
        <v>22.998146018401201</v>
      </c>
      <c r="P852">
        <v>4.3122259823364004</v>
      </c>
      <c r="Q852">
        <v>32.791712911580099</v>
      </c>
      <c r="R852">
        <v>46.464662794755199</v>
      </c>
      <c r="S852">
        <v>5.8110357539035098</v>
      </c>
      <c r="T852">
        <v>10.161007351995201</v>
      </c>
      <c r="U852">
        <v>0.46261934505487501</v>
      </c>
      <c r="V852">
        <v>49.907878879347997</v>
      </c>
    </row>
    <row r="853" spans="1:22" x14ac:dyDescent="0.25">
      <c r="A853" t="str">
        <f t="shared" si="13"/>
        <v>Kazakhstan2012</v>
      </c>
      <c r="B853" t="s">
        <v>125</v>
      </c>
      <c r="C853" t="s">
        <v>126</v>
      </c>
      <c r="D853">
        <v>2012</v>
      </c>
      <c r="E853">
        <v>12018.796652799299</v>
      </c>
      <c r="F853">
        <v>4.7999999952829704</v>
      </c>
      <c r="G853">
        <v>5.1956836903507302</v>
      </c>
      <c r="H853">
        <v>9</v>
      </c>
      <c r="I853">
        <v>6.3791531150912899</v>
      </c>
      <c r="J853">
        <v>5.29</v>
      </c>
      <c r="K853">
        <v>15.7960435478034</v>
      </c>
      <c r="L853">
        <v>22.524027232020401</v>
      </c>
      <c r="M853">
        <v>4.7855698106675399</v>
      </c>
      <c r="N853">
        <v>48.266612338557799</v>
      </c>
      <c r="O853">
        <v>25.2296602336096</v>
      </c>
      <c r="P853">
        <v>3.7232392136947898</v>
      </c>
      <c r="Q853">
        <v>29.754825739093501</v>
      </c>
      <c r="R853">
        <v>44.109663038429098</v>
      </c>
      <c r="S853">
        <v>4.4308815851676702</v>
      </c>
      <c r="T853">
        <v>12.125266622063</v>
      </c>
      <c r="U853">
        <v>0.28872569422232802</v>
      </c>
      <c r="V853">
        <v>46.575062682770501</v>
      </c>
    </row>
    <row r="854" spans="1:22" x14ac:dyDescent="0.25">
      <c r="A854" t="str">
        <f t="shared" si="13"/>
        <v>Kazakhstan2013</v>
      </c>
      <c r="B854" t="s">
        <v>125</v>
      </c>
      <c r="C854" t="s">
        <v>126</v>
      </c>
      <c r="D854">
        <v>2013</v>
      </c>
      <c r="E854">
        <v>13478.459627611999</v>
      </c>
      <c r="F854">
        <v>5.9999999967108399</v>
      </c>
      <c r="G854">
        <v>5.9428387164841796</v>
      </c>
      <c r="H854">
        <v>9</v>
      </c>
      <c r="I854">
        <v>6.46346293811831</v>
      </c>
      <c r="J854">
        <v>5.2</v>
      </c>
      <c r="K854">
        <v>14.608981538555801</v>
      </c>
      <c r="L854">
        <v>20.532316125474502</v>
      </c>
      <c r="M854">
        <v>9.49908144359215</v>
      </c>
      <c r="N854">
        <v>49.530987273195301</v>
      </c>
      <c r="O854">
        <v>24.5696053585629</v>
      </c>
      <c r="P854">
        <v>3.2661794500646999</v>
      </c>
      <c r="Q854">
        <v>28.987825185733399</v>
      </c>
      <c r="R854">
        <v>38.6170377152797</v>
      </c>
      <c r="S854">
        <v>4.9456935528147703</v>
      </c>
      <c r="T854">
        <v>12.6025079318268</v>
      </c>
      <c r="U854">
        <v>0.26497724371646603</v>
      </c>
      <c r="V854">
        <v>46.119903911241899</v>
      </c>
    </row>
    <row r="855" spans="1:22" x14ac:dyDescent="0.25">
      <c r="A855" t="str">
        <f t="shared" si="13"/>
        <v>Kazakhstan2014</v>
      </c>
      <c r="B855" t="s">
        <v>125</v>
      </c>
      <c r="C855" t="s">
        <v>126</v>
      </c>
      <c r="D855">
        <v>2014</v>
      </c>
      <c r="E855">
        <v>12427.7094576939</v>
      </c>
      <c r="F855">
        <v>4.2000000056670501</v>
      </c>
      <c r="G855">
        <v>6.8494497700335799</v>
      </c>
      <c r="H855">
        <v>9</v>
      </c>
      <c r="I855">
        <v>6.5969813572245801</v>
      </c>
      <c r="J855">
        <v>5.0599999999999996</v>
      </c>
      <c r="K855">
        <v>15.308914994467001</v>
      </c>
      <c r="L855">
        <v>19.454387379719101</v>
      </c>
      <c r="M855">
        <v>5.7712395247827599</v>
      </c>
      <c r="N855">
        <v>50.979708400950798</v>
      </c>
      <c r="O855">
        <v>25.790247241413301</v>
      </c>
      <c r="P855">
        <v>4.3218294410425404</v>
      </c>
      <c r="Q855">
        <v>30.141277888509201</v>
      </c>
      <c r="R855">
        <v>39.3417580907293</v>
      </c>
      <c r="S855">
        <v>2.4818478798335701</v>
      </c>
      <c r="T855">
        <v>14.496344233041899</v>
      </c>
      <c r="U855">
        <v>0.117826617583746</v>
      </c>
      <c r="V855">
        <v>43.299639986919999</v>
      </c>
    </row>
    <row r="856" spans="1:22" x14ac:dyDescent="0.25">
      <c r="A856" t="str">
        <f t="shared" si="13"/>
        <v>Kazakhstan2015</v>
      </c>
      <c r="B856" t="s">
        <v>125</v>
      </c>
      <c r="C856" t="s">
        <v>126</v>
      </c>
      <c r="D856">
        <v>2015</v>
      </c>
      <c r="E856">
        <v>10196.1226255982</v>
      </c>
      <c r="F856">
        <v>1.2000000005328799</v>
      </c>
      <c r="G856">
        <v>6.6782858561523604</v>
      </c>
      <c r="H856">
        <v>9</v>
      </c>
      <c r="I856">
        <v>6.7614635762362099</v>
      </c>
      <c r="J856">
        <v>4.93</v>
      </c>
      <c r="K856">
        <v>15.487142712709</v>
      </c>
      <c r="L856">
        <v>13.6664367402631</v>
      </c>
      <c r="M856">
        <v>1.82354987628641</v>
      </c>
      <c r="N856">
        <v>52.520760558994603</v>
      </c>
      <c r="O856">
        <v>27.907915602741301</v>
      </c>
      <c r="P856">
        <v>5.6882998581384401</v>
      </c>
      <c r="Q856">
        <v>27.643392058977</v>
      </c>
      <c r="R856">
        <v>28.516708007235401</v>
      </c>
      <c r="S856">
        <v>-6.2592892147650696</v>
      </c>
      <c r="T856">
        <v>21.881937361806202</v>
      </c>
      <c r="U856">
        <v>-0.49646279152601502</v>
      </c>
      <c r="V856">
        <v>31.526273436357702</v>
      </c>
    </row>
    <row r="857" spans="1:22" x14ac:dyDescent="0.25">
      <c r="A857" t="str">
        <f t="shared" si="13"/>
        <v>Kazakhstan2016</v>
      </c>
      <c r="B857" t="s">
        <v>125</v>
      </c>
      <c r="C857" t="s">
        <v>126</v>
      </c>
      <c r="D857">
        <v>2016</v>
      </c>
      <c r="E857">
        <v>7475.5668868942403</v>
      </c>
      <c r="F857">
        <v>1.09999999910173</v>
      </c>
      <c r="G857">
        <v>14.3610942386248</v>
      </c>
      <c r="H857">
        <v>9</v>
      </c>
      <c r="I857">
        <v>6.9397396735863204</v>
      </c>
      <c r="J857">
        <v>4.96</v>
      </c>
      <c r="K857">
        <v>16.3309403041021</v>
      </c>
      <c r="L857">
        <v>13.7478560018445</v>
      </c>
      <c r="M857">
        <v>13.638433617642599</v>
      </c>
      <c r="N857">
        <v>54.031874656725599</v>
      </c>
      <c r="O857">
        <v>27.827582888645502</v>
      </c>
      <c r="P857">
        <v>6.8112743687855302</v>
      </c>
      <c r="Q857">
        <v>23.901196022243202</v>
      </c>
      <c r="R857">
        <v>31.843888642283599</v>
      </c>
      <c r="S857">
        <v>-4.50321692002069</v>
      </c>
      <c r="T857">
        <v>19.677354055077998</v>
      </c>
      <c r="U857">
        <v>-0.44497731860357498</v>
      </c>
      <c r="V857">
        <v>32.513035271668102</v>
      </c>
    </row>
    <row r="858" spans="1:22" x14ac:dyDescent="0.25">
      <c r="A858" t="str">
        <f t="shared" si="13"/>
        <v>Kazakhstan2017</v>
      </c>
      <c r="B858" t="s">
        <v>125</v>
      </c>
      <c r="C858" t="s">
        <v>126</v>
      </c>
      <c r="D858">
        <v>2017</v>
      </c>
      <c r="E858">
        <v>8943.0841679198402</v>
      </c>
      <c r="F858">
        <v>4.1000000025735801</v>
      </c>
      <c r="G858">
        <v>7.4426632130679202</v>
      </c>
      <c r="H858">
        <v>9</v>
      </c>
      <c r="I858">
        <v>7.1236940561274897</v>
      </c>
      <c r="J858">
        <v>4.9000000000000004</v>
      </c>
      <c r="K858">
        <v>19.026139208636501</v>
      </c>
      <c r="L858">
        <v>16.167301606540899</v>
      </c>
      <c r="M858">
        <v>11.211105653729</v>
      </c>
      <c r="N858">
        <v>55.414803305651198</v>
      </c>
      <c r="O858">
        <v>26.352482526766099</v>
      </c>
      <c r="P858">
        <v>5.9754668447611703</v>
      </c>
      <c r="Q858">
        <v>25.934092266347101</v>
      </c>
      <c r="R858">
        <v>32.397752936987899</v>
      </c>
      <c r="S858">
        <v>-4.2655087206767002</v>
      </c>
      <c r="T858">
        <v>19.869432221263001</v>
      </c>
      <c r="U858">
        <v>-0.31767690646890501</v>
      </c>
      <c r="V858">
        <v>34.952853363715597</v>
      </c>
    </row>
    <row r="859" spans="1:22" x14ac:dyDescent="0.25">
      <c r="A859" t="str">
        <f t="shared" si="13"/>
        <v>Kazakhstan2018</v>
      </c>
      <c r="B859" t="s">
        <v>125</v>
      </c>
      <c r="C859" t="s">
        <v>126</v>
      </c>
      <c r="D859">
        <v>2018</v>
      </c>
      <c r="E859">
        <v>9472.4852732775798</v>
      </c>
      <c r="F859">
        <v>4.0999999930984101</v>
      </c>
      <c r="G859">
        <v>6.1636624757776204</v>
      </c>
      <c r="H859">
        <v>9</v>
      </c>
      <c r="I859">
        <v>7.3017639588254797</v>
      </c>
      <c r="J859">
        <v>4.8499999999999996</v>
      </c>
      <c r="K859">
        <v>14.705043307879199</v>
      </c>
      <c r="L859">
        <v>16.003683087852799</v>
      </c>
      <c r="M859">
        <v>9.2056059976666198</v>
      </c>
      <c r="N859">
        <v>56.5235626212407</v>
      </c>
      <c r="O859">
        <v>25.258212709599</v>
      </c>
      <c r="P859">
        <v>5.1879874350350699</v>
      </c>
      <c r="Q859">
        <v>27.791330152525301</v>
      </c>
      <c r="R859">
        <v>37.625218425287301</v>
      </c>
      <c r="S859">
        <v>2.5795643758723701</v>
      </c>
      <c r="T859">
        <v>20.258539658378201</v>
      </c>
      <c r="U859">
        <v>-6.9912570098321896E-3</v>
      </c>
      <c r="V859">
        <v>40.907401788019598</v>
      </c>
    </row>
    <row r="860" spans="1:22" x14ac:dyDescent="0.25">
      <c r="A860" t="str">
        <f t="shared" si="13"/>
        <v>Kazakhstan2019</v>
      </c>
      <c r="B860" t="s">
        <v>125</v>
      </c>
      <c r="C860" t="s">
        <v>126</v>
      </c>
      <c r="D860">
        <v>2019</v>
      </c>
      <c r="E860">
        <v>9457.1261465713596</v>
      </c>
      <c r="F860">
        <v>4.5000000009188303</v>
      </c>
      <c r="G860">
        <v>5.3335609891666902</v>
      </c>
      <c r="H860">
        <v>9</v>
      </c>
      <c r="I860">
        <v>7.4803789051854697</v>
      </c>
      <c r="J860">
        <v>4.8</v>
      </c>
      <c r="K860">
        <v>16.064212550936499</v>
      </c>
      <c r="L860">
        <v>14.9385166774639</v>
      </c>
      <c r="M860">
        <v>7.6332862373394503</v>
      </c>
      <c r="N860">
        <v>57.465591208871899</v>
      </c>
      <c r="O860">
        <v>27.627574948574701</v>
      </c>
      <c r="P860">
        <v>4.4605706175881599</v>
      </c>
      <c r="Q860">
        <v>26.682685319501701</v>
      </c>
      <c r="R860">
        <v>36.4389870990994</v>
      </c>
      <c r="S860">
        <v>-0.569542693723048</v>
      </c>
      <c r="T860">
        <v>19.9437281721201</v>
      </c>
      <c r="U860">
        <v>-0.194670684147211</v>
      </c>
      <c r="V860">
        <v>37.310369742668001</v>
      </c>
    </row>
    <row r="861" spans="1:22" x14ac:dyDescent="0.25">
      <c r="A861" t="str">
        <f t="shared" si="13"/>
        <v>Kazakhstan2020</v>
      </c>
      <c r="B861" t="s">
        <v>125</v>
      </c>
      <c r="C861" t="s">
        <v>126</v>
      </c>
      <c r="D861">
        <v>2020</v>
      </c>
      <c r="E861">
        <v>8781.5079778764793</v>
      </c>
      <c r="F861">
        <v>-2.4999999962800001</v>
      </c>
      <c r="G861">
        <v>6.7181545486145797</v>
      </c>
      <c r="H861">
        <v>9</v>
      </c>
      <c r="I861">
        <v>7.6487914532080898</v>
      </c>
      <c r="J861">
        <v>4.8899999999999997</v>
      </c>
      <c r="K861">
        <v>16.832864268751401</v>
      </c>
      <c r="L861">
        <v>11.8421559935191</v>
      </c>
      <c r="M861">
        <v>4.2108582925890703</v>
      </c>
      <c r="N861">
        <v>58.3765163228774</v>
      </c>
      <c r="O861">
        <v>28.8069153648376</v>
      </c>
      <c r="P861">
        <v>6.7096213248312004</v>
      </c>
      <c r="Q861">
        <v>26.230444548949901</v>
      </c>
      <c r="R861">
        <v>30.528906798968102</v>
      </c>
      <c r="S861">
        <v>-7.0369650984638303</v>
      </c>
      <c r="T861">
        <v>26.3571334794858</v>
      </c>
      <c r="U861">
        <v>-0.63714457788841905</v>
      </c>
      <c r="V861">
        <v>28.829990197106</v>
      </c>
    </row>
    <row r="862" spans="1:22" x14ac:dyDescent="0.25">
      <c r="A862" t="str">
        <f t="shared" si="13"/>
        <v>Kazakhstan2021</v>
      </c>
      <c r="B862" t="s">
        <v>125</v>
      </c>
      <c r="C862" t="s">
        <v>126</v>
      </c>
      <c r="D862">
        <v>2021</v>
      </c>
      <c r="E862">
        <v>9983.6010357690193</v>
      </c>
      <c r="F862">
        <v>4.2999999972945604</v>
      </c>
      <c r="G862">
        <v>8.0414713402840103</v>
      </c>
      <c r="H862">
        <v>9</v>
      </c>
      <c r="I862">
        <v>7.77663023309373</v>
      </c>
      <c r="J862">
        <v>5.5679999999999996</v>
      </c>
      <c r="K862">
        <v>17.1165193502456</v>
      </c>
      <c r="L862">
        <v>12.338182349020199</v>
      </c>
      <c r="M862">
        <v>13.930075055161399</v>
      </c>
      <c r="N862">
        <v>59.384830318019702</v>
      </c>
      <c r="O862">
        <v>26.533435587345199</v>
      </c>
      <c r="P862">
        <v>5.4283933191008797</v>
      </c>
      <c r="Q862">
        <v>24.4957394218942</v>
      </c>
      <c r="R862">
        <v>33.644862124162401</v>
      </c>
      <c r="S862">
        <v>-4.9660520481947197</v>
      </c>
      <c r="T862">
        <v>25.1004508524092</v>
      </c>
      <c r="U862">
        <v>-0.46190293595514798</v>
      </c>
      <c r="V862">
        <v>32.188641762323101</v>
      </c>
    </row>
    <row r="863" spans="1:22" x14ac:dyDescent="0.25">
      <c r="A863" t="str">
        <f t="shared" si="13"/>
        <v>Kazakhstan2022</v>
      </c>
      <c r="B863" t="s">
        <v>125</v>
      </c>
      <c r="C863" t="s">
        <v>126</v>
      </c>
      <c r="D863">
        <v>2022</v>
      </c>
      <c r="E863">
        <v>11255.3396437881</v>
      </c>
      <c r="F863">
        <v>3.1999999997073401</v>
      </c>
      <c r="G863">
        <v>15.0278644440851</v>
      </c>
      <c r="H863">
        <v>9</v>
      </c>
      <c r="I863">
        <v>7.9854166357826104</v>
      </c>
      <c r="J863">
        <v>4.8600000000000003</v>
      </c>
      <c r="K863">
        <v>16.1647366957137</v>
      </c>
      <c r="L863">
        <v>16.887760576078801</v>
      </c>
      <c r="M863">
        <v>19.7690064802492</v>
      </c>
      <c r="N863">
        <v>60.287091904979903</v>
      </c>
      <c r="O863">
        <v>24.975909579180399</v>
      </c>
      <c r="P863">
        <v>4.6862776351063102</v>
      </c>
      <c r="Q863">
        <v>28.2834753512671</v>
      </c>
      <c r="R863">
        <v>41.569008904154401</v>
      </c>
      <c r="S863">
        <v>0.105380592188245</v>
      </c>
      <c r="T863">
        <v>23.524055553629601</v>
      </c>
      <c r="U863">
        <v>-9.5469502329597195E-2</v>
      </c>
      <c r="V863">
        <v>39.211642755791097</v>
      </c>
    </row>
    <row r="864" spans="1:22" x14ac:dyDescent="0.25">
      <c r="A864" t="str">
        <f t="shared" si="13"/>
        <v>Kazakhstan2023</v>
      </c>
      <c r="B864" t="s">
        <v>125</v>
      </c>
      <c r="C864" t="s">
        <v>126</v>
      </c>
      <c r="D864">
        <v>2023</v>
      </c>
      <c r="E864">
        <v>12879.4275257974</v>
      </c>
      <c r="F864">
        <v>5.0999999997364096</v>
      </c>
      <c r="G864">
        <v>14.527559782595199</v>
      </c>
      <c r="H864">
        <v>9</v>
      </c>
      <c r="I864">
        <v>8.3081670413491207</v>
      </c>
      <c r="J864">
        <v>4.835</v>
      </c>
      <c r="K864">
        <v>17.4457811545455</v>
      </c>
      <c r="L864">
        <v>16.536653563274101</v>
      </c>
      <c r="M864">
        <v>9.5222468827500499</v>
      </c>
      <c r="N864">
        <v>60.893935746270998</v>
      </c>
      <c r="O864">
        <v>28.157135537565001</v>
      </c>
      <c r="P864">
        <v>4.18748652721123</v>
      </c>
      <c r="Q864">
        <v>26.518185197319799</v>
      </c>
      <c r="R864">
        <v>34.650577449537998</v>
      </c>
      <c r="S864">
        <v>-1.41243990248956</v>
      </c>
      <c r="T864">
        <v>22.981962771774199</v>
      </c>
      <c r="U864">
        <v>-0.204664239719029</v>
      </c>
      <c r="V864">
        <v>37.118834952802501</v>
      </c>
    </row>
    <row r="865" spans="1:22" x14ac:dyDescent="0.25">
      <c r="A865" t="str">
        <f t="shared" si="13"/>
        <v>Kazakhstan2024</v>
      </c>
      <c r="B865" t="s">
        <v>125</v>
      </c>
      <c r="C865" t="s">
        <v>126</v>
      </c>
      <c r="D865">
        <v>2024</v>
      </c>
      <c r="E865">
        <v>14154.6324958076</v>
      </c>
      <c r="F865">
        <v>4.9999999999693596</v>
      </c>
      <c r="G865">
        <v>8.69082156104494</v>
      </c>
      <c r="H865">
        <v>9</v>
      </c>
      <c r="I865">
        <v>8.6532347029421395</v>
      </c>
      <c r="J865">
        <v>4.8330000000000002</v>
      </c>
      <c r="K865">
        <v>16.114474623325101</v>
      </c>
      <c r="L865">
        <v>16.351977584907502</v>
      </c>
      <c r="M865">
        <v>8.9933163485769008</v>
      </c>
      <c r="N865">
        <v>61.359328452881797</v>
      </c>
      <c r="O865">
        <v>27.211924959173398</v>
      </c>
      <c r="P865">
        <v>5.3199550166486702</v>
      </c>
      <c r="Q865">
        <v>28.696317982729902</v>
      </c>
      <c r="R865">
        <v>31.587163686551602</v>
      </c>
      <c r="S865">
        <v>-3.4341675552626501</v>
      </c>
      <c r="T865">
        <v>24.376955895781698</v>
      </c>
      <c r="U865">
        <v>-0.267745654672295</v>
      </c>
      <c r="V865">
        <v>35.909827260729102</v>
      </c>
    </row>
    <row r="866" spans="1:22" x14ac:dyDescent="0.25">
      <c r="A866" t="str">
        <f t="shared" si="13"/>
        <v>Kazakhstan2025</v>
      </c>
      <c r="B866" t="s">
        <v>125</v>
      </c>
      <c r="C866" t="s">
        <v>126</v>
      </c>
      <c r="D866">
        <v>2025</v>
      </c>
      <c r="E866">
        <v>10196.1226255982</v>
      </c>
      <c r="F866">
        <v>4.2999999972945604</v>
      </c>
      <c r="G866">
        <v>7.4004635634139602</v>
      </c>
      <c r="H866">
        <v>9</v>
      </c>
      <c r="I866">
        <v>7.1236940561274897</v>
      </c>
      <c r="J866">
        <v>4.7709999999999999</v>
      </c>
      <c r="K866">
        <v>16.114474623325101</v>
      </c>
      <c r="L866">
        <v>16.351977584907502</v>
      </c>
      <c r="M866">
        <v>9.49908144359215</v>
      </c>
      <c r="N866">
        <v>55.414803305651198</v>
      </c>
      <c r="O866">
        <v>26.352482526766099</v>
      </c>
      <c r="P866">
        <v>5.1129333972126698</v>
      </c>
      <c r="Q866">
        <v>27.791330152525301</v>
      </c>
      <c r="R866">
        <v>36.4389870990994</v>
      </c>
      <c r="S866">
        <v>-3.1138653804991598</v>
      </c>
      <c r="T866">
        <v>24.5612137761638</v>
      </c>
      <c r="U866">
        <v>-0.25701519009819701</v>
      </c>
      <c r="V866">
        <v>36.115485523455398</v>
      </c>
    </row>
    <row r="867" spans="1:22" x14ac:dyDescent="0.25">
      <c r="A867" t="str">
        <f t="shared" si="13"/>
        <v>Kenya2010</v>
      </c>
      <c r="B867" t="s">
        <v>127</v>
      </c>
      <c r="C867" t="s">
        <v>128</v>
      </c>
      <c r="D867">
        <v>2010</v>
      </c>
      <c r="E867">
        <v>1091.51873101194</v>
      </c>
      <c r="F867">
        <v>8.0584736029090607</v>
      </c>
      <c r="G867">
        <v>3.9613888911538502</v>
      </c>
      <c r="H867">
        <v>8</v>
      </c>
      <c r="I867">
        <v>2.0912836022847099</v>
      </c>
      <c r="J867">
        <v>2.7930000000000001</v>
      </c>
      <c r="K867">
        <v>22.890993371929099</v>
      </c>
      <c r="L867">
        <v>18.872354870780899</v>
      </c>
      <c r="M867">
        <v>1.6391996480253299</v>
      </c>
      <c r="N867">
        <v>84.220105438643799</v>
      </c>
      <c r="O867">
        <v>21.263998799209499</v>
      </c>
      <c r="P867">
        <v>3.75096597496825</v>
      </c>
      <c r="Q867">
        <v>7.1166568042735898</v>
      </c>
      <c r="R867">
        <v>20.124359647879299</v>
      </c>
      <c r="S867">
        <v>-3.6732654808252101</v>
      </c>
      <c r="T867">
        <v>36.694669523231298</v>
      </c>
      <c r="U867">
        <v>-0.83486142162823795</v>
      </c>
      <c r="V867">
        <v>25.040582728820599</v>
      </c>
    </row>
    <row r="868" spans="1:22" x14ac:dyDescent="0.25">
      <c r="A868" t="str">
        <f t="shared" si="13"/>
        <v>Kenya2011</v>
      </c>
      <c r="B868" t="s">
        <v>127</v>
      </c>
      <c r="C868" t="s">
        <v>128</v>
      </c>
      <c r="D868">
        <v>2011</v>
      </c>
      <c r="E868">
        <v>1096.14499807675</v>
      </c>
      <c r="F868">
        <v>5.1211061197056003</v>
      </c>
      <c r="G868">
        <v>14.022491301470399</v>
      </c>
      <c r="H868">
        <v>8</v>
      </c>
      <c r="I868">
        <v>2.1315699365325602</v>
      </c>
      <c r="J868">
        <v>2.6989999999999998</v>
      </c>
      <c r="K868">
        <v>22.890993371929099</v>
      </c>
      <c r="L868">
        <v>18.872354870780899</v>
      </c>
      <c r="M868">
        <v>10.065012967231601</v>
      </c>
      <c r="N868">
        <v>83.695508487351802</v>
      </c>
      <c r="O868">
        <v>21.885812275946702</v>
      </c>
      <c r="P868">
        <v>3.0588761809607798</v>
      </c>
      <c r="Q868">
        <v>6.5320585126522399</v>
      </c>
      <c r="R868">
        <v>21.549477070827901</v>
      </c>
      <c r="S868">
        <v>-3.6387263541804198</v>
      </c>
      <c r="T868">
        <v>35.687277455767898</v>
      </c>
      <c r="U868">
        <v>-0.86869497872523804</v>
      </c>
      <c r="V868">
        <v>24.392134516129399</v>
      </c>
    </row>
    <row r="869" spans="1:22" x14ac:dyDescent="0.25">
      <c r="A869" t="str">
        <f t="shared" si="13"/>
        <v>Kenya2012</v>
      </c>
      <c r="B869" t="s">
        <v>127</v>
      </c>
      <c r="C869" t="s">
        <v>128</v>
      </c>
      <c r="D869">
        <v>2012</v>
      </c>
      <c r="E869">
        <v>1285.00536171512</v>
      </c>
      <c r="F869">
        <v>4.5686796144498203</v>
      </c>
      <c r="G869">
        <v>9.3777700354759794</v>
      </c>
      <c r="H869">
        <v>8</v>
      </c>
      <c r="I869">
        <v>2.1874814799742901</v>
      </c>
      <c r="J869">
        <v>2.6779999999999999</v>
      </c>
      <c r="K869">
        <v>22.890993371929099</v>
      </c>
      <c r="L869">
        <v>18.872354870780899</v>
      </c>
      <c r="M869">
        <v>9.5229722115484794</v>
      </c>
      <c r="N869">
        <v>83.010570655611801</v>
      </c>
      <c r="O869">
        <v>22.193362925882301</v>
      </c>
      <c r="P869">
        <v>3.6894726118970498</v>
      </c>
      <c r="Q869">
        <v>6.4988912901067604</v>
      </c>
      <c r="R869">
        <v>19.8649477228834</v>
      </c>
      <c r="S869">
        <v>-5.28778692806873</v>
      </c>
      <c r="T869">
        <v>37.616242683603602</v>
      </c>
      <c r="U869">
        <v>-0.94578386404063997</v>
      </c>
      <c r="V869">
        <v>22.914662024608202</v>
      </c>
    </row>
    <row r="870" spans="1:22" x14ac:dyDescent="0.25">
      <c r="A870" t="str">
        <f t="shared" si="13"/>
        <v>Kenya2013</v>
      </c>
      <c r="B870" t="s">
        <v>127</v>
      </c>
      <c r="C870" t="s">
        <v>128</v>
      </c>
      <c r="D870">
        <v>2013</v>
      </c>
      <c r="E870">
        <v>1370.8788521465899</v>
      </c>
      <c r="F870">
        <v>3.7978483925753999</v>
      </c>
      <c r="G870">
        <v>5.7174935703773304</v>
      </c>
      <c r="H870">
        <v>12</v>
      </c>
      <c r="I870">
        <v>2.2541550280187201</v>
      </c>
      <c r="J870">
        <v>2.762</v>
      </c>
      <c r="K870">
        <v>22.890993371929099</v>
      </c>
      <c r="L870">
        <v>18.872354870780899</v>
      </c>
      <c r="M870">
        <v>7.3375622336044</v>
      </c>
      <c r="N870">
        <v>82.126747639703396</v>
      </c>
      <c r="O870">
        <v>22.404968103986199</v>
      </c>
      <c r="P870">
        <v>4.1179373956539997</v>
      </c>
      <c r="Q870">
        <v>5.01426839331008</v>
      </c>
      <c r="R870">
        <v>17.792180553165501</v>
      </c>
      <c r="S870">
        <v>-5.2459400603574204</v>
      </c>
      <c r="T870">
        <v>39.755672969234801</v>
      </c>
      <c r="U870">
        <v>-0.75507755221976203</v>
      </c>
      <c r="V870">
        <v>26.569706828045199</v>
      </c>
    </row>
    <row r="871" spans="1:22" x14ac:dyDescent="0.25">
      <c r="A871" t="str">
        <f t="shared" si="13"/>
        <v>Kenya2014</v>
      </c>
      <c r="B871" t="s">
        <v>127</v>
      </c>
      <c r="C871" t="s">
        <v>128</v>
      </c>
      <c r="D871">
        <v>2014</v>
      </c>
      <c r="E871">
        <v>1482.81566253497</v>
      </c>
      <c r="F871">
        <v>5.0201110023248399</v>
      </c>
      <c r="G871">
        <v>6.87815499275949</v>
      </c>
      <c r="H871">
        <v>12</v>
      </c>
      <c r="I871">
        <v>2.3450341363371701</v>
      </c>
      <c r="J871">
        <v>2.7669999999999999</v>
      </c>
      <c r="K871">
        <v>20.537495233640001</v>
      </c>
      <c r="L871">
        <v>19.5621058827303</v>
      </c>
      <c r="M871">
        <v>7.6350319014900201</v>
      </c>
      <c r="N871">
        <v>81.121499936462001</v>
      </c>
      <c r="O871">
        <v>24.950718998773301</v>
      </c>
      <c r="P871">
        <v>4.3659217043943297</v>
      </c>
      <c r="Q871">
        <v>6.0679579164572797</v>
      </c>
      <c r="R871">
        <v>16.472804465812299</v>
      </c>
      <c r="S871">
        <v>-5.75333322644288</v>
      </c>
      <c r="T871">
        <v>41.281030911421702</v>
      </c>
      <c r="U871">
        <v>-0.78539393124073997</v>
      </c>
      <c r="V871">
        <v>25.988668253382102</v>
      </c>
    </row>
    <row r="872" spans="1:22" x14ac:dyDescent="0.25">
      <c r="A872" t="str">
        <f t="shared" si="13"/>
        <v>Kenya2015</v>
      </c>
      <c r="B872" t="s">
        <v>127</v>
      </c>
      <c r="C872" t="s">
        <v>128</v>
      </c>
      <c r="D872">
        <v>2015</v>
      </c>
      <c r="E872">
        <v>1489.1195977728401</v>
      </c>
      <c r="F872">
        <v>4.9677211275976703</v>
      </c>
      <c r="G872">
        <v>6.5821542928477896</v>
      </c>
      <c r="H872">
        <v>12</v>
      </c>
      <c r="I872">
        <v>2.4431652415707399</v>
      </c>
      <c r="J872">
        <v>2.762</v>
      </c>
      <c r="K872">
        <v>20.715071150523599</v>
      </c>
      <c r="L872">
        <v>19.351542943080901</v>
      </c>
      <c r="M872">
        <v>9.2386546839628494</v>
      </c>
      <c r="N872">
        <v>79.992412484120194</v>
      </c>
      <c r="O872">
        <v>22.1033982020293</v>
      </c>
      <c r="P872">
        <v>4.8582015552987601</v>
      </c>
      <c r="Q872">
        <v>6.8044987251418698</v>
      </c>
      <c r="R872">
        <v>15.128733903450399</v>
      </c>
      <c r="S872">
        <v>-6.6822208348336902</v>
      </c>
      <c r="T872">
        <v>45.831722112779097</v>
      </c>
      <c r="U872">
        <v>-0.79353557414245302</v>
      </c>
      <c r="V872">
        <v>25.8326269074234</v>
      </c>
    </row>
    <row r="873" spans="1:22" x14ac:dyDescent="0.25">
      <c r="A873" t="str">
        <f t="shared" si="13"/>
        <v>Kenya2016</v>
      </c>
      <c r="B873" t="s">
        <v>127</v>
      </c>
      <c r="C873" t="s">
        <v>128</v>
      </c>
      <c r="D873">
        <v>2016</v>
      </c>
      <c r="E873">
        <v>1554.12610314423</v>
      </c>
      <c r="F873">
        <v>4.2135170681474401</v>
      </c>
      <c r="G873">
        <v>6.2972495381462501</v>
      </c>
      <c r="H873">
        <v>12</v>
      </c>
      <c r="I873">
        <v>2.4967601056483799</v>
      </c>
      <c r="J873">
        <v>2.7570000000000001</v>
      </c>
      <c r="K873">
        <v>22.1909797740547</v>
      </c>
      <c r="L873">
        <v>19.065775526658602</v>
      </c>
      <c r="M873">
        <v>5.84962894648808</v>
      </c>
      <c r="N873">
        <v>78.636441411225206</v>
      </c>
      <c r="O873">
        <v>19.348435830933202</v>
      </c>
      <c r="P873">
        <v>5.24445206958816</v>
      </c>
      <c r="Q873">
        <v>13.955398002531901</v>
      </c>
      <c r="R873">
        <v>13.2497448006759</v>
      </c>
      <c r="S873">
        <v>-7.4530072149723097</v>
      </c>
      <c r="T873">
        <v>50.398551266669898</v>
      </c>
      <c r="U873">
        <v>-0.74506859294279904</v>
      </c>
      <c r="V873">
        <v>26.761536842708999</v>
      </c>
    </row>
    <row r="874" spans="1:22" x14ac:dyDescent="0.25">
      <c r="A874" t="str">
        <f t="shared" si="13"/>
        <v>Kenya2017</v>
      </c>
      <c r="B874" t="s">
        <v>127</v>
      </c>
      <c r="C874" t="s">
        <v>128</v>
      </c>
      <c r="D874">
        <v>2017</v>
      </c>
      <c r="E874">
        <v>1667.48447230835</v>
      </c>
      <c r="F874">
        <v>3.8379581736472099</v>
      </c>
      <c r="G874">
        <v>8.0056496770994503</v>
      </c>
      <c r="H874">
        <v>12</v>
      </c>
      <c r="I874">
        <v>2.5403694401527201</v>
      </c>
      <c r="J874">
        <v>3.5419999999999998</v>
      </c>
      <c r="K874">
        <v>25.128509091652699</v>
      </c>
      <c r="L874">
        <v>21.145872196156098</v>
      </c>
      <c r="M874">
        <v>7.5819340282018102</v>
      </c>
      <c r="N874">
        <v>77.160382618985096</v>
      </c>
      <c r="O874">
        <v>20.6634949022773</v>
      </c>
      <c r="P874">
        <v>4.2291980838400303</v>
      </c>
      <c r="Q874">
        <v>13.276866056206099</v>
      </c>
      <c r="R874">
        <v>12.736659941372499</v>
      </c>
      <c r="S874">
        <v>-7.36644458771449</v>
      </c>
      <c r="T874">
        <v>53.865569167939697</v>
      </c>
      <c r="U874">
        <v>-0.73890380861318405</v>
      </c>
      <c r="V874">
        <v>26.879690052810599</v>
      </c>
    </row>
    <row r="875" spans="1:22" x14ac:dyDescent="0.25">
      <c r="A875" t="str">
        <f t="shared" si="13"/>
        <v>Kenya2018</v>
      </c>
      <c r="B875" t="s">
        <v>127</v>
      </c>
      <c r="C875" t="s">
        <v>128</v>
      </c>
      <c r="D875">
        <v>2018</v>
      </c>
      <c r="E875">
        <v>1836.4527552899301</v>
      </c>
      <c r="F875">
        <v>5.6479464070921903</v>
      </c>
      <c r="G875">
        <v>4.6898064677633</v>
      </c>
      <c r="H875">
        <v>12</v>
      </c>
      <c r="I875">
        <v>2.6436545861559502</v>
      </c>
      <c r="J875">
        <v>4.2839999999999998</v>
      </c>
      <c r="K875">
        <v>23.635178158490898</v>
      </c>
      <c r="L875">
        <v>18.678934214903201</v>
      </c>
      <c r="M875">
        <v>4.2150284145905603</v>
      </c>
      <c r="N875">
        <v>75.736423019038696</v>
      </c>
      <c r="O875">
        <v>19.3759862497025</v>
      </c>
      <c r="P875">
        <v>4.5000397009433097</v>
      </c>
      <c r="Q875">
        <v>14.4681608692238</v>
      </c>
      <c r="R875">
        <v>12.541975333359</v>
      </c>
      <c r="S875">
        <v>-6.9086675412477803</v>
      </c>
      <c r="T875">
        <v>56.4489283674191</v>
      </c>
      <c r="U875">
        <v>-0.72441011096708396</v>
      </c>
      <c r="V875">
        <v>27.1574738018546</v>
      </c>
    </row>
    <row r="876" spans="1:22" x14ac:dyDescent="0.25">
      <c r="A876" t="str">
        <f t="shared" si="13"/>
        <v>Kenya2019</v>
      </c>
      <c r="B876" t="s">
        <v>127</v>
      </c>
      <c r="C876" t="s">
        <v>128</v>
      </c>
      <c r="D876">
        <v>2019</v>
      </c>
      <c r="E876">
        <v>1960.40808854893</v>
      </c>
      <c r="F876">
        <v>5.1141588576780102</v>
      </c>
      <c r="G876">
        <v>5.2396379576479202</v>
      </c>
      <c r="H876">
        <v>12</v>
      </c>
      <c r="I876">
        <v>2.7468932257696101</v>
      </c>
      <c r="J876">
        <v>5.0140000000000002</v>
      </c>
      <c r="K876">
        <v>18.7983198385291</v>
      </c>
      <c r="L876">
        <v>19.097805074283599</v>
      </c>
      <c r="M876">
        <v>4.2752342393575002</v>
      </c>
      <c r="N876">
        <v>74.263940566752595</v>
      </c>
      <c r="O876">
        <v>19.341832420419099</v>
      </c>
      <c r="P876">
        <v>4.9206748709835102</v>
      </c>
      <c r="Q876">
        <v>14.071479986086599</v>
      </c>
      <c r="R876">
        <v>11.427995686933199</v>
      </c>
      <c r="S876">
        <v>-7.3997744484436403</v>
      </c>
      <c r="T876">
        <v>59.084645717361099</v>
      </c>
      <c r="U876">
        <v>-0.78901326469129496</v>
      </c>
      <c r="V876">
        <v>25.919300722784701</v>
      </c>
    </row>
    <row r="877" spans="1:22" x14ac:dyDescent="0.25">
      <c r="A877" t="str">
        <f t="shared" si="13"/>
        <v>Kenya2020</v>
      </c>
      <c r="B877" t="s">
        <v>127</v>
      </c>
      <c r="C877" t="s">
        <v>128</v>
      </c>
      <c r="D877">
        <v>2020</v>
      </c>
      <c r="E877">
        <v>1927.6645902784901</v>
      </c>
      <c r="F877">
        <v>-0.27276632743881601</v>
      </c>
      <c r="G877">
        <v>5.4051620793339197</v>
      </c>
      <c r="H877">
        <v>12</v>
      </c>
      <c r="I877">
        <v>2.7892222799925199</v>
      </c>
      <c r="J877">
        <v>5.6130000000000004</v>
      </c>
      <c r="K877">
        <v>19.994146175738901</v>
      </c>
      <c r="L877">
        <v>17.658813102538499</v>
      </c>
      <c r="M877">
        <v>4.9488528329135697</v>
      </c>
      <c r="N877">
        <v>72.632238100768603</v>
      </c>
      <c r="O877">
        <v>19.651584170705402</v>
      </c>
      <c r="P877">
        <v>5.0016816092173197</v>
      </c>
      <c r="Q877">
        <v>15.3309031638024</v>
      </c>
      <c r="R877">
        <v>11.4410451821593</v>
      </c>
      <c r="S877">
        <v>-8.1304365842558504</v>
      </c>
      <c r="T877">
        <v>67.958732331311595</v>
      </c>
      <c r="U877">
        <v>-0.90085346048076498</v>
      </c>
      <c r="V877">
        <v>23.775790513119301</v>
      </c>
    </row>
    <row r="878" spans="1:22" x14ac:dyDescent="0.25">
      <c r="A878" t="str">
        <f t="shared" si="13"/>
        <v>Kenya2021</v>
      </c>
      <c r="B878" t="s">
        <v>127</v>
      </c>
      <c r="C878" t="s">
        <v>128</v>
      </c>
      <c r="D878">
        <v>2021</v>
      </c>
      <c r="E878">
        <v>2061.3562208959402</v>
      </c>
      <c r="F878">
        <v>7.5904894733346699</v>
      </c>
      <c r="G878">
        <v>6.1079360365917603</v>
      </c>
      <c r="H878">
        <v>12</v>
      </c>
      <c r="I878">
        <v>2.8186039482336498</v>
      </c>
      <c r="J878">
        <v>5.6929999999999996</v>
      </c>
      <c r="K878">
        <v>23.591006969803601</v>
      </c>
      <c r="L878">
        <v>17.3452383502575</v>
      </c>
      <c r="M878">
        <v>4.3307475585662001</v>
      </c>
      <c r="N878">
        <v>70.957916742705393</v>
      </c>
      <c r="O878">
        <v>20.3912447822361</v>
      </c>
      <c r="P878">
        <v>4.4248315511294303</v>
      </c>
      <c r="Q878">
        <v>16.5405562091603</v>
      </c>
      <c r="R878">
        <v>13.1097382018218</v>
      </c>
      <c r="S878">
        <v>-7.1961726126692698</v>
      </c>
      <c r="T878">
        <v>68.232210965023796</v>
      </c>
      <c r="U878">
        <v>-0.74069785892814699</v>
      </c>
      <c r="V878">
        <v>26.845305588981301</v>
      </c>
    </row>
    <row r="879" spans="1:22" x14ac:dyDescent="0.25">
      <c r="A879" t="str">
        <f t="shared" si="13"/>
        <v>Kenya2022</v>
      </c>
      <c r="B879" t="s">
        <v>127</v>
      </c>
      <c r="C879" t="s">
        <v>128</v>
      </c>
      <c r="D879">
        <v>2022</v>
      </c>
      <c r="E879">
        <v>2109.56288513137</v>
      </c>
      <c r="F879">
        <v>4.8599810428799897</v>
      </c>
      <c r="G879">
        <v>7.65986268272224</v>
      </c>
      <c r="H879">
        <v>12</v>
      </c>
      <c r="I879">
        <v>2.8639198769611598</v>
      </c>
      <c r="J879">
        <v>5.5650000000000004</v>
      </c>
      <c r="K879">
        <v>25.062933471473901</v>
      </c>
      <c r="L879">
        <v>17.8826094865972</v>
      </c>
      <c r="M879">
        <v>6.9570544563121803</v>
      </c>
      <c r="N879">
        <v>69.305478951118801</v>
      </c>
      <c r="O879">
        <v>19.054063851360901</v>
      </c>
      <c r="P879">
        <v>3.2163509377814998</v>
      </c>
      <c r="Q879">
        <v>16.2601617681051</v>
      </c>
      <c r="R879">
        <v>15.9570283629469</v>
      </c>
      <c r="S879">
        <v>-6.0111290408368001</v>
      </c>
      <c r="T879">
        <v>67.800024759732295</v>
      </c>
      <c r="U879">
        <v>-0.66879874276635798</v>
      </c>
      <c r="V879">
        <v>28.2233118457732</v>
      </c>
    </row>
    <row r="880" spans="1:22" x14ac:dyDescent="0.25">
      <c r="A880" t="str">
        <f t="shared" si="13"/>
        <v>Kenya2023</v>
      </c>
      <c r="B880" t="s">
        <v>127</v>
      </c>
      <c r="C880" t="s">
        <v>128</v>
      </c>
      <c r="D880">
        <v>2023</v>
      </c>
      <c r="E880">
        <v>1942.5880275619099</v>
      </c>
      <c r="F880">
        <v>5.71999241214208</v>
      </c>
      <c r="G880">
        <v>7.6713963402940202</v>
      </c>
      <c r="H880">
        <v>12</v>
      </c>
      <c r="I880">
        <v>2.91330784287267</v>
      </c>
      <c r="J880">
        <v>5.4089999999999998</v>
      </c>
      <c r="K880">
        <v>27.8446410955634</v>
      </c>
      <c r="L880">
        <v>18.638829425778301</v>
      </c>
      <c r="M880">
        <v>5.4158056444952596</v>
      </c>
      <c r="N880">
        <v>67.673937344266704</v>
      </c>
      <c r="O880">
        <v>16.570750471776201</v>
      </c>
      <c r="P880">
        <v>3.13876976697341</v>
      </c>
      <c r="Q880">
        <v>16.053394488719398</v>
      </c>
      <c r="R880">
        <v>16.890666978856</v>
      </c>
      <c r="S880">
        <v>-5.6146067268438697</v>
      </c>
      <c r="T880">
        <v>73.405218480111003</v>
      </c>
      <c r="U880">
        <v>-0.58359571598801396</v>
      </c>
      <c r="V880">
        <v>29.8562985953454</v>
      </c>
    </row>
    <row r="881" spans="1:22" x14ac:dyDescent="0.25">
      <c r="A881" t="str">
        <f t="shared" si="13"/>
        <v>Kenya2024</v>
      </c>
      <c r="B881" t="s">
        <v>127</v>
      </c>
      <c r="C881" t="s">
        <v>128</v>
      </c>
      <c r="D881">
        <v>2024</v>
      </c>
      <c r="E881">
        <v>2132.4345209764701</v>
      </c>
      <c r="F881">
        <v>4.72473994710138</v>
      </c>
      <c r="G881">
        <v>4.4897885424344803</v>
      </c>
      <c r="H881">
        <v>12</v>
      </c>
      <c r="I881">
        <v>2.9661689901720401</v>
      </c>
      <c r="J881">
        <v>5.4870000000000001</v>
      </c>
      <c r="K881">
        <v>22.890993371929099</v>
      </c>
      <c r="L881">
        <v>18.872354870780899</v>
      </c>
      <c r="M881">
        <v>3.0524123553794702</v>
      </c>
      <c r="N881">
        <v>66.119099797429499</v>
      </c>
      <c r="O881">
        <v>16.7771560971022</v>
      </c>
      <c r="P881">
        <v>4.0288615017648501</v>
      </c>
      <c r="Q881">
        <v>15.987440966771</v>
      </c>
      <c r="R881">
        <v>17.065615300535399</v>
      </c>
      <c r="S881">
        <v>-5.7396526981328204</v>
      </c>
      <c r="T881">
        <v>67.338250348532</v>
      </c>
      <c r="U881">
        <v>-0.59321822111000699</v>
      </c>
      <c r="V881">
        <v>29.6718752954222</v>
      </c>
    </row>
    <row r="882" spans="1:22" x14ac:dyDescent="0.25">
      <c r="A882" t="str">
        <f t="shared" si="13"/>
        <v>Kenya2025</v>
      </c>
      <c r="B882" t="s">
        <v>127</v>
      </c>
      <c r="C882" t="s">
        <v>128</v>
      </c>
      <c r="D882">
        <v>2025</v>
      </c>
      <c r="E882">
        <v>1667.48447230835</v>
      </c>
      <c r="F882">
        <v>4.9677211275976703</v>
      </c>
      <c r="G882">
        <v>6.2972495381462501</v>
      </c>
      <c r="H882">
        <v>12</v>
      </c>
      <c r="I882">
        <v>2.5403694401527201</v>
      </c>
      <c r="J882">
        <v>5.4489999999999998</v>
      </c>
      <c r="K882">
        <v>22.890993371929099</v>
      </c>
      <c r="L882">
        <v>18.872354870780899</v>
      </c>
      <c r="M882">
        <v>5.84962894648808</v>
      </c>
      <c r="N882">
        <v>77.160382618985096</v>
      </c>
      <c r="O882">
        <v>20.3912447822361</v>
      </c>
      <c r="P882">
        <v>4.2291980838400303</v>
      </c>
      <c r="Q882">
        <v>13.955398002531901</v>
      </c>
      <c r="R882">
        <v>15.9570283629469</v>
      </c>
      <c r="S882">
        <v>-6.4115796191710004</v>
      </c>
      <c r="T882">
        <v>69.334207892368994</v>
      </c>
      <c r="U882">
        <v>-0.78669193980031504</v>
      </c>
      <c r="V882">
        <v>25.963790841642599</v>
      </c>
    </row>
    <row r="883" spans="1:22" x14ac:dyDescent="0.25">
      <c r="A883" t="str">
        <f t="shared" si="13"/>
        <v>Korea, Rep.2010</v>
      </c>
      <c r="B883" t="s">
        <v>129</v>
      </c>
      <c r="C883" t="s">
        <v>130</v>
      </c>
      <c r="D883">
        <v>2010</v>
      </c>
      <c r="E883">
        <v>24071.262052636201</v>
      </c>
      <c r="F883">
        <v>6.9816613885307097</v>
      </c>
      <c r="G883">
        <v>2.93928652655686</v>
      </c>
      <c r="H883">
        <v>9</v>
      </c>
      <c r="I883">
        <v>10.9916944218993</v>
      </c>
      <c r="J883">
        <v>3.3239999999999998</v>
      </c>
      <c r="K883">
        <v>16.900693184188999</v>
      </c>
      <c r="L883">
        <v>19.266936588674302</v>
      </c>
      <c r="M883">
        <v>2.7189106729589101</v>
      </c>
      <c r="N883">
        <v>37.703907484660199</v>
      </c>
      <c r="O883">
        <v>32.779242199231298</v>
      </c>
      <c r="P883">
        <v>6.5467233974824</v>
      </c>
      <c r="Q883">
        <v>34.9926210564103</v>
      </c>
      <c r="R883">
        <v>45.271860688695497</v>
      </c>
      <c r="S883">
        <v>1.6064449702862</v>
      </c>
      <c r="T883">
        <v>28.274646850992799</v>
      </c>
      <c r="U883">
        <v>0.44038707313431702</v>
      </c>
      <c r="V883">
        <v>49.481778929241699</v>
      </c>
    </row>
    <row r="884" spans="1:22" x14ac:dyDescent="0.25">
      <c r="A884" t="str">
        <f t="shared" si="13"/>
        <v>Korea, Rep.2011</v>
      </c>
      <c r="B884" t="s">
        <v>129</v>
      </c>
      <c r="C884" t="s">
        <v>130</v>
      </c>
      <c r="D884">
        <v>2011</v>
      </c>
      <c r="E884">
        <v>26175.239855336298</v>
      </c>
      <c r="F884">
        <v>3.6880320602952001</v>
      </c>
      <c r="G884">
        <v>4.0259650043609003</v>
      </c>
      <c r="H884">
        <v>9</v>
      </c>
      <c r="I884">
        <v>11.350383618542599</v>
      </c>
      <c r="J884">
        <v>2.992</v>
      </c>
      <c r="K884">
        <v>17.389118317331899</v>
      </c>
      <c r="L884">
        <v>19.840430558129</v>
      </c>
      <c r="M884">
        <v>1.2752581633389599</v>
      </c>
      <c r="N884">
        <v>37.254757417904202</v>
      </c>
      <c r="O884">
        <v>33.261343073844401</v>
      </c>
      <c r="P884">
        <v>5.3920340188079896</v>
      </c>
      <c r="Q884">
        <v>34.376128871045502</v>
      </c>
      <c r="R884">
        <v>51.281320767794199</v>
      </c>
      <c r="S884">
        <v>1.7207572238026601</v>
      </c>
      <c r="T884">
        <v>31.700103763993798</v>
      </c>
      <c r="U884">
        <v>0.45403012215113803</v>
      </c>
      <c r="V884">
        <v>49.743259291039102</v>
      </c>
    </row>
    <row r="885" spans="1:22" x14ac:dyDescent="0.25">
      <c r="A885" t="str">
        <f t="shared" si="13"/>
        <v>Korea, Rep.2012</v>
      </c>
      <c r="B885" t="s">
        <v>129</v>
      </c>
      <c r="C885" t="s">
        <v>130</v>
      </c>
      <c r="D885">
        <v>2012</v>
      </c>
      <c r="E885">
        <v>26600.5477433903</v>
      </c>
      <c r="F885">
        <v>2.5476655056824198</v>
      </c>
      <c r="G885">
        <v>2.1870710443331398</v>
      </c>
      <c r="H885">
        <v>9</v>
      </c>
      <c r="I885">
        <v>11.703396598352199</v>
      </c>
      <c r="J885">
        <v>2.8119999999999998</v>
      </c>
      <c r="K885">
        <v>23.576467488873501</v>
      </c>
      <c r="L885">
        <v>25.508608143118799</v>
      </c>
      <c r="M885">
        <v>1.29208290653879</v>
      </c>
      <c r="N885">
        <v>36.7828795943106</v>
      </c>
      <c r="O885">
        <v>31.214958774129201</v>
      </c>
      <c r="P885">
        <v>5.76906053221769</v>
      </c>
      <c r="Q885">
        <v>34.336867195596</v>
      </c>
      <c r="R885">
        <v>52.023531208518797</v>
      </c>
      <c r="S885">
        <v>1.6305856530659999</v>
      </c>
      <c r="T885">
        <v>33.536032819332704</v>
      </c>
      <c r="U885">
        <v>0.60128730652900397</v>
      </c>
      <c r="V885">
        <v>52.565565492601102</v>
      </c>
    </row>
    <row r="886" spans="1:22" x14ac:dyDescent="0.25">
      <c r="A886" t="str">
        <f t="shared" si="13"/>
        <v>Korea, Rep.2013</v>
      </c>
      <c r="B886" t="s">
        <v>129</v>
      </c>
      <c r="C886" t="s">
        <v>130</v>
      </c>
      <c r="D886">
        <v>2013</v>
      </c>
      <c r="E886">
        <v>28449.3591104972</v>
      </c>
      <c r="F886">
        <v>3.2913959543442002</v>
      </c>
      <c r="G886">
        <v>1.3013475454741299</v>
      </c>
      <c r="H886">
        <v>9</v>
      </c>
      <c r="I886">
        <v>12.0971432569738</v>
      </c>
      <c r="J886">
        <v>3.0670000000000002</v>
      </c>
      <c r="K886">
        <v>22.959910198886199</v>
      </c>
      <c r="L886">
        <v>24.949476370235299</v>
      </c>
      <c r="M886">
        <v>1.0770383208686101</v>
      </c>
      <c r="N886">
        <v>36.534293088792502</v>
      </c>
      <c r="O886">
        <v>29.899018306385301</v>
      </c>
      <c r="P886">
        <v>6.1984598571031597</v>
      </c>
      <c r="Q886">
        <v>34.5161248108137</v>
      </c>
      <c r="R886">
        <v>49.233859104069097</v>
      </c>
      <c r="S886">
        <v>0.78946458807001996</v>
      </c>
      <c r="T886">
        <v>36.0068101983139</v>
      </c>
      <c r="U886">
        <v>0.58228898039561905</v>
      </c>
      <c r="V886">
        <v>52.201446798548403</v>
      </c>
    </row>
    <row r="887" spans="1:22" x14ac:dyDescent="0.25">
      <c r="A887" t="str">
        <f t="shared" si="13"/>
        <v>Korea, Rep.2014</v>
      </c>
      <c r="B887" t="s">
        <v>129</v>
      </c>
      <c r="C887" t="s">
        <v>130</v>
      </c>
      <c r="D887">
        <v>2014</v>
      </c>
      <c r="E887">
        <v>30667.091246744701</v>
      </c>
      <c r="F887">
        <v>3.2146801968310799</v>
      </c>
      <c r="G887">
        <v>1.2747744640132199</v>
      </c>
      <c r="H887">
        <v>9</v>
      </c>
      <c r="I887">
        <v>12.525409185773199</v>
      </c>
      <c r="J887">
        <v>3.0819999999999999</v>
      </c>
      <c r="K887">
        <v>22.529749881525401</v>
      </c>
      <c r="L887">
        <v>23.836145351572199</v>
      </c>
      <c r="M887">
        <v>1.0512860780087601</v>
      </c>
      <c r="N887">
        <v>36.472041048329203</v>
      </c>
      <c r="O887">
        <v>29.789388342204902</v>
      </c>
      <c r="P887">
        <v>6.5423037299640399</v>
      </c>
      <c r="Q887">
        <v>34.571740210955902</v>
      </c>
      <c r="R887">
        <v>45.787620367305202</v>
      </c>
      <c r="S887">
        <v>0.572968391284435</v>
      </c>
      <c r="T887">
        <v>37.874707484204798</v>
      </c>
      <c r="U887">
        <v>0.567281581422583</v>
      </c>
      <c r="V887">
        <v>51.9138175370637</v>
      </c>
    </row>
    <row r="888" spans="1:22" x14ac:dyDescent="0.25">
      <c r="A888" t="str">
        <f t="shared" si="13"/>
        <v>Korea, Rep.2015</v>
      </c>
      <c r="B888" t="s">
        <v>129</v>
      </c>
      <c r="C888" t="s">
        <v>130</v>
      </c>
      <c r="D888">
        <v>2015</v>
      </c>
      <c r="E888">
        <v>30171.790654522199</v>
      </c>
      <c r="F888">
        <v>2.92029267301234</v>
      </c>
      <c r="G888">
        <v>0.70633177245574996</v>
      </c>
      <c r="H888">
        <v>9</v>
      </c>
      <c r="I888">
        <v>12.954685714924</v>
      </c>
      <c r="J888">
        <v>3.5459999999999998</v>
      </c>
      <c r="K888">
        <v>22.372753977334298</v>
      </c>
      <c r="L888">
        <v>23.634345859757701</v>
      </c>
      <c r="M888">
        <v>3.2284630074311198</v>
      </c>
      <c r="N888">
        <v>36.460126745549303</v>
      </c>
      <c r="O888">
        <v>29.312203293243901</v>
      </c>
      <c r="P888">
        <v>7.9205453756484996</v>
      </c>
      <c r="Q888">
        <v>35.834333400563899</v>
      </c>
      <c r="R888">
        <v>40.968131454018199</v>
      </c>
      <c r="S888">
        <v>0.49684738300619902</v>
      </c>
      <c r="T888">
        <v>38.8426572484112</v>
      </c>
      <c r="U888">
        <v>0.55922894994238304</v>
      </c>
      <c r="V888">
        <v>51.759482168901698</v>
      </c>
    </row>
    <row r="889" spans="1:22" x14ac:dyDescent="0.25">
      <c r="A889" t="str">
        <f t="shared" si="13"/>
        <v>Korea, Rep.2016</v>
      </c>
      <c r="B889" t="s">
        <v>129</v>
      </c>
      <c r="C889" t="s">
        <v>130</v>
      </c>
      <c r="D889">
        <v>2016</v>
      </c>
      <c r="E889">
        <v>30832.062807251601</v>
      </c>
      <c r="F889">
        <v>3.1715274898393502</v>
      </c>
      <c r="G889">
        <v>0.971685739912168</v>
      </c>
      <c r="H889">
        <v>9</v>
      </c>
      <c r="I889">
        <v>13.3631038531662</v>
      </c>
      <c r="J889">
        <v>3.65</v>
      </c>
      <c r="K889">
        <v>22.3216832639303</v>
      </c>
      <c r="L889">
        <v>24.460957860076601</v>
      </c>
      <c r="M889">
        <v>2.0624563522338</v>
      </c>
      <c r="N889">
        <v>36.460065467407802</v>
      </c>
      <c r="O889">
        <v>29.982396327472799</v>
      </c>
      <c r="P889">
        <v>8.3884850135132698</v>
      </c>
      <c r="Q889">
        <v>36.290651868213502</v>
      </c>
      <c r="R889">
        <v>38.112987558391097</v>
      </c>
      <c r="S889">
        <v>1.5630979693965099</v>
      </c>
      <c r="T889">
        <v>39.143551754914697</v>
      </c>
      <c r="U889">
        <v>0.62035226992058701</v>
      </c>
      <c r="V889">
        <v>52.930961345034</v>
      </c>
    </row>
    <row r="890" spans="1:22" x14ac:dyDescent="0.25">
      <c r="A890" t="str">
        <f t="shared" si="13"/>
        <v>Korea, Rep.2017</v>
      </c>
      <c r="B890" t="s">
        <v>129</v>
      </c>
      <c r="C890" t="s">
        <v>130</v>
      </c>
      <c r="D890">
        <v>2017</v>
      </c>
      <c r="E890">
        <v>33296.984543919498</v>
      </c>
      <c r="F890">
        <v>3.4331917639720002</v>
      </c>
      <c r="G890">
        <v>1.9443323078636601</v>
      </c>
      <c r="H890">
        <v>9</v>
      </c>
      <c r="I890">
        <v>13.873746205796699</v>
      </c>
      <c r="J890">
        <v>3.653</v>
      </c>
      <c r="K890">
        <v>22.742132334557098</v>
      </c>
      <c r="L890">
        <v>24.850753591018599</v>
      </c>
      <c r="M890">
        <v>2.0188202158230699</v>
      </c>
      <c r="N890">
        <v>36.779313218166202</v>
      </c>
      <c r="O890">
        <v>31.9652912711332</v>
      </c>
      <c r="P890">
        <v>7.5583177028665602</v>
      </c>
      <c r="Q890">
        <v>36.450535047915402</v>
      </c>
      <c r="R890">
        <v>38.848889992053202</v>
      </c>
      <c r="S890">
        <v>2.0766361296842102</v>
      </c>
      <c r="T890">
        <v>38.011445887125099</v>
      </c>
      <c r="U890">
        <v>0.66154809727506303</v>
      </c>
      <c r="V890">
        <v>53.7205135798688</v>
      </c>
    </row>
    <row r="891" spans="1:22" x14ac:dyDescent="0.25">
      <c r="A891" t="str">
        <f t="shared" si="13"/>
        <v>Korea, Rep.2018</v>
      </c>
      <c r="B891" t="s">
        <v>129</v>
      </c>
      <c r="C891" t="s">
        <v>130</v>
      </c>
      <c r="D891">
        <v>2018</v>
      </c>
      <c r="E891">
        <v>35363.950822868697</v>
      </c>
      <c r="F891">
        <v>3.1761156817732701</v>
      </c>
      <c r="G891">
        <v>1.4758393500264499</v>
      </c>
      <c r="H891">
        <v>9</v>
      </c>
      <c r="I891">
        <v>14.4543760222277</v>
      </c>
      <c r="J891">
        <v>3.8239999999999998</v>
      </c>
      <c r="K891">
        <v>23.5674300593436</v>
      </c>
      <c r="L891">
        <v>25.961138542060599</v>
      </c>
      <c r="M891">
        <v>0.56658207398103899</v>
      </c>
      <c r="N891">
        <v>37.299629534955002</v>
      </c>
      <c r="O891">
        <v>31.248653134357198</v>
      </c>
      <c r="P891">
        <v>7.1221510407127502</v>
      </c>
      <c r="Q891">
        <v>35.378301450654199</v>
      </c>
      <c r="R891">
        <v>39.4523497931837</v>
      </c>
      <c r="S891">
        <v>2.4240964484553</v>
      </c>
      <c r="T891">
        <v>37.854017700660101</v>
      </c>
      <c r="U891">
        <v>0.71473486381594997</v>
      </c>
      <c r="V891">
        <v>54.739882119906802</v>
      </c>
    </row>
    <row r="892" spans="1:22" x14ac:dyDescent="0.25">
      <c r="A892" t="str">
        <f t="shared" si="13"/>
        <v>Korea, Rep.2019</v>
      </c>
      <c r="B892" t="s">
        <v>129</v>
      </c>
      <c r="C892" t="s">
        <v>130</v>
      </c>
      <c r="D892">
        <v>2019</v>
      </c>
      <c r="E892">
        <v>33826.944330159698</v>
      </c>
      <c r="F892">
        <v>2.3138021059547502</v>
      </c>
      <c r="G892">
        <v>0.38300030360813597</v>
      </c>
      <c r="H892">
        <v>9</v>
      </c>
      <c r="I892">
        <v>15.063488444158899</v>
      </c>
      <c r="J892">
        <v>3.746</v>
      </c>
      <c r="K892">
        <v>25.947176443775401</v>
      </c>
      <c r="L892">
        <v>26.2939664582305</v>
      </c>
      <c r="M892">
        <v>-0.62421076516969298</v>
      </c>
      <c r="N892">
        <v>37.881388249940201</v>
      </c>
      <c r="O892">
        <v>31.1955884616555</v>
      </c>
      <c r="P892">
        <v>7.7128923941908596</v>
      </c>
      <c r="Q892">
        <v>34.294117015555202</v>
      </c>
      <c r="R892">
        <v>37.041326637048797</v>
      </c>
      <c r="S892">
        <v>0.35063314643189902</v>
      </c>
      <c r="T892">
        <v>39.729916761903098</v>
      </c>
      <c r="U892">
        <v>0.61566446705823796</v>
      </c>
      <c r="V892">
        <v>52.8411157110434</v>
      </c>
    </row>
    <row r="893" spans="1:22" x14ac:dyDescent="0.25">
      <c r="A893" t="str">
        <f t="shared" si="13"/>
        <v>Korea, Rep.2020</v>
      </c>
      <c r="B893" t="s">
        <v>129</v>
      </c>
      <c r="C893" t="s">
        <v>130</v>
      </c>
      <c r="D893">
        <v>2020</v>
      </c>
      <c r="E893">
        <v>33645.771954507298</v>
      </c>
      <c r="F893">
        <v>-0.70024231754210597</v>
      </c>
      <c r="G893">
        <v>0.53728802341173698</v>
      </c>
      <c r="H893">
        <v>9</v>
      </c>
      <c r="I893">
        <v>15.822165945988999</v>
      </c>
      <c r="J893">
        <v>3.931</v>
      </c>
      <c r="K893">
        <v>28.025662943729898</v>
      </c>
      <c r="L893">
        <v>26.3065329311566</v>
      </c>
      <c r="M893">
        <v>1.5871895751154601</v>
      </c>
      <c r="N893">
        <v>38.767132686611198</v>
      </c>
      <c r="O893">
        <v>31.5248657192138</v>
      </c>
      <c r="P893">
        <v>9.3521458937926205</v>
      </c>
      <c r="Q893">
        <v>35.776163826586398</v>
      </c>
      <c r="R893">
        <v>34.615200198788799</v>
      </c>
      <c r="S893">
        <v>-2.1053536698314002</v>
      </c>
      <c r="T893">
        <v>45.915049818220503</v>
      </c>
      <c r="U893">
        <v>0.49428554674063302</v>
      </c>
      <c r="V893">
        <v>50.514787926096503</v>
      </c>
    </row>
    <row r="894" spans="1:22" x14ac:dyDescent="0.25">
      <c r="A894" t="str">
        <f t="shared" si="13"/>
        <v>Korea, Rep.2021</v>
      </c>
      <c r="B894" t="s">
        <v>129</v>
      </c>
      <c r="C894" t="s">
        <v>130</v>
      </c>
      <c r="D894">
        <v>2021</v>
      </c>
      <c r="E894">
        <v>37518.463530569701</v>
      </c>
      <c r="F894">
        <v>4.6129679545428699</v>
      </c>
      <c r="G894">
        <v>2.4983333333333899</v>
      </c>
      <c r="H894">
        <v>9</v>
      </c>
      <c r="I894">
        <v>16.659641216490801</v>
      </c>
      <c r="J894">
        <v>3.6389999999999998</v>
      </c>
      <c r="K894">
        <v>28.546473809991699</v>
      </c>
      <c r="L894">
        <v>28.024580448522201</v>
      </c>
      <c r="M894">
        <v>3.1805178629799</v>
      </c>
      <c r="N894">
        <v>39.781216282915203</v>
      </c>
      <c r="O894">
        <v>32.4929253527445</v>
      </c>
      <c r="P894">
        <v>7.5043410181061398</v>
      </c>
      <c r="Q894">
        <v>36.604393116157702</v>
      </c>
      <c r="R894">
        <v>39.338819266947901</v>
      </c>
      <c r="S894">
        <v>-1.86325935638611E-2</v>
      </c>
      <c r="T894">
        <v>47.987825364261496</v>
      </c>
      <c r="U894">
        <v>0.71046982364174405</v>
      </c>
      <c r="V894">
        <v>54.658139083840801</v>
      </c>
    </row>
    <row r="895" spans="1:22" x14ac:dyDescent="0.25">
      <c r="A895" t="str">
        <f t="shared" si="13"/>
        <v>Korea, Rep.2022</v>
      </c>
      <c r="B895" t="s">
        <v>129</v>
      </c>
      <c r="C895" t="s">
        <v>130</v>
      </c>
      <c r="D895">
        <v>2022</v>
      </c>
      <c r="E895">
        <v>34822.404840497104</v>
      </c>
      <c r="F895">
        <v>2.7275645670899098</v>
      </c>
      <c r="G895">
        <v>5.0895136506284198</v>
      </c>
      <c r="H895">
        <v>9</v>
      </c>
      <c r="I895">
        <v>17.484646336630501</v>
      </c>
      <c r="J895">
        <v>2.8570000000000002</v>
      </c>
      <c r="K895">
        <v>31.297533375980201</v>
      </c>
      <c r="L895">
        <v>29.772922875687801</v>
      </c>
      <c r="M895">
        <v>1.8078503190031101</v>
      </c>
      <c r="N895">
        <v>40.644811471560402</v>
      </c>
      <c r="O895">
        <v>33.325486927234799</v>
      </c>
      <c r="P895">
        <v>5.9012484813776398</v>
      </c>
      <c r="Q895">
        <v>34.307834393492797</v>
      </c>
      <c r="R895">
        <v>45.294860984133003</v>
      </c>
      <c r="S895">
        <v>-1.49174948282575</v>
      </c>
      <c r="T895">
        <v>49.797857226302497</v>
      </c>
      <c r="U895">
        <v>0.65091387651760302</v>
      </c>
      <c r="V895">
        <v>53.5166999097965</v>
      </c>
    </row>
    <row r="896" spans="1:22" x14ac:dyDescent="0.25">
      <c r="A896" t="str">
        <f t="shared" si="13"/>
        <v>Korea, Rep.2023</v>
      </c>
      <c r="B896" t="s">
        <v>129</v>
      </c>
      <c r="C896" t="s">
        <v>130</v>
      </c>
      <c r="D896">
        <v>2023</v>
      </c>
      <c r="E896">
        <v>35674.095995632</v>
      </c>
      <c r="F896">
        <v>1.58301467403629</v>
      </c>
      <c r="G896">
        <v>3.5974562502901</v>
      </c>
      <c r="H896">
        <v>9</v>
      </c>
      <c r="I896">
        <v>18.335023583859702</v>
      </c>
      <c r="J896">
        <v>2.6749999999999998</v>
      </c>
      <c r="K896">
        <v>28.322511983263102</v>
      </c>
      <c r="L896">
        <v>27.352298277703198</v>
      </c>
      <c r="M896">
        <v>2.0384971789995299</v>
      </c>
      <c r="N896">
        <v>41.454402577441698</v>
      </c>
      <c r="O896">
        <v>31.891220089414698</v>
      </c>
      <c r="P896">
        <v>6.3177221160636599</v>
      </c>
      <c r="Q896">
        <v>33.359797054871102</v>
      </c>
      <c r="R896">
        <v>41.321480736769701</v>
      </c>
      <c r="S896">
        <v>-0.66924419786661304</v>
      </c>
      <c r="T896">
        <v>50.538746182952799</v>
      </c>
      <c r="U896">
        <v>0.63747477679477405</v>
      </c>
      <c r="V896">
        <v>53.259128405551103</v>
      </c>
    </row>
    <row r="897" spans="1:22" x14ac:dyDescent="0.25">
      <c r="A897" t="str">
        <f t="shared" si="13"/>
        <v>Korea, Rep.2024</v>
      </c>
      <c r="B897" t="s">
        <v>129</v>
      </c>
      <c r="C897" t="s">
        <v>130</v>
      </c>
      <c r="D897">
        <v>2024</v>
      </c>
      <c r="E897">
        <v>36238.639908315003</v>
      </c>
      <c r="F897">
        <v>2.0036110183898601</v>
      </c>
      <c r="G897">
        <v>2.3217432864354199</v>
      </c>
      <c r="H897">
        <v>9</v>
      </c>
      <c r="I897">
        <v>19.2735131316057</v>
      </c>
      <c r="J897">
        <v>2.7839999999999998</v>
      </c>
      <c r="K897">
        <v>23.2636701291149</v>
      </c>
      <c r="L897">
        <v>25.229042256677001</v>
      </c>
      <c r="M897">
        <v>4.0663973647580702</v>
      </c>
      <c r="N897">
        <v>42.534686651445497</v>
      </c>
      <c r="O897">
        <v>29.973849929996099</v>
      </c>
      <c r="P897">
        <v>6.1983433124631802</v>
      </c>
      <c r="Q897">
        <v>35.030541529222603</v>
      </c>
      <c r="R897">
        <v>44.358238359323401</v>
      </c>
      <c r="S897">
        <v>-0.78318798694053104</v>
      </c>
      <c r="T897">
        <v>49.700538944799099</v>
      </c>
      <c r="U897">
        <v>0.63605168785798105</v>
      </c>
      <c r="V897">
        <v>53.231853724531902</v>
      </c>
    </row>
    <row r="898" spans="1:22" x14ac:dyDescent="0.25">
      <c r="A898" t="str">
        <f t="shared" si="13"/>
        <v>Korea, Rep.2025</v>
      </c>
      <c r="B898" t="s">
        <v>129</v>
      </c>
      <c r="C898" t="s">
        <v>130</v>
      </c>
      <c r="D898">
        <v>2025</v>
      </c>
      <c r="E898">
        <v>33296.984543919498</v>
      </c>
      <c r="F898">
        <v>3.1715274898393502</v>
      </c>
      <c r="G898">
        <v>1.9443323078636601</v>
      </c>
      <c r="H898">
        <v>9</v>
      </c>
      <c r="I898">
        <v>13.873746205796699</v>
      </c>
      <c r="J898">
        <v>2.6829999999999998</v>
      </c>
      <c r="K898">
        <v>23.2636701291149</v>
      </c>
      <c r="L898">
        <v>25.229042256677001</v>
      </c>
      <c r="M898">
        <v>1.8078503190031101</v>
      </c>
      <c r="N898">
        <v>37.299629534955002</v>
      </c>
      <c r="O898">
        <v>31.248653134357198</v>
      </c>
      <c r="P898">
        <v>6.5467233974824</v>
      </c>
      <c r="Q898">
        <v>34.9926210564103</v>
      </c>
      <c r="R898">
        <v>41.321480736769701</v>
      </c>
      <c r="S898">
        <v>-1.43195287862274</v>
      </c>
      <c r="T898">
        <v>52.252730599073899</v>
      </c>
      <c r="U898">
        <v>0.48885241664201201</v>
      </c>
      <c r="V898">
        <v>50.410657476801099</v>
      </c>
    </row>
    <row r="899" spans="1:22" x14ac:dyDescent="0.25">
      <c r="A899" t="str">
        <f t="shared" si="13"/>
        <v>Kyrgyz Republic2010</v>
      </c>
      <c r="B899" t="s">
        <v>131</v>
      </c>
      <c r="C899" t="s">
        <v>132</v>
      </c>
      <c r="D899">
        <v>2010</v>
      </c>
      <c r="E899">
        <v>876.95447644035403</v>
      </c>
      <c r="F899">
        <v>-0.471566596791618</v>
      </c>
      <c r="G899">
        <v>7.9677222557968399</v>
      </c>
      <c r="H899">
        <v>9</v>
      </c>
      <c r="I899">
        <v>4.4481546491330102</v>
      </c>
      <c r="J899">
        <v>3.5030000000000001</v>
      </c>
      <c r="K899">
        <v>25.6307764379006</v>
      </c>
      <c r="L899">
        <v>28.130846772161899</v>
      </c>
      <c r="M899">
        <v>10.0339035419669</v>
      </c>
      <c r="N899">
        <v>53.141738754834101</v>
      </c>
      <c r="O899">
        <v>27.401593597656301</v>
      </c>
      <c r="P899">
        <v>4.9883608386049403</v>
      </c>
      <c r="Q899">
        <v>19.933366140682601</v>
      </c>
      <c r="R899">
        <v>51.554322675617698</v>
      </c>
      <c r="S899">
        <v>-5.9468952223468499</v>
      </c>
      <c r="T899">
        <v>59.698589805385701</v>
      </c>
      <c r="U899">
        <v>-0.39673519650463401</v>
      </c>
      <c r="V899">
        <v>33.437635595595097</v>
      </c>
    </row>
    <row r="900" spans="1:22" x14ac:dyDescent="0.25">
      <c r="A900" t="str">
        <f t="shared" ref="A900:A963" si="14">C900&amp;D900</f>
        <v>Kyrgyz Republic2011</v>
      </c>
      <c r="B900" t="s">
        <v>131</v>
      </c>
      <c r="C900" t="s">
        <v>132</v>
      </c>
      <c r="D900">
        <v>2011</v>
      </c>
      <c r="E900">
        <v>1117.40174350185</v>
      </c>
      <c r="F900">
        <v>5.9562742969350397</v>
      </c>
      <c r="G900">
        <v>16.6363262731495</v>
      </c>
      <c r="H900">
        <v>9</v>
      </c>
      <c r="I900">
        <v>4.4005176480261499</v>
      </c>
      <c r="J900">
        <v>3.6440000000000001</v>
      </c>
      <c r="K900">
        <v>25.6307764379006</v>
      </c>
      <c r="L900">
        <v>28.130846772161899</v>
      </c>
      <c r="M900">
        <v>22.481842244893599</v>
      </c>
      <c r="N900">
        <v>53.405724530116899</v>
      </c>
      <c r="O900">
        <v>25.472963829740401</v>
      </c>
      <c r="P900">
        <v>3.9589255017717</v>
      </c>
      <c r="Q900">
        <v>17.405625853110301</v>
      </c>
      <c r="R900">
        <v>54.538477165738101</v>
      </c>
      <c r="S900">
        <v>-4.7046158302617398</v>
      </c>
      <c r="T900">
        <v>50.055759034522602</v>
      </c>
      <c r="U900">
        <v>-0.25497866424091198</v>
      </c>
      <c r="V900">
        <v>36.154517232373003</v>
      </c>
    </row>
    <row r="901" spans="1:22" x14ac:dyDescent="0.25">
      <c r="A901" t="str">
        <f t="shared" si="14"/>
        <v>Kyrgyz Republic2012</v>
      </c>
      <c r="B901" t="s">
        <v>131</v>
      </c>
      <c r="C901" t="s">
        <v>132</v>
      </c>
      <c r="D901">
        <v>2012</v>
      </c>
      <c r="E901">
        <v>1168.62244675446</v>
      </c>
      <c r="F901">
        <v>-8.8150199843937599E-2</v>
      </c>
      <c r="G901">
        <v>2.76844236540957</v>
      </c>
      <c r="H901">
        <v>9</v>
      </c>
      <c r="I901">
        <v>4.4903563035601204</v>
      </c>
      <c r="J901">
        <v>3.786</v>
      </c>
      <c r="K901">
        <v>25.6307764379006</v>
      </c>
      <c r="L901">
        <v>28.130846772161899</v>
      </c>
      <c r="M901">
        <v>8.6563168088118694</v>
      </c>
      <c r="N901">
        <v>54.440473578378203</v>
      </c>
      <c r="O901">
        <v>34.961073696667</v>
      </c>
      <c r="P901">
        <v>3.7465425740482998</v>
      </c>
      <c r="Q901">
        <v>12.740845652932199</v>
      </c>
      <c r="R901">
        <v>44.404200968012198</v>
      </c>
      <c r="S901">
        <v>-5.8619995764751804</v>
      </c>
      <c r="T901">
        <v>50.477879346657801</v>
      </c>
      <c r="U901">
        <v>-0.557526486540736</v>
      </c>
      <c r="V901">
        <v>30.355937022155199</v>
      </c>
    </row>
    <row r="902" spans="1:22" x14ac:dyDescent="0.25">
      <c r="A902" t="str">
        <f t="shared" si="14"/>
        <v>Kyrgyz Republic2013</v>
      </c>
      <c r="B902" t="s">
        <v>131</v>
      </c>
      <c r="C902" t="s">
        <v>132</v>
      </c>
      <c r="D902">
        <v>2013</v>
      </c>
      <c r="E902">
        <v>1269.6630346434799</v>
      </c>
      <c r="F902">
        <v>10.9154694528045</v>
      </c>
      <c r="G902">
        <v>6.6137520235808198</v>
      </c>
      <c r="H902">
        <v>9</v>
      </c>
      <c r="I902">
        <v>4.6301206796727996</v>
      </c>
      <c r="J902">
        <v>3.8809999999999998</v>
      </c>
      <c r="K902">
        <v>25.6307764379006</v>
      </c>
      <c r="L902">
        <v>28.130846772161899</v>
      </c>
      <c r="M902">
        <v>3.1751881360427201</v>
      </c>
      <c r="N902">
        <v>55.6741442388454</v>
      </c>
      <c r="O902">
        <v>33.898835558527701</v>
      </c>
      <c r="P902">
        <v>3.7809377377997602</v>
      </c>
      <c r="Q902">
        <v>9.1168711344675195</v>
      </c>
      <c r="R902">
        <v>42.250153956657996</v>
      </c>
      <c r="S902">
        <v>-3.6994223420280798</v>
      </c>
      <c r="T902">
        <v>47.1247556761314</v>
      </c>
      <c r="U902">
        <v>-0.378039223456753</v>
      </c>
      <c r="V902">
        <v>33.795959441729998</v>
      </c>
    </row>
    <row r="903" spans="1:22" x14ac:dyDescent="0.25">
      <c r="A903" t="str">
        <f t="shared" si="14"/>
        <v>Kyrgyz Republic2014</v>
      </c>
      <c r="B903" t="s">
        <v>131</v>
      </c>
      <c r="C903" t="s">
        <v>132</v>
      </c>
      <c r="D903">
        <v>2014</v>
      </c>
      <c r="E903">
        <v>1264.5266882389101</v>
      </c>
      <c r="F903">
        <v>4.0240386308325196</v>
      </c>
      <c r="G903">
        <v>7.5342472977588999</v>
      </c>
      <c r="H903">
        <v>10</v>
      </c>
      <c r="I903">
        <v>4.7947046612174899</v>
      </c>
      <c r="J903">
        <v>4.0199999999999996</v>
      </c>
      <c r="K903">
        <v>25.997665550270298</v>
      </c>
      <c r="L903">
        <v>29.448606667431999</v>
      </c>
      <c r="M903">
        <v>8.4152254362138894</v>
      </c>
      <c r="N903">
        <v>56.906966864572198</v>
      </c>
      <c r="O903">
        <v>36.7567270785188</v>
      </c>
      <c r="P903">
        <v>3.4586775979515298</v>
      </c>
      <c r="Q903">
        <v>11.526851590821799</v>
      </c>
      <c r="R903">
        <v>37.448651589492201</v>
      </c>
      <c r="S903">
        <v>-3.06826988099023</v>
      </c>
      <c r="T903">
        <v>53.5967857721852</v>
      </c>
      <c r="U903">
        <v>-0.40707102811537399</v>
      </c>
      <c r="V903">
        <v>33.239540801262798</v>
      </c>
    </row>
    <row r="904" spans="1:22" x14ac:dyDescent="0.25">
      <c r="A904" t="str">
        <f t="shared" si="14"/>
        <v>Kyrgyz Republic2015</v>
      </c>
      <c r="B904" t="s">
        <v>131</v>
      </c>
      <c r="C904" t="s">
        <v>132</v>
      </c>
      <c r="D904">
        <v>2015</v>
      </c>
      <c r="E904">
        <v>1105.6519384426099</v>
      </c>
      <c r="F904">
        <v>3.8758254451243901</v>
      </c>
      <c r="G904">
        <v>6.50331838993384</v>
      </c>
      <c r="H904">
        <v>10</v>
      </c>
      <c r="I904">
        <v>4.9665421612754104</v>
      </c>
      <c r="J904">
        <v>4.1379999999999999</v>
      </c>
      <c r="K904">
        <v>27.241948349947801</v>
      </c>
      <c r="L904">
        <v>30.066013239815</v>
      </c>
      <c r="M904">
        <v>3.4272875028895302</v>
      </c>
      <c r="N904">
        <v>58.150156918583001</v>
      </c>
      <c r="O904">
        <v>34.671469262657801</v>
      </c>
      <c r="P904">
        <v>4.1550622954308096</v>
      </c>
      <c r="Q904">
        <v>12.1732222555148</v>
      </c>
      <c r="R904">
        <v>35.189600487259398</v>
      </c>
      <c r="S904">
        <v>-2.5168204068025801</v>
      </c>
      <c r="T904">
        <v>67.087345295145397</v>
      </c>
      <c r="U904">
        <v>-0.387882487875157</v>
      </c>
      <c r="V904">
        <v>33.6073051066017</v>
      </c>
    </row>
    <row r="905" spans="1:22" x14ac:dyDescent="0.25">
      <c r="A905" t="str">
        <f t="shared" si="14"/>
        <v>Kyrgyz Republic2016</v>
      </c>
      <c r="B905" t="s">
        <v>131</v>
      </c>
      <c r="C905" t="s">
        <v>132</v>
      </c>
      <c r="D905">
        <v>2016</v>
      </c>
      <c r="E905">
        <v>1103.2748942841199</v>
      </c>
      <c r="F905">
        <v>4.3358559219011603</v>
      </c>
      <c r="G905">
        <v>0.38883829689579902</v>
      </c>
      <c r="H905">
        <v>10</v>
      </c>
      <c r="I905">
        <v>5.0795523553680404</v>
      </c>
      <c r="J905">
        <v>4.2939999999999996</v>
      </c>
      <c r="K905">
        <v>27.035096588256199</v>
      </c>
      <c r="L905">
        <v>28.130846772161899</v>
      </c>
      <c r="M905">
        <v>6.0505642705560501</v>
      </c>
      <c r="N905">
        <v>59.063946388467301</v>
      </c>
      <c r="O905">
        <v>33.939179293735101</v>
      </c>
      <c r="P905">
        <v>4.6032496502545897</v>
      </c>
      <c r="Q905">
        <v>22.4550169419783</v>
      </c>
      <c r="R905">
        <v>35.825408875169202</v>
      </c>
      <c r="S905">
        <v>-5.7901954196974703</v>
      </c>
      <c r="T905">
        <v>59.072818479075003</v>
      </c>
      <c r="U905">
        <v>-0.44125528333863101</v>
      </c>
      <c r="V905">
        <v>32.584371167808399</v>
      </c>
    </row>
    <row r="906" spans="1:22" x14ac:dyDescent="0.25">
      <c r="A906" t="str">
        <f t="shared" si="14"/>
        <v>Kyrgyz Republic2017</v>
      </c>
      <c r="B906" t="s">
        <v>131</v>
      </c>
      <c r="C906" t="s">
        <v>132</v>
      </c>
      <c r="D906">
        <v>2017</v>
      </c>
      <c r="E906">
        <v>1221.3904680708199</v>
      </c>
      <c r="F906">
        <v>4.7399372237788402</v>
      </c>
      <c r="G906">
        <v>3.1753098637993999</v>
      </c>
      <c r="H906">
        <v>10</v>
      </c>
      <c r="I906">
        <v>5.1191776017602102</v>
      </c>
      <c r="J906">
        <v>4.4249999999999998</v>
      </c>
      <c r="K906">
        <v>26.049769857507101</v>
      </c>
      <c r="L906">
        <v>27.9702350173627</v>
      </c>
      <c r="M906">
        <v>6.3271458626238797</v>
      </c>
      <c r="N906">
        <v>59.488277666114001</v>
      </c>
      <c r="O906">
        <v>32.902091462436502</v>
      </c>
      <c r="P906">
        <v>4.7449956481309599</v>
      </c>
      <c r="Q906">
        <v>26.669673283483199</v>
      </c>
      <c r="R906">
        <v>34.252841364835398</v>
      </c>
      <c r="S906">
        <v>-3.7329262983115101</v>
      </c>
      <c r="T906">
        <v>58.786106611797699</v>
      </c>
      <c r="U906">
        <v>-0.32019910456141898</v>
      </c>
      <c r="V906">
        <v>34.904513343171601</v>
      </c>
    </row>
    <row r="907" spans="1:22" x14ac:dyDescent="0.25">
      <c r="A907" t="str">
        <f t="shared" si="14"/>
        <v>Kyrgyz Republic2018</v>
      </c>
      <c r="B907" t="s">
        <v>131</v>
      </c>
      <c r="C907" t="s">
        <v>132</v>
      </c>
      <c r="D907">
        <v>2018</v>
      </c>
      <c r="E907">
        <v>1283.5203037417</v>
      </c>
      <c r="F907">
        <v>3.7579101355716502</v>
      </c>
      <c r="G907">
        <v>1.54266145238436</v>
      </c>
      <c r="H907">
        <v>10</v>
      </c>
      <c r="I907">
        <v>5.1512820157016996</v>
      </c>
      <c r="J907">
        <v>4.5590000000000002</v>
      </c>
      <c r="K907">
        <v>25.485252876082601</v>
      </c>
      <c r="L907">
        <v>28.0042382526007</v>
      </c>
      <c r="M907">
        <v>3.4474451158925601</v>
      </c>
      <c r="N907">
        <v>59.952024916860204</v>
      </c>
      <c r="O907">
        <v>36.016629152546201</v>
      </c>
      <c r="P907">
        <v>4.2027005564012203</v>
      </c>
      <c r="Q907">
        <v>26.5794145632991</v>
      </c>
      <c r="R907">
        <v>31.601730005114302</v>
      </c>
      <c r="S907">
        <v>-0.59009895806743196</v>
      </c>
      <c r="T907">
        <v>54.817991044451901</v>
      </c>
      <c r="U907">
        <v>-0.24014934080863501</v>
      </c>
      <c r="V907">
        <v>36.4387335282685</v>
      </c>
    </row>
    <row r="908" spans="1:22" x14ac:dyDescent="0.25">
      <c r="A908" t="str">
        <f t="shared" si="14"/>
        <v>Kyrgyz Republic2019</v>
      </c>
      <c r="B908" t="s">
        <v>131</v>
      </c>
      <c r="C908" t="s">
        <v>132</v>
      </c>
      <c r="D908">
        <v>2019</v>
      </c>
      <c r="E908">
        <v>1421.9992750410199</v>
      </c>
      <c r="F908">
        <v>4.6006256570759803</v>
      </c>
      <c r="G908">
        <v>1.1336225771880399</v>
      </c>
      <c r="H908">
        <v>10</v>
      </c>
      <c r="I908">
        <v>5.1738480005112404</v>
      </c>
      <c r="J908">
        <v>5.45</v>
      </c>
      <c r="K908">
        <v>23.212299958777699</v>
      </c>
      <c r="L908">
        <v>25.811341999390802</v>
      </c>
      <c r="M908">
        <v>9.8113119474745893</v>
      </c>
      <c r="N908">
        <v>60.727744008694103</v>
      </c>
      <c r="O908">
        <v>34.446263634239699</v>
      </c>
      <c r="P908">
        <v>4.4957020506716097</v>
      </c>
      <c r="Q908">
        <v>22.879093972876699</v>
      </c>
      <c r="R908">
        <v>33.4764696600324</v>
      </c>
      <c r="S908">
        <v>-7.4065283301825394E-2</v>
      </c>
      <c r="T908">
        <v>48.848250716894597</v>
      </c>
      <c r="U908">
        <v>-0.26445106388047501</v>
      </c>
      <c r="V908">
        <v>35.9729708286484</v>
      </c>
    </row>
    <row r="909" spans="1:22" x14ac:dyDescent="0.25">
      <c r="A909" t="str">
        <f t="shared" si="14"/>
        <v>Kyrgyz Republic2020</v>
      </c>
      <c r="B909" t="s">
        <v>131</v>
      </c>
      <c r="C909" t="s">
        <v>132</v>
      </c>
      <c r="D909">
        <v>2020</v>
      </c>
      <c r="E909">
        <v>1229.5176660290699</v>
      </c>
      <c r="F909">
        <v>-7.1489775772795499</v>
      </c>
      <c r="G909">
        <v>6.3254229633807801</v>
      </c>
      <c r="H909">
        <v>10</v>
      </c>
      <c r="I909">
        <v>5.14875176307459</v>
      </c>
      <c r="J909">
        <v>5.9450000000000003</v>
      </c>
      <c r="K909">
        <v>25.776299999718599</v>
      </c>
      <c r="L909">
        <v>24.629473738036001</v>
      </c>
      <c r="M909">
        <v>5.34018553508729</v>
      </c>
      <c r="N909">
        <v>61.352051647271402</v>
      </c>
      <c r="O909">
        <v>25.030491398471099</v>
      </c>
      <c r="P909">
        <v>7.7957950221632304</v>
      </c>
      <c r="Q909">
        <v>29.259722203863401</v>
      </c>
      <c r="R909">
        <v>29.5818778074207</v>
      </c>
      <c r="S909">
        <v>-3.0622290589902601</v>
      </c>
      <c r="T909">
        <v>63.643007396098596</v>
      </c>
      <c r="U909">
        <v>-0.40901746204217498</v>
      </c>
      <c r="V909">
        <v>33.202235778993398</v>
      </c>
    </row>
    <row r="910" spans="1:22" x14ac:dyDescent="0.25">
      <c r="A910" t="str">
        <f t="shared" si="14"/>
        <v>Kyrgyz Republic2021</v>
      </c>
      <c r="B910" t="s">
        <v>131</v>
      </c>
      <c r="C910" t="s">
        <v>132</v>
      </c>
      <c r="D910">
        <v>2021</v>
      </c>
      <c r="E910">
        <v>1349.9973065054201</v>
      </c>
      <c r="F910">
        <v>5.5070076267192301</v>
      </c>
      <c r="G910">
        <v>11.9050398185147</v>
      </c>
      <c r="H910">
        <v>10</v>
      </c>
      <c r="I910">
        <v>5.1107557922805604</v>
      </c>
      <c r="J910">
        <v>5.149</v>
      </c>
      <c r="K910">
        <v>23.405091604146499</v>
      </c>
      <c r="L910">
        <v>27.311949649405999</v>
      </c>
      <c r="M910">
        <v>15.992797923604</v>
      </c>
      <c r="N910">
        <v>61.598215896774903</v>
      </c>
      <c r="O910">
        <v>26.493665551814701</v>
      </c>
      <c r="P910">
        <v>5.4559190815481804</v>
      </c>
      <c r="Q910">
        <v>18.367945185220201</v>
      </c>
      <c r="R910">
        <v>35.8055898779632</v>
      </c>
      <c r="S910">
        <v>-0.70742818371209004</v>
      </c>
      <c r="T910">
        <v>56.2010546440452</v>
      </c>
      <c r="U910">
        <v>-0.221726955994897</v>
      </c>
      <c r="V910">
        <v>36.791813828744502</v>
      </c>
    </row>
    <row r="911" spans="1:22" x14ac:dyDescent="0.25">
      <c r="A911" t="str">
        <f t="shared" si="14"/>
        <v>Kyrgyz Republic2022</v>
      </c>
      <c r="B911" t="s">
        <v>131</v>
      </c>
      <c r="C911" t="s">
        <v>132</v>
      </c>
      <c r="D911">
        <v>2022</v>
      </c>
      <c r="E911">
        <v>1739.7201834417399</v>
      </c>
      <c r="F911">
        <v>8.9675052004139104</v>
      </c>
      <c r="G911">
        <v>13.9229093174176</v>
      </c>
      <c r="H911">
        <v>10</v>
      </c>
      <c r="I911">
        <v>5.19936059005824</v>
      </c>
      <c r="J911">
        <v>4.7670000000000003</v>
      </c>
      <c r="K911">
        <v>23.831945816808599</v>
      </c>
      <c r="L911">
        <v>29.879149005539698</v>
      </c>
      <c r="M911">
        <v>19.657284242177401</v>
      </c>
      <c r="N911">
        <v>61.606889449314401</v>
      </c>
      <c r="O911">
        <v>35.640688179981602</v>
      </c>
      <c r="P911">
        <v>3.0654157203054702</v>
      </c>
      <c r="Q911">
        <v>9.7540850310357907</v>
      </c>
      <c r="R911">
        <v>46.337271830779201</v>
      </c>
      <c r="S911">
        <v>-0.29372085211285898</v>
      </c>
      <c r="T911">
        <v>46.821912219597401</v>
      </c>
      <c r="U911">
        <v>-0.23584485086076901</v>
      </c>
      <c r="V911">
        <v>36.521232652000599</v>
      </c>
    </row>
    <row r="912" spans="1:22" x14ac:dyDescent="0.25">
      <c r="A912" t="str">
        <f t="shared" si="14"/>
        <v>Kyrgyz Republic2023</v>
      </c>
      <c r="B912" t="s">
        <v>131</v>
      </c>
      <c r="C912" t="s">
        <v>132</v>
      </c>
      <c r="D912">
        <v>2023</v>
      </c>
      <c r="E912">
        <v>2138.2221021147798</v>
      </c>
      <c r="F912">
        <v>9.0132928339341998</v>
      </c>
      <c r="G912">
        <v>10.753277041674201</v>
      </c>
      <c r="H912">
        <v>10</v>
      </c>
      <c r="I912">
        <v>5.4270327109624601</v>
      </c>
      <c r="J912">
        <v>3.4980000000000002</v>
      </c>
      <c r="K912">
        <v>23.7050047610836</v>
      </c>
      <c r="L912">
        <v>30.666536705330198</v>
      </c>
      <c r="M912">
        <v>19.859198951851202</v>
      </c>
      <c r="N912">
        <v>61.547515869189198</v>
      </c>
      <c r="O912">
        <v>34.4590059457311</v>
      </c>
      <c r="P912">
        <v>4.2027005564012203</v>
      </c>
      <c r="Q912">
        <v>18.367945185220201</v>
      </c>
      <c r="R912">
        <v>36.888223253582098</v>
      </c>
      <c r="S912">
        <v>1.58639035169134</v>
      </c>
      <c r="T912">
        <v>41.950261137486599</v>
      </c>
      <c r="U912">
        <v>-4.1135298709210198E-2</v>
      </c>
      <c r="V912">
        <v>40.253002880138297</v>
      </c>
    </row>
    <row r="913" spans="1:22" x14ac:dyDescent="0.25">
      <c r="A913" t="str">
        <f t="shared" si="14"/>
        <v>Kyrgyz Republic2024</v>
      </c>
      <c r="B913" t="s">
        <v>131</v>
      </c>
      <c r="C913" t="s">
        <v>132</v>
      </c>
      <c r="D913">
        <v>2024</v>
      </c>
      <c r="E913">
        <v>2420.1854228383099</v>
      </c>
      <c r="F913">
        <v>9.0401355612001204</v>
      </c>
      <c r="G913">
        <v>4.9976070120732299</v>
      </c>
      <c r="H913">
        <v>10</v>
      </c>
      <c r="I913">
        <v>5.6819438995971199</v>
      </c>
      <c r="J913">
        <v>3.4910000000000001</v>
      </c>
      <c r="K913">
        <v>25.6307764379006</v>
      </c>
      <c r="L913">
        <v>31.6125287881916</v>
      </c>
      <c r="M913">
        <v>4.7400641255585203</v>
      </c>
      <c r="N913">
        <v>61.351480754205703</v>
      </c>
      <c r="O913">
        <v>29.7809636564477</v>
      </c>
      <c r="P913">
        <v>4.2027005564012203</v>
      </c>
      <c r="Q913">
        <v>18.367945185220201</v>
      </c>
      <c r="R913">
        <v>43.442991557840202</v>
      </c>
      <c r="S913">
        <v>1.7078743855054701</v>
      </c>
      <c r="T913">
        <v>36.229699979929897</v>
      </c>
      <c r="U913">
        <v>9.1776446038263598E-2</v>
      </c>
      <c r="V913">
        <v>42.800366820621299</v>
      </c>
    </row>
    <row r="914" spans="1:22" x14ac:dyDescent="0.25">
      <c r="A914" t="str">
        <f t="shared" si="14"/>
        <v>Kyrgyz Republic2025</v>
      </c>
      <c r="B914" t="s">
        <v>131</v>
      </c>
      <c r="C914" t="s">
        <v>132</v>
      </c>
      <c r="D914">
        <v>2025</v>
      </c>
      <c r="E914">
        <v>1264.5266882389101</v>
      </c>
      <c r="F914">
        <v>4.6006256570759803</v>
      </c>
      <c r="G914">
        <v>6.50331838993384</v>
      </c>
      <c r="H914">
        <v>10</v>
      </c>
      <c r="I914">
        <v>5.1107557922805604</v>
      </c>
      <c r="J914">
        <v>3.5259999999999998</v>
      </c>
      <c r="K914">
        <v>25.6307764379006</v>
      </c>
      <c r="L914">
        <v>28.130846772161899</v>
      </c>
      <c r="M914">
        <v>8.4152254362138894</v>
      </c>
      <c r="N914">
        <v>59.488277666114001</v>
      </c>
      <c r="O914">
        <v>33.939179293735101</v>
      </c>
      <c r="P914">
        <v>4.2027005564012203</v>
      </c>
      <c r="Q914">
        <v>18.367945185220201</v>
      </c>
      <c r="R914">
        <v>36.888223253582098</v>
      </c>
      <c r="S914">
        <v>-6.6800094799802395E-2</v>
      </c>
      <c r="T914">
        <v>36.025417272390897</v>
      </c>
      <c r="U914">
        <v>-0.15878441856660699</v>
      </c>
      <c r="V914">
        <v>37.9981598177461</v>
      </c>
    </row>
    <row r="915" spans="1:22" x14ac:dyDescent="0.25">
      <c r="A915" t="str">
        <f t="shared" si="14"/>
        <v>Lao PDR2010</v>
      </c>
      <c r="B915" t="s">
        <v>133</v>
      </c>
      <c r="C915" t="s">
        <v>134</v>
      </c>
      <c r="D915">
        <v>2010</v>
      </c>
      <c r="E915">
        <v>1125.9161015126101</v>
      </c>
      <c r="F915">
        <v>8.5269055173971697</v>
      </c>
      <c r="G915">
        <v>5.9825452155008199</v>
      </c>
      <c r="H915">
        <v>5</v>
      </c>
      <c r="I915">
        <v>3.7817202946420601</v>
      </c>
      <c r="J915">
        <v>0.70799999999999996</v>
      </c>
      <c r="K915">
        <v>11.0270983449829</v>
      </c>
      <c r="L915">
        <v>14.5046102489181</v>
      </c>
      <c r="M915">
        <v>9.1965711113867492</v>
      </c>
      <c r="N915">
        <v>66.870150336601597</v>
      </c>
      <c r="O915">
        <v>27.462487740191499</v>
      </c>
      <c r="P915">
        <v>5.9002604798796003</v>
      </c>
      <c r="Q915">
        <v>9.6747172520821394</v>
      </c>
      <c r="R915">
        <v>35.384026037955998</v>
      </c>
      <c r="S915">
        <v>-1.4691368397992099</v>
      </c>
      <c r="T915">
        <v>49.315028991799899</v>
      </c>
      <c r="U915">
        <v>-0.79482835874314794</v>
      </c>
      <c r="V915">
        <v>25.807849617193199</v>
      </c>
    </row>
    <row r="916" spans="1:22" x14ac:dyDescent="0.25">
      <c r="A916" t="str">
        <f t="shared" si="14"/>
        <v>Lao PDR2011</v>
      </c>
      <c r="B916" t="s">
        <v>133</v>
      </c>
      <c r="C916" t="s">
        <v>134</v>
      </c>
      <c r="D916">
        <v>2011</v>
      </c>
      <c r="E916">
        <v>1361.5470439491301</v>
      </c>
      <c r="F916">
        <v>8.0386526802372504</v>
      </c>
      <c r="G916">
        <v>7.5689885610997996</v>
      </c>
      <c r="H916">
        <v>5</v>
      </c>
      <c r="I916">
        <v>3.86552588542291</v>
      </c>
      <c r="J916">
        <v>0.96</v>
      </c>
      <c r="K916">
        <v>10.7431744902983</v>
      </c>
      <c r="L916">
        <v>14.491490277038899</v>
      </c>
      <c r="M916">
        <v>10.4687175993929</v>
      </c>
      <c r="N916">
        <v>65.106087476598603</v>
      </c>
      <c r="O916">
        <v>28.067802524981399</v>
      </c>
      <c r="P916">
        <v>4.9681859940353403</v>
      </c>
      <c r="Q916">
        <v>18.403078150197199</v>
      </c>
      <c r="R916">
        <v>40.3431560976816</v>
      </c>
      <c r="S916">
        <v>-1.42907137272667</v>
      </c>
      <c r="T916">
        <v>43.0045042716635</v>
      </c>
      <c r="U916">
        <v>-0.69356792965175595</v>
      </c>
      <c r="V916">
        <v>27.7485898140458</v>
      </c>
    </row>
    <row r="917" spans="1:22" x14ac:dyDescent="0.25">
      <c r="A917" t="str">
        <f t="shared" si="14"/>
        <v>Lao PDR2012</v>
      </c>
      <c r="B917" t="s">
        <v>133</v>
      </c>
      <c r="C917" t="s">
        <v>134</v>
      </c>
      <c r="D917">
        <v>2012</v>
      </c>
      <c r="E917">
        <v>1563.5650771337</v>
      </c>
      <c r="F917">
        <v>8.0260984346128303</v>
      </c>
      <c r="G917">
        <v>4.2551267783208999</v>
      </c>
      <c r="H917">
        <v>5</v>
      </c>
      <c r="I917">
        <v>3.94854837675476</v>
      </c>
      <c r="J917">
        <v>1.208</v>
      </c>
      <c r="K917">
        <v>10.9849961277883</v>
      </c>
      <c r="L917">
        <v>15.228245638195499</v>
      </c>
      <c r="M917">
        <v>7.5288593049568799</v>
      </c>
      <c r="N917">
        <v>63.561964576759699</v>
      </c>
      <c r="O917">
        <v>32.504255276610998</v>
      </c>
      <c r="P917">
        <v>3.8806575616945702</v>
      </c>
      <c r="Q917">
        <v>6.8680009450220796</v>
      </c>
      <c r="R917">
        <v>37.876728350175902</v>
      </c>
      <c r="S917">
        <v>-2.3441853322802202</v>
      </c>
      <c r="T917">
        <v>46.103242283077698</v>
      </c>
      <c r="U917">
        <v>-0.87988924723221396</v>
      </c>
      <c r="V917">
        <v>24.177587065947801</v>
      </c>
    </row>
    <row r="918" spans="1:22" x14ac:dyDescent="0.25">
      <c r="A918" t="str">
        <f t="shared" si="14"/>
        <v>Lao PDR2013</v>
      </c>
      <c r="B918" t="s">
        <v>133</v>
      </c>
      <c r="C918" t="s">
        <v>134</v>
      </c>
      <c r="D918">
        <v>2013</v>
      </c>
      <c r="E918">
        <v>1812.5177442465099</v>
      </c>
      <c r="F918">
        <v>8.0263002269901698</v>
      </c>
      <c r="G918">
        <v>6.37142717782947</v>
      </c>
      <c r="H918">
        <v>5</v>
      </c>
      <c r="I918">
        <v>4.0294283292705204</v>
      </c>
      <c r="J918">
        <v>1.4690000000000001</v>
      </c>
      <c r="K918">
        <v>16.8133673347985</v>
      </c>
      <c r="L918">
        <v>15.6329490555884</v>
      </c>
      <c r="M918">
        <v>6.4739720834333703</v>
      </c>
      <c r="N918">
        <v>62.165930899898598</v>
      </c>
      <c r="O918">
        <v>30.6473220372757</v>
      </c>
      <c r="P918">
        <v>2.9760379272708999</v>
      </c>
      <c r="Q918">
        <v>5.7172310685791796</v>
      </c>
      <c r="R918">
        <v>38.173103398300398</v>
      </c>
      <c r="S918">
        <v>-4.0306742309408303</v>
      </c>
      <c r="T918">
        <v>49.493353414293601</v>
      </c>
      <c r="U918">
        <v>-0.90593311915426</v>
      </c>
      <c r="V918">
        <v>23.678434637162599</v>
      </c>
    </row>
    <row r="919" spans="1:22" x14ac:dyDescent="0.25">
      <c r="A919" t="str">
        <f t="shared" si="14"/>
        <v>Lao PDR2014</v>
      </c>
      <c r="B919" t="s">
        <v>133</v>
      </c>
      <c r="C919" t="s">
        <v>134</v>
      </c>
      <c r="D919">
        <v>2014</v>
      </c>
      <c r="E919">
        <v>1981.0391090047301</v>
      </c>
      <c r="F919">
        <v>7.6119634397931897</v>
      </c>
      <c r="G919">
        <v>4.1292430687377104</v>
      </c>
      <c r="H919">
        <v>5</v>
      </c>
      <c r="I919">
        <v>4.1117178637007896</v>
      </c>
      <c r="J919">
        <v>1.7330000000000001</v>
      </c>
      <c r="K919">
        <v>15.4860759577741</v>
      </c>
      <c r="L919">
        <v>16.092664363215999</v>
      </c>
      <c r="M919">
        <v>5.7265591817456398</v>
      </c>
      <c r="N919">
        <v>60.851485552413401</v>
      </c>
      <c r="O919">
        <v>29.801351400444702</v>
      </c>
      <c r="P919">
        <v>2.31357537630688</v>
      </c>
      <c r="Q919">
        <v>10.1718371634744</v>
      </c>
      <c r="R919">
        <v>40.754546651149703</v>
      </c>
      <c r="S919">
        <v>-3.1322313833500601</v>
      </c>
      <c r="T919">
        <v>53.534106052026502</v>
      </c>
      <c r="U919">
        <v>-0.82407159112584505</v>
      </c>
      <c r="V919">
        <v>25.247378788852298</v>
      </c>
    </row>
    <row r="920" spans="1:22" x14ac:dyDescent="0.25">
      <c r="A920" t="str">
        <f t="shared" si="14"/>
        <v>Lao PDR2015</v>
      </c>
      <c r="B920" t="s">
        <v>133</v>
      </c>
      <c r="C920" t="s">
        <v>134</v>
      </c>
      <c r="D920">
        <v>2015</v>
      </c>
      <c r="E920">
        <v>2121.0133909736301</v>
      </c>
      <c r="F920">
        <v>7.27006584373785</v>
      </c>
      <c r="G920">
        <v>1.2773542710299199</v>
      </c>
      <c r="H920">
        <v>5</v>
      </c>
      <c r="I920">
        <v>4.1310885726108504</v>
      </c>
      <c r="J920">
        <v>2.0059999999999998</v>
      </c>
      <c r="K920">
        <v>14.892283287278699</v>
      </c>
      <c r="L920">
        <v>15.8072953979463</v>
      </c>
      <c r="M920">
        <v>2.3484960068591798</v>
      </c>
      <c r="N920">
        <v>59.654858037781203</v>
      </c>
      <c r="O920">
        <v>31.556651604237</v>
      </c>
      <c r="P920">
        <v>1.8032850186048901</v>
      </c>
      <c r="Q920">
        <v>10.747365472472501</v>
      </c>
      <c r="R920">
        <v>33.952257308190902</v>
      </c>
      <c r="S920">
        <v>-5.5703646010910104</v>
      </c>
      <c r="T920">
        <v>53.0522094559268</v>
      </c>
      <c r="U920">
        <v>-0.98331553470092503</v>
      </c>
      <c r="V920">
        <v>22.195336395050401</v>
      </c>
    </row>
    <row r="921" spans="1:22" x14ac:dyDescent="0.25">
      <c r="A921" t="str">
        <f t="shared" si="14"/>
        <v>Lao PDR2016</v>
      </c>
      <c r="B921" t="s">
        <v>133</v>
      </c>
      <c r="C921" t="s">
        <v>134</v>
      </c>
      <c r="D921">
        <v>2016</v>
      </c>
      <c r="E921">
        <v>2303.2215603536301</v>
      </c>
      <c r="F921">
        <v>7.0228362550113799</v>
      </c>
      <c r="G921">
        <v>1.59691227583204</v>
      </c>
      <c r="H921">
        <v>9</v>
      </c>
      <c r="I921">
        <v>4.1018324087278497</v>
      </c>
      <c r="J921">
        <v>2.6339999999999999</v>
      </c>
      <c r="K921">
        <v>13.8677242784984</v>
      </c>
      <c r="L921">
        <v>14.696590633064799</v>
      </c>
      <c r="M921">
        <v>3.0223064425633801</v>
      </c>
      <c r="N921">
        <v>58.634824292373999</v>
      </c>
      <c r="O921">
        <v>29.0076540961796</v>
      </c>
      <c r="P921">
        <v>1.60498643498032</v>
      </c>
      <c r="Q921">
        <v>17.638795525537599</v>
      </c>
      <c r="R921">
        <v>33.209427456122</v>
      </c>
      <c r="S921">
        <v>-5.0601183025070302</v>
      </c>
      <c r="T921">
        <v>54.474308544121698</v>
      </c>
      <c r="U921">
        <v>-0.70267030273947695</v>
      </c>
      <c r="V921">
        <v>27.574135276408501</v>
      </c>
    </row>
    <row r="922" spans="1:22" x14ac:dyDescent="0.25">
      <c r="A922" t="str">
        <f t="shared" si="14"/>
        <v>Lao PDR2017</v>
      </c>
      <c r="B922" t="s">
        <v>133</v>
      </c>
      <c r="C922" t="s">
        <v>134</v>
      </c>
      <c r="D922">
        <v>2017</v>
      </c>
      <c r="E922">
        <v>2432.4305947851099</v>
      </c>
      <c r="F922">
        <v>6.8925308726988996</v>
      </c>
      <c r="G922">
        <v>0.82547860756802605</v>
      </c>
      <c r="H922">
        <v>9</v>
      </c>
      <c r="I922">
        <v>4.1022224242381897</v>
      </c>
      <c r="J922">
        <v>3.2679999999999998</v>
      </c>
      <c r="K922">
        <v>12.335534888347301</v>
      </c>
      <c r="L922">
        <v>14.6214039802357</v>
      </c>
      <c r="M922">
        <v>1.85209676121123</v>
      </c>
      <c r="N922">
        <v>57.802268320745199</v>
      </c>
      <c r="O922">
        <v>29.801351400444702</v>
      </c>
      <c r="P922">
        <v>1.83634042604336</v>
      </c>
      <c r="Q922">
        <v>10.1718371634744</v>
      </c>
      <c r="R922">
        <v>37.876728350175902</v>
      </c>
      <c r="S922">
        <v>-5.5086716053659597</v>
      </c>
      <c r="T922">
        <v>57.198236502043997</v>
      </c>
      <c r="U922">
        <v>-0.79399359016464199</v>
      </c>
      <c r="V922">
        <v>25.823848650081999</v>
      </c>
    </row>
    <row r="923" spans="1:22" x14ac:dyDescent="0.25">
      <c r="A923" t="str">
        <f t="shared" si="14"/>
        <v>Lao PDR2018</v>
      </c>
      <c r="B923" t="s">
        <v>133</v>
      </c>
      <c r="C923" t="s">
        <v>134</v>
      </c>
      <c r="D923">
        <v>2018</v>
      </c>
      <c r="E923">
        <v>2545.1075420815</v>
      </c>
      <c r="F923">
        <v>6.2479600075587198</v>
      </c>
      <c r="G923">
        <v>2.04039266890201</v>
      </c>
      <c r="H923">
        <v>9</v>
      </c>
      <c r="I923">
        <v>4.1282707951479001</v>
      </c>
      <c r="J923">
        <v>2.8969999999999998</v>
      </c>
      <c r="K923">
        <v>12.310264175206999</v>
      </c>
      <c r="L923">
        <v>14.3221960942513</v>
      </c>
      <c r="M923">
        <v>1.91988919391754</v>
      </c>
      <c r="N923">
        <v>57.109247764877203</v>
      </c>
      <c r="O923">
        <v>29.801351400444702</v>
      </c>
      <c r="P923">
        <v>1.3971219709339699</v>
      </c>
      <c r="Q923">
        <v>10.1718371634744</v>
      </c>
      <c r="R923">
        <v>37.876728350175902</v>
      </c>
      <c r="S923">
        <v>-4.4649368772626401</v>
      </c>
      <c r="T923">
        <v>60.587855615435501</v>
      </c>
      <c r="U923">
        <v>-0.75741877999687002</v>
      </c>
      <c r="V923">
        <v>26.524835253849901</v>
      </c>
    </row>
    <row r="924" spans="1:22" x14ac:dyDescent="0.25">
      <c r="A924" t="str">
        <f t="shared" si="14"/>
        <v>Lao PDR2019</v>
      </c>
      <c r="B924" t="s">
        <v>133</v>
      </c>
      <c r="C924" t="s">
        <v>134</v>
      </c>
      <c r="D924">
        <v>2019</v>
      </c>
      <c r="E924">
        <v>2589.3208103523698</v>
      </c>
      <c r="F924">
        <v>5.4577350924847998</v>
      </c>
      <c r="G924">
        <v>3.32255881256925</v>
      </c>
      <c r="H924">
        <v>9</v>
      </c>
      <c r="I924">
        <v>4.1774900103770101</v>
      </c>
      <c r="J924">
        <v>2.5310000000000001</v>
      </c>
      <c r="K924">
        <v>12.4478555242012</v>
      </c>
      <c r="L924">
        <v>13.960874313082799</v>
      </c>
      <c r="M924">
        <v>1.1974239210929201</v>
      </c>
      <c r="N924">
        <v>56.490362214006403</v>
      </c>
      <c r="O924">
        <v>29.801351400444702</v>
      </c>
      <c r="P924">
        <v>1.53282830517499</v>
      </c>
      <c r="Q924">
        <v>10.1718371634744</v>
      </c>
      <c r="R924">
        <v>37.876728350175902</v>
      </c>
      <c r="S924">
        <v>-3.2026390574852002</v>
      </c>
      <c r="T924">
        <v>69.129439594947002</v>
      </c>
      <c r="U924">
        <v>-0.72061672669503796</v>
      </c>
      <c r="V924">
        <v>27.230177160954799</v>
      </c>
    </row>
    <row r="925" spans="1:22" x14ac:dyDescent="0.25">
      <c r="A925" t="str">
        <f t="shared" si="14"/>
        <v>Lao PDR2020</v>
      </c>
      <c r="B925" t="s">
        <v>133</v>
      </c>
      <c r="C925" t="s">
        <v>134</v>
      </c>
      <c r="D925">
        <v>2020</v>
      </c>
      <c r="E925">
        <v>2583.7773069613099</v>
      </c>
      <c r="F925">
        <v>0.50303182901868104</v>
      </c>
      <c r="G925">
        <v>5.1040726295991901</v>
      </c>
      <c r="H925">
        <v>9</v>
      </c>
      <c r="I925">
        <v>4.2415180222778597</v>
      </c>
      <c r="J925">
        <v>2.3490000000000002</v>
      </c>
      <c r="K925">
        <v>11.447710373245</v>
      </c>
      <c r="L925">
        <v>11.220134784454601</v>
      </c>
      <c r="M925">
        <v>5.0345041254451699</v>
      </c>
      <c r="N925">
        <v>55.881202782572501</v>
      </c>
      <c r="O925">
        <v>29.801351400444702</v>
      </c>
      <c r="P925">
        <v>3.2018005064691599</v>
      </c>
      <c r="Q925">
        <v>10.1718371634744</v>
      </c>
      <c r="R925">
        <v>37.876728350175902</v>
      </c>
      <c r="S925">
        <v>-5.36660959753603</v>
      </c>
      <c r="T925">
        <v>75.419733196559406</v>
      </c>
      <c r="U925">
        <v>-0.90105764712751402</v>
      </c>
      <c r="V925">
        <v>23.7718771065047</v>
      </c>
    </row>
    <row r="926" spans="1:22" x14ac:dyDescent="0.25">
      <c r="A926" t="str">
        <f t="shared" si="14"/>
        <v>Lao PDR2021</v>
      </c>
      <c r="B926" t="s">
        <v>133</v>
      </c>
      <c r="C926" t="s">
        <v>134</v>
      </c>
      <c r="D926">
        <v>2021</v>
      </c>
      <c r="E926">
        <v>2526.05105018529</v>
      </c>
      <c r="F926">
        <v>2.5283510048610198</v>
      </c>
      <c r="G926">
        <v>3.75562036658877</v>
      </c>
      <c r="H926">
        <v>9</v>
      </c>
      <c r="I926">
        <v>4.3180684897017603</v>
      </c>
      <c r="J926">
        <v>2.08</v>
      </c>
      <c r="K926">
        <v>10.7627930320176</v>
      </c>
      <c r="L926">
        <v>12.820864906523299</v>
      </c>
      <c r="M926">
        <v>3.71344836687553</v>
      </c>
      <c r="N926">
        <v>55.251813636849398</v>
      </c>
      <c r="O926">
        <v>29.801351400444702</v>
      </c>
      <c r="P926">
        <v>3.0360494265737898</v>
      </c>
      <c r="Q926">
        <v>10.1718371634744</v>
      </c>
      <c r="R926">
        <v>37.876728350175902</v>
      </c>
      <c r="S926">
        <v>-0.66921466893067405</v>
      </c>
      <c r="T926">
        <v>92.206976421709797</v>
      </c>
      <c r="U926">
        <v>-0.68735160706014398</v>
      </c>
      <c r="V926">
        <v>27.867730797729202</v>
      </c>
    </row>
    <row r="927" spans="1:22" x14ac:dyDescent="0.25">
      <c r="A927" t="str">
        <f t="shared" si="14"/>
        <v>Lao PDR2022</v>
      </c>
      <c r="B927" t="s">
        <v>133</v>
      </c>
      <c r="C927" t="s">
        <v>134</v>
      </c>
      <c r="D927">
        <v>2022</v>
      </c>
      <c r="E927">
        <v>2046.40440255621</v>
      </c>
      <c r="F927">
        <v>2.7074265264315498</v>
      </c>
      <c r="G927">
        <v>22.956222513205599</v>
      </c>
      <c r="H927">
        <v>9</v>
      </c>
      <c r="I927">
        <v>4.4171076692277396</v>
      </c>
      <c r="J927">
        <v>1.2090000000000001</v>
      </c>
      <c r="K927">
        <v>10.3160241648868</v>
      </c>
      <c r="L927">
        <v>13.9139885255551</v>
      </c>
      <c r="M927">
        <v>15.773945922601101</v>
      </c>
      <c r="N927">
        <v>54.640795432832299</v>
      </c>
      <c r="O927">
        <v>29.801351400444702</v>
      </c>
      <c r="P927">
        <v>1.9963310113746799</v>
      </c>
      <c r="Q927">
        <v>10.1718371634744</v>
      </c>
      <c r="R927">
        <v>37.876728350175902</v>
      </c>
      <c r="S927">
        <v>5.9289564791976702E-2</v>
      </c>
      <c r="T927">
        <v>115.720032505986</v>
      </c>
      <c r="U927">
        <v>-0.69565949002389904</v>
      </c>
      <c r="V927">
        <v>27.708503322957601</v>
      </c>
    </row>
    <row r="928" spans="1:22" x14ac:dyDescent="0.25">
      <c r="A928" t="str">
        <f t="shared" si="14"/>
        <v>Lao PDR2023</v>
      </c>
      <c r="B928" t="s">
        <v>133</v>
      </c>
      <c r="C928" t="s">
        <v>134</v>
      </c>
      <c r="D928">
        <v>2023</v>
      </c>
      <c r="E928">
        <v>2066.9497977695701</v>
      </c>
      <c r="F928">
        <v>3.7456814015823201</v>
      </c>
      <c r="G928">
        <v>31.230134173264599</v>
      </c>
      <c r="H928">
        <v>9</v>
      </c>
      <c r="I928">
        <v>4.5354708435787803</v>
      </c>
      <c r="J928">
        <v>1.1859999999999999</v>
      </c>
      <c r="K928">
        <v>12.310264175206999</v>
      </c>
      <c r="L928">
        <v>14.5046102489181</v>
      </c>
      <c r="M928">
        <v>24.421720206669299</v>
      </c>
      <c r="N928">
        <v>54.066928423233598</v>
      </c>
      <c r="O928">
        <v>29.801351400444702</v>
      </c>
      <c r="P928">
        <v>2.1685120667715099</v>
      </c>
      <c r="Q928">
        <v>10.1718371634744</v>
      </c>
      <c r="R928">
        <v>37.876728350175902</v>
      </c>
      <c r="S928">
        <v>-1.22561621432611E-2</v>
      </c>
      <c r="T928">
        <v>108.88485653688601</v>
      </c>
      <c r="U928">
        <v>-0.64131126890688706</v>
      </c>
      <c r="V928">
        <v>28.750132104265901</v>
      </c>
    </row>
    <row r="929" spans="1:22" x14ac:dyDescent="0.25">
      <c r="A929" t="str">
        <f t="shared" si="14"/>
        <v>Lao PDR2024</v>
      </c>
      <c r="B929" t="s">
        <v>133</v>
      </c>
      <c r="C929" t="s">
        <v>134</v>
      </c>
      <c r="D929">
        <v>2024</v>
      </c>
      <c r="E929">
        <v>2123.9790941510901</v>
      </c>
      <c r="F929">
        <v>4.1301926443693704</v>
      </c>
      <c r="G929">
        <v>23.130569594258802</v>
      </c>
      <c r="H929">
        <v>9</v>
      </c>
      <c r="I929">
        <v>4.6657843638313796</v>
      </c>
      <c r="J929">
        <v>1.1739999999999999</v>
      </c>
      <c r="K929">
        <v>12.310264175206999</v>
      </c>
      <c r="L929">
        <v>14.5046102489181</v>
      </c>
      <c r="M929">
        <v>14.048882119165199</v>
      </c>
      <c r="N929">
        <v>53.525396695550697</v>
      </c>
      <c r="O929">
        <v>29.801351400444702</v>
      </c>
      <c r="P929">
        <v>2.3940588652385899</v>
      </c>
      <c r="Q929">
        <v>10.1718371634744</v>
      </c>
      <c r="R929">
        <v>37.876728350175902</v>
      </c>
      <c r="S929">
        <v>2.3563022185255398</v>
      </c>
      <c r="T929">
        <v>94.682229960094006</v>
      </c>
      <c r="U929">
        <v>-0.48510450738409999</v>
      </c>
      <c r="V929">
        <v>31.743964382359799</v>
      </c>
    </row>
    <row r="930" spans="1:22" x14ac:dyDescent="0.25">
      <c r="A930" t="str">
        <f t="shared" si="14"/>
        <v>Lao PDR2025</v>
      </c>
      <c r="B930" t="s">
        <v>133</v>
      </c>
      <c r="C930" t="s">
        <v>134</v>
      </c>
      <c r="D930">
        <v>2025</v>
      </c>
      <c r="E930">
        <v>2121.0133909736301</v>
      </c>
      <c r="F930">
        <v>6.8925308726988996</v>
      </c>
      <c r="G930">
        <v>4.2551267783208999</v>
      </c>
      <c r="H930">
        <v>9</v>
      </c>
      <c r="I930">
        <v>4.1282707951479001</v>
      </c>
      <c r="J930">
        <v>1.1870000000000001</v>
      </c>
      <c r="K930">
        <v>12.310264175206999</v>
      </c>
      <c r="L930">
        <v>14.5046102489181</v>
      </c>
      <c r="M930">
        <v>5.7265591817456398</v>
      </c>
      <c r="N930">
        <v>57.802268320745199</v>
      </c>
      <c r="O930">
        <v>29.801351400444702</v>
      </c>
      <c r="P930">
        <v>2.31357537630688</v>
      </c>
      <c r="Q930">
        <v>10.1718371634744</v>
      </c>
      <c r="R930">
        <v>37.876728350175902</v>
      </c>
      <c r="S930">
        <v>1.6398633565229801</v>
      </c>
      <c r="T930">
        <v>80.616483401081794</v>
      </c>
      <c r="U930">
        <v>-0.49504003139396902</v>
      </c>
      <c r="V930">
        <v>31.553541815560799</v>
      </c>
    </row>
    <row r="931" spans="1:22" x14ac:dyDescent="0.25">
      <c r="A931" t="str">
        <f t="shared" si="14"/>
        <v>Latvia2010</v>
      </c>
      <c r="B931" t="s">
        <v>135</v>
      </c>
      <c r="C931" t="s">
        <v>136</v>
      </c>
      <c r="D931">
        <v>2010</v>
      </c>
      <c r="E931">
        <v>11188.419170097701</v>
      </c>
      <c r="F931">
        <v>-3.6612585955476198</v>
      </c>
      <c r="G931">
        <v>-1.0846359501515499</v>
      </c>
      <c r="H931">
        <v>11</v>
      </c>
      <c r="I931">
        <v>18.2544494766261</v>
      </c>
      <c r="J931">
        <v>19.481999999999999</v>
      </c>
      <c r="K931">
        <v>39.578168630965401</v>
      </c>
      <c r="L931">
        <v>27.302462126770099</v>
      </c>
      <c r="M931">
        <v>-0.48386131772707602</v>
      </c>
      <c r="N931">
        <v>47.998526756514799</v>
      </c>
      <c r="O931">
        <v>20.931339462878501</v>
      </c>
      <c r="P931">
        <v>6.3412608010901002</v>
      </c>
      <c r="Q931">
        <v>22.746568476739</v>
      </c>
      <c r="R931">
        <v>54.365455505868098</v>
      </c>
      <c r="S931">
        <v>-6.5603017305089004</v>
      </c>
      <c r="T931">
        <v>48.182129711618899</v>
      </c>
      <c r="U931">
        <v>-6.6545702473163803E-3</v>
      </c>
      <c r="V931">
        <v>40.913854669363502</v>
      </c>
    </row>
    <row r="932" spans="1:22" x14ac:dyDescent="0.25">
      <c r="A932" t="str">
        <f t="shared" si="14"/>
        <v>Latvia2011</v>
      </c>
      <c r="B932" t="s">
        <v>135</v>
      </c>
      <c r="C932" t="s">
        <v>136</v>
      </c>
      <c r="D932">
        <v>2011</v>
      </c>
      <c r="E932">
        <v>12902.574053337001</v>
      </c>
      <c r="F932">
        <v>3.0363448266881501</v>
      </c>
      <c r="G932">
        <v>4.3707355993922299</v>
      </c>
      <c r="H932">
        <v>11</v>
      </c>
      <c r="I932">
        <v>18.4754761239579</v>
      </c>
      <c r="J932">
        <v>16.206</v>
      </c>
      <c r="K932">
        <v>35.149733800764302</v>
      </c>
      <c r="L932">
        <v>28.5531242447924</v>
      </c>
      <c r="M932">
        <v>4.7081070974448904</v>
      </c>
      <c r="N932">
        <v>48.624345076555997</v>
      </c>
      <c r="O932">
        <v>26.774563928094299</v>
      </c>
      <c r="P932">
        <v>3.8766282420586502</v>
      </c>
      <c r="Q932">
        <v>23.3548647698682</v>
      </c>
      <c r="R932">
        <v>61.801743555300298</v>
      </c>
      <c r="S932">
        <v>-3.3848925079571699</v>
      </c>
      <c r="T932">
        <v>46.808486851757699</v>
      </c>
      <c r="U932">
        <v>0.22549074917980699</v>
      </c>
      <c r="V932">
        <v>45.363112459065299</v>
      </c>
    </row>
    <row r="933" spans="1:22" x14ac:dyDescent="0.25">
      <c r="A933" t="str">
        <f t="shared" si="14"/>
        <v>Latvia2012</v>
      </c>
      <c r="B933" t="s">
        <v>135</v>
      </c>
      <c r="C933" t="s">
        <v>136</v>
      </c>
      <c r="D933">
        <v>2012</v>
      </c>
      <c r="E933">
        <v>13329.3499931271</v>
      </c>
      <c r="F933">
        <v>7.3052405720089704</v>
      </c>
      <c r="G933">
        <v>2.25778924374585</v>
      </c>
      <c r="H933">
        <v>11</v>
      </c>
      <c r="I933">
        <v>18.6755010177509</v>
      </c>
      <c r="J933">
        <v>15.047000000000001</v>
      </c>
      <c r="K933">
        <v>31.934102041448799</v>
      </c>
      <c r="L933">
        <v>28.790286882414499</v>
      </c>
      <c r="M933">
        <v>2.87856729481426</v>
      </c>
      <c r="N933">
        <v>49.340369974225602</v>
      </c>
      <c r="O933">
        <v>28.639673212022998</v>
      </c>
      <c r="P933">
        <v>4.3761406350489098</v>
      </c>
      <c r="Q933">
        <v>24.8625029497768</v>
      </c>
      <c r="R933">
        <v>63.831514922580297</v>
      </c>
      <c r="S933">
        <v>0.18182084106237001</v>
      </c>
      <c r="T933">
        <v>44.370524812326202</v>
      </c>
      <c r="U933">
        <v>0.44764762371541</v>
      </c>
      <c r="V933">
        <v>49.6209334093328</v>
      </c>
    </row>
    <row r="934" spans="1:22" x14ac:dyDescent="0.25">
      <c r="A934" t="str">
        <f t="shared" si="14"/>
        <v>Latvia2013</v>
      </c>
      <c r="B934" t="s">
        <v>135</v>
      </c>
      <c r="C934" t="s">
        <v>136</v>
      </c>
      <c r="D934">
        <v>2013</v>
      </c>
      <c r="E934">
        <v>14484.4715282132</v>
      </c>
      <c r="F934">
        <v>2.0960902815624798</v>
      </c>
      <c r="G934">
        <v>-2.9454778257827999E-2</v>
      </c>
      <c r="H934">
        <v>11</v>
      </c>
      <c r="I934">
        <v>18.929687383569899</v>
      </c>
      <c r="J934">
        <v>11.867000000000001</v>
      </c>
      <c r="K934">
        <v>31.689815260778602</v>
      </c>
      <c r="L934">
        <v>28.786789221610501</v>
      </c>
      <c r="M934">
        <v>1.9005296911793199</v>
      </c>
      <c r="N934">
        <v>50.3815864191996</v>
      </c>
      <c r="O934">
        <v>25.298238178176</v>
      </c>
      <c r="P934">
        <v>4.4424599196872396</v>
      </c>
      <c r="Q934">
        <v>22.697900695899499</v>
      </c>
      <c r="R934">
        <v>62.575980271261102</v>
      </c>
      <c r="S934">
        <v>-0.58115108804943605</v>
      </c>
      <c r="T934">
        <v>41.774090700524397</v>
      </c>
      <c r="U934">
        <v>0.44908475427904299</v>
      </c>
      <c r="V934">
        <v>49.648477209788602</v>
      </c>
    </row>
    <row r="935" spans="1:22" x14ac:dyDescent="0.25">
      <c r="A935" t="str">
        <f t="shared" si="14"/>
        <v>Latvia2014</v>
      </c>
      <c r="B935" t="s">
        <v>135</v>
      </c>
      <c r="C935" t="s">
        <v>136</v>
      </c>
      <c r="D935">
        <v>2014</v>
      </c>
      <c r="E935">
        <v>15185.814581236</v>
      </c>
      <c r="F935">
        <v>2.0949597710558998</v>
      </c>
      <c r="G935">
        <v>0.620490636732421</v>
      </c>
      <c r="H935">
        <v>11</v>
      </c>
      <c r="I935">
        <v>19.2414909818675</v>
      </c>
      <c r="J935">
        <v>10.846</v>
      </c>
      <c r="K935">
        <v>32.282040261942399</v>
      </c>
      <c r="L935">
        <v>28.960692182994599</v>
      </c>
      <c r="M935">
        <v>1.6699491899627801</v>
      </c>
      <c r="N935">
        <v>51.717047966548598</v>
      </c>
      <c r="O935">
        <v>24.665943119733399</v>
      </c>
      <c r="P935">
        <v>1.7784970525125301</v>
      </c>
      <c r="Q935">
        <v>23.1866242636419</v>
      </c>
      <c r="R935">
        <v>63.572101627410198</v>
      </c>
      <c r="S935">
        <v>-1.74328035310762</v>
      </c>
      <c r="T935">
        <v>43.078905880564101</v>
      </c>
      <c r="U935">
        <v>0.41194692470124999</v>
      </c>
      <c r="V935">
        <v>48.936699871570603</v>
      </c>
    </row>
    <row r="936" spans="1:22" x14ac:dyDescent="0.25">
      <c r="A936" t="str">
        <f t="shared" si="14"/>
        <v>Latvia2015</v>
      </c>
      <c r="B936" t="s">
        <v>135</v>
      </c>
      <c r="C936" t="s">
        <v>136</v>
      </c>
      <c r="D936">
        <v>2015</v>
      </c>
      <c r="E936">
        <v>13321.975314061599</v>
      </c>
      <c r="F936">
        <v>3.7833671208497202</v>
      </c>
      <c r="G936">
        <v>0.17424224362518601</v>
      </c>
      <c r="H936">
        <v>11</v>
      </c>
      <c r="I936">
        <v>19.524315841257302</v>
      </c>
      <c r="J936">
        <v>9.8729999999999993</v>
      </c>
      <c r="K936">
        <v>31.233805825011299</v>
      </c>
      <c r="L936">
        <v>28.814046576219301</v>
      </c>
      <c r="M936">
        <v>0.38688741781984998</v>
      </c>
      <c r="N936">
        <v>53.002244516949197</v>
      </c>
      <c r="O936">
        <v>24.149732505911</v>
      </c>
      <c r="P936">
        <v>2.2433415282398101</v>
      </c>
      <c r="Q936">
        <v>24.034220100603001</v>
      </c>
      <c r="R936">
        <v>62.595562557574397</v>
      </c>
      <c r="S936">
        <v>-1.57301442535224</v>
      </c>
      <c r="T936">
        <v>38.279140818725999</v>
      </c>
      <c r="U936">
        <v>0.45264126799613202</v>
      </c>
      <c r="V936">
        <v>49.716640748036902</v>
      </c>
    </row>
    <row r="937" spans="1:22" x14ac:dyDescent="0.25">
      <c r="A937" t="str">
        <f t="shared" si="14"/>
        <v>Latvia2016</v>
      </c>
      <c r="B937" t="s">
        <v>135</v>
      </c>
      <c r="C937" t="s">
        <v>136</v>
      </c>
      <c r="D937">
        <v>2016</v>
      </c>
      <c r="E937">
        <v>13838.5266823272</v>
      </c>
      <c r="F937">
        <v>2.5516860197403402</v>
      </c>
      <c r="G937">
        <v>0.140633334505327</v>
      </c>
      <c r="H937">
        <v>11</v>
      </c>
      <c r="I937">
        <v>19.775387361259401</v>
      </c>
      <c r="J937">
        <v>9.6430000000000007</v>
      </c>
      <c r="K937">
        <v>30.689066866779498</v>
      </c>
      <c r="L937">
        <v>29.8586049719461</v>
      </c>
      <c r="M937">
        <v>0.60793058331536498</v>
      </c>
      <c r="N937">
        <v>54.275787464807401</v>
      </c>
      <c r="O937">
        <v>21.7559480147378</v>
      </c>
      <c r="P937">
        <v>2.3067788707113901</v>
      </c>
      <c r="Q937">
        <v>23.5340624876014</v>
      </c>
      <c r="R937">
        <v>61.928419644664103</v>
      </c>
      <c r="S937">
        <v>-0.40922588220249201</v>
      </c>
      <c r="T937">
        <v>41.734131159484697</v>
      </c>
      <c r="U937">
        <v>0.51536152783266198</v>
      </c>
      <c r="V937">
        <v>50.918726602442497</v>
      </c>
    </row>
    <row r="938" spans="1:22" x14ac:dyDescent="0.25">
      <c r="A938" t="str">
        <f t="shared" si="14"/>
        <v>Latvia2017</v>
      </c>
      <c r="B938" t="s">
        <v>135</v>
      </c>
      <c r="C938" t="s">
        <v>136</v>
      </c>
      <c r="D938">
        <v>2017</v>
      </c>
      <c r="E938">
        <v>15132.495833398199</v>
      </c>
      <c r="F938">
        <v>3.3989487262393099</v>
      </c>
      <c r="G938">
        <v>2.9303631237466501</v>
      </c>
      <c r="H938">
        <v>11</v>
      </c>
      <c r="I938">
        <v>20.010794844419401</v>
      </c>
      <c r="J938">
        <v>8.7149999999999999</v>
      </c>
      <c r="K938">
        <v>30.425906349079</v>
      </c>
      <c r="L938">
        <v>29.5842915482447</v>
      </c>
      <c r="M938">
        <v>2.7092399520610702</v>
      </c>
      <c r="N938">
        <v>55.479844636069899</v>
      </c>
      <c r="O938">
        <v>22.712038008192099</v>
      </c>
      <c r="P938">
        <v>2.6547387721376698</v>
      </c>
      <c r="Q938">
        <v>24.2142839199763</v>
      </c>
      <c r="R938">
        <v>64.139954263975596</v>
      </c>
      <c r="S938">
        <v>-0.85297250476917996</v>
      </c>
      <c r="T938">
        <v>40.329585296262103</v>
      </c>
      <c r="U938">
        <v>0.53566012317629297</v>
      </c>
      <c r="V938">
        <v>51.307766035481798</v>
      </c>
    </row>
    <row r="939" spans="1:22" x14ac:dyDescent="0.25">
      <c r="A939" t="str">
        <f t="shared" si="14"/>
        <v>Latvia2018</v>
      </c>
      <c r="B939" t="s">
        <v>135</v>
      </c>
      <c r="C939" t="s">
        <v>136</v>
      </c>
      <c r="D939">
        <v>2018</v>
      </c>
      <c r="E939">
        <v>17252.171042862599</v>
      </c>
      <c r="F939">
        <v>4.3097128629450303</v>
      </c>
      <c r="G939">
        <v>2.5344542418659799</v>
      </c>
      <c r="H939">
        <v>11</v>
      </c>
      <c r="I939">
        <v>20.1981958800325</v>
      </c>
      <c r="J939">
        <v>7.4119999999999999</v>
      </c>
      <c r="K939">
        <v>30.6512990258421</v>
      </c>
      <c r="L939">
        <v>29.498452462812502</v>
      </c>
      <c r="M939">
        <v>3.7402787396845398</v>
      </c>
      <c r="N939">
        <v>56.325631046225098</v>
      </c>
      <c r="O939">
        <v>23.8742877736126</v>
      </c>
      <c r="P939">
        <v>2.2144213467795701</v>
      </c>
      <c r="Q939">
        <v>23.476522412721501</v>
      </c>
      <c r="R939">
        <v>63.869818693223401</v>
      </c>
      <c r="S939">
        <v>-0.76515088954669297</v>
      </c>
      <c r="T939">
        <v>38.304373385299499</v>
      </c>
      <c r="U939">
        <v>0.57267028756570004</v>
      </c>
      <c r="V939">
        <v>52.017096564368003</v>
      </c>
    </row>
    <row r="940" spans="1:22" x14ac:dyDescent="0.25">
      <c r="A940" t="str">
        <f t="shared" si="14"/>
        <v>Latvia2019</v>
      </c>
      <c r="B940" t="s">
        <v>135</v>
      </c>
      <c r="C940" t="s">
        <v>136</v>
      </c>
      <c r="D940">
        <v>2019</v>
      </c>
      <c r="E940">
        <v>17294.975160096899</v>
      </c>
      <c r="F940">
        <v>0.67537277188422695</v>
      </c>
      <c r="G940">
        <v>2.8114092007562399</v>
      </c>
      <c r="H940">
        <v>11</v>
      </c>
      <c r="I940">
        <v>20.407227220084199</v>
      </c>
      <c r="J940">
        <v>6.3120000000000003</v>
      </c>
      <c r="K940">
        <v>31.765233815901698</v>
      </c>
      <c r="L940">
        <v>29.645265679803</v>
      </c>
      <c r="M940">
        <v>4.31638188410186</v>
      </c>
      <c r="N940">
        <v>57.102833121408104</v>
      </c>
      <c r="O940">
        <v>23.338474537880899</v>
      </c>
      <c r="P940">
        <v>2.3500965952494099</v>
      </c>
      <c r="Q940">
        <v>23.164430555279701</v>
      </c>
      <c r="R940">
        <v>62.536843016307301</v>
      </c>
      <c r="S940">
        <v>-0.39357953274964802</v>
      </c>
      <c r="T940">
        <v>37.910845720538703</v>
      </c>
      <c r="U940">
        <v>0.58160698695462498</v>
      </c>
      <c r="V940">
        <v>52.188375828014301</v>
      </c>
    </row>
    <row r="941" spans="1:22" x14ac:dyDescent="0.25">
      <c r="A941" t="str">
        <f t="shared" si="14"/>
        <v>Latvia2020</v>
      </c>
      <c r="B941" t="s">
        <v>135</v>
      </c>
      <c r="C941" t="s">
        <v>136</v>
      </c>
      <c r="D941">
        <v>2020</v>
      </c>
      <c r="E941">
        <v>17564.232154935398</v>
      </c>
      <c r="F941">
        <v>-3.4692275078055399</v>
      </c>
      <c r="G941">
        <v>0.21906490484198499</v>
      </c>
      <c r="H941">
        <v>11</v>
      </c>
      <c r="I941">
        <v>20.672170955753302</v>
      </c>
      <c r="J941">
        <v>8.0980000000000008</v>
      </c>
      <c r="K941">
        <v>36.218915465670101</v>
      </c>
      <c r="L941">
        <v>31.3524787899402</v>
      </c>
      <c r="M941">
        <v>2.3933269390426202</v>
      </c>
      <c r="N941">
        <v>57.903093670911304</v>
      </c>
      <c r="O941">
        <v>22.155425922364699</v>
      </c>
      <c r="P941">
        <v>2.8874507299794598</v>
      </c>
      <c r="Q941">
        <v>25.192900143331499</v>
      </c>
      <c r="R941">
        <v>62.6592422617585</v>
      </c>
      <c r="S941">
        <v>-3.8477320818029601</v>
      </c>
      <c r="T941">
        <v>44.036922172519702</v>
      </c>
      <c r="U941">
        <v>0.42544608121786498</v>
      </c>
      <c r="V941">
        <v>49.195422414132103</v>
      </c>
    </row>
    <row r="942" spans="1:22" x14ac:dyDescent="0.25">
      <c r="A942" t="str">
        <f t="shared" si="14"/>
        <v>Latvia2021</v>
      </c>
      <c r="B942" t="s">
        <v>135</v>
      </c>
      <c r="C942" t="s">
        <v>136</v>
      </c>
      <c r="D942">
        <v>2021</v>
      </c>
      <c r="E942">
        <v>20261.8887788916</v>
      </c>
      <c r="F942">
        <v>6.9425417306259201</v>
      </c>
      <c r="G942">
        <v>3.27582937431165</v>
      </c>
      <c r="H942">
        <v>11</v>
      </c>
      <c r="I942">
        <v>20.846160903739801</v>
      </c>
      <c r="J942">
        <v>7.5129999999999999</v>
      </c>
      <c r="K942">
        <v>38.527134633154297</v>
      </c>
      <c r="L942">
        <v>30.798482420536899</v>
      </c>
      <c r="M942">
        <v>3.29734326527044</v>
      </c>
      <c r="N942">
        <v>58.353717613782898</v>
      </c>
      <c r="O942">
        <v>25.722828173244501</v>
      </c>
      <c r="P942">
        <v>2.25959634157255</v>
      </c>
      <c r="Q942">
        <v>21.6543449994798</v>
      </c>
      <c r="R942">
        <v>66.811276957384706</v>
      </c>
      <c r="S942">
        <v>-5.7141919923095603</v>
      </c>
      <c r="T942">
        <v>45.873810752928001</v>
      </c>
      <c r="U942">
        <v>0.434498663536382</v>
      </c>
      <c r="V942">
        <v>49.368922670337902</v>
      </c>
    </row>
    <row r="943" spans="1:22" x14ac:dyDescent="0.25">
      <c r="A943" t="str">
        <f t="shared" si="14"/>
        <v>Latvia2022</v>
      </c>
      <c r="B943" t="s">
        <v>135</v>
      </c>
      <c r="C943" t="s">
        <v>136</v>
      </c>
      <c r="D943">
        <v>2022</v>
      </c>
      <c r="E943">
        <v>20221.103686109</v>
      </c>
      <c r="F943">
        <v>1.90853419029801</v>
      </c>
      <c r="G943">
        <v>17.310283019881499</v>
      </c>
      <c r="H943">
        <v>11</v>
      </c>
      <c r="I943">
        <v>21.0117630297337</v>
      </c>
      <c r="J943">
        <v>6.8150000000000004</v>
      </c>
      <c r="K943">
        <v>36.3543864374317</v>
      </c>
      <c r="L943">
        <v>30.919450221869798</v>
      </c>
      <c r="M943">
        <v>9.6924657025934398</v>
      </c>
      <c r="N943">
        <v>58.573500587673998</v>
      </c>
      <c r="O943">
        <v>24.6702240089291</v>
      </c>
      <c r="P943">
        <v>1.5783891093661699</v>
      </c>
      <c r="Q943">
        <v>19.182986294538601</v>
      </c>
      <c r="R943">
        <v>77.501483842328696</v>
      </c>
      <c r="S943">
        <v>-3.94553729673722</v>
      </c>
      <c r="T943">
        <v>44.442948995013502</v>
      </c>
      <c r="U943">
        <v>0.492089233693149</v>
      </c>
      <c r="V943">
        <v>50.472693763012501</v>
      </c>
    </row>
    <row r="944" spans="1:22" x14ac:dyDescent="0.25">
      <c r="A944" t="str">
        <f t="shared" si="14"/>
        <v>Latvia2023</v>
      </c>
      <c r="B944" t="s">
        <v>135</v>
      </c>
      <c r="C944" t="s">
        <v>136</v>
      </c>
      <c r="D944">
        <v>2023</v>
      </c>
      <c r="E944">
        <v>22710.263754419699</v>
      </c>
      <c r="F944">
        <v>-0.94160606882363096</v>
      </c>
      <c r="G944">
        <v>8.9380462331663004</v>
      </c>
      <c r="H944">
        <v>11</v>
      </c>
      <c r="I944">
        <v>21.3320948408305</v>
      </c>
      <c r="J944">
        <v>6.4649999999999999</v>
      </c>
      <c r="K944">
        <v>34.195193682696299</v>
      </c>
      <c r="L944">
        <v>31.957874262202701</v>
      </c>
      <c r="M944">
        <v>10.672473743766799</v>
      </c>
      <c r="N944">
        <v>58.791030470806703</v>
      </c>
      <c r="O944">
        <v>24.691629844045199</v>
      </c>
      <c r="P944">
        <v>1.758211629851</v>
      </c>
      <c r="Q944">
        <v>20.8699835014902</v>
      </c>
      <c r="R944">
        <v>65.989655148271495</v>
      </c>
      <c r="S944">
        <v>-3.36157843693212</v>
      </c>
      <c r="T944">
        <v>44.430293728898398</v>
      </c>
      <c r="U944">
        <v>0.48951491482516002</v>
      </c>
      <c r="V944">
        <v>50.423354804532302</v>
      </c>
    </row>
    <row r="945" spans="1:22" x14ac:dyDescent="0.25">
      <c r="A945" t="str">
        <f t="shared" si="14"/>
        <v>Latvia2024</v>
      </c>
      <c r="B945" t="s">
        <v>135</v>
      </c>
      <c r="C945" t="s">
        <v>136</v>
      </c>
      <c r="D945">
        <v>2024</v>
      </c>
      <c r="E945">
        <v>23409.084515477502</v>
      </c>
      <c r="F945">
        <v>-4.6108010971352101E-2</v>
      </c>
      <c r="G945">
        <v>1.2657988582872901</v>
      </c>
      <c r="H945">
        <v>11</v>
      </c>
      <c r="I945">
        <v>21.7358403074143</v>
      </c>
      <c r="J945">
        <v>6.9</v>
      </c>
      <c r="K945">
        <v>32.108071151695597</v>
      </c>
      <c r="L945">
        <v>34.1012233424727</v>
      </c>
      <c r="M945">
        <v>2.0569658448042398</v>
      </c>
      <c r="N945">
        <v>59.106810188639002</v>
      </c>
      <c r="O945">
        <v>20.894249090658501</v>
      </c>
      <c r="P945">
        <v>1.8478806072137499</v>
      </c>
      <c r="Q945">
        <v>19.328671262310401</v>
      </c>
      <c r="R945">
        <v>65.334130371428003</v>
      </c>
      <c r="S945">
        <v>-1.7228502826144301</v>
      </c>
      <c r="T945">
        <v>46.249515302973599</v>
      </c>
      <c r="U945">
        <v>0.61099978381396203</v>
      </c>
      <c r="V945">
        <v>52.751713183728597</v>
      </c>
    </row>
    <row r="946" spans="1:22" x14ac:dyDescent="0.25">
      <c r="A946" t="str">
        <f t="shared" si="14"/>
        <v>Latvia2025</v>
      </c>
      <c r="B946" t="s">
        <v>135</v>
      </c>
      <c r="C946" t="s">
        <v>136</v>
      </c>
      <c r="D946">
        <v>2025</v>
      </c>
      <c r="E946">
        <v>15185.814581236</v>
      </c>
      <c r="F946">
        <v>2.0960902815624798</v>
      </c>
      <c r="G946">
        <v>2.25778924374585</v>
      </c>
      <c r="H946">
        <v>11</v>
      </c>
      <c r="I946">
        <v>20.010794844419401</v>
      </c>
      <c r="J946">
        <v>6.5679999999999996</v>
      </c>
      <c r="K946">
        <v>32.108071151695597</v>
      </c>
      <c r="L946">
        <v>29.5842915482447</v>
      </c>
      <c r="M946">
        <v>2.7092399520610702</v>
      </c>
      <c r="N946">
        <v>55.479844636069899</v>
      </c>
      <c r="O946">
        <v>24.149732505911</v>
      </c>
      <c r="P946">
        <v>2.3067788707113901</v>
      </c>
      <c r="Q946">
        <v>23.1866242636419</v>
      </c>
      <c r="R946">
        <v>63.572101627410198</v>
      </c>
      <c r="S946">
        <v>-4.0457089760574103</v>
      </c>
      <c r="T946">
        <v>46.948149996910402</v>
      </c>
      <c r="U946">
        <v>0.39191327809384102</v>
      </c>
      <c r="V946">
        <v>48.552738401039498</v>
      </c>
    </row>
    <row r="947" spans="1:22" x14ac:dyDescent="0.25">
      <c r="A947" t="str">
        <f t="shared" si="14"/>
        <v>Lebanon2010</v>
      </c>
      <c r="B947" t="s">
        <v>137</v>
      </c>
      <c r="C947" t="s">
        <v>138</v>
      </c>
      <c r="D947">
        <v>2010</v>
      </c>
      <c r="E947">
        <v>7625.81051551165</v>
      </c>
      <c r="F947">
        <v>7.9751355584493204</v>
      </c>
      <c r="G947">
        <v>3.9834794185583302</v>
      </c>
      <c r="H947">
        <v>9</v>
      </c>
      <c r="I947">
        <v>5.9443241489079801</v>
      </c>
      <c r="J947">
        <v>6.7679999999999998</v>
      </c>
      <c r="K947">
        <v>25.843342879315699</v>
      </c>
      <c r="L947">
        <v>20.0747521911706</v>
      </c>
      <c r="M947">
        <v>0.578606723263135</v>
      </c>
      <c r="N947">
        <v>47.828589659453698</v>
      </c>
      <c r="O947">
        <v>24.9372585130013</v>
      </c>
      <c r="P947">
        <v>16.5857428867061</v>
      </c>
      <c r="Q947">
        <v>4.9333408616799304</v>
      </c>
      <c r="R947">
        <v>35.023122866407</v>
      </c>
      <c r="S947">
        <v>-7.4661241070504101</v>
      </c>
      <c r="T947">
        <v>136.829209372951</v>
      </c>
      <c r="U947">
        <v>-0.66689058328492001</v>
      </c>
      <c r="V947">
        <v>28.2598833065191</v>
      </c>
    </row>
    <row r="948" spans="1:22" x14ac:dyDescent="0.25">
      <c r="A948" t="str">
        <f t="shared" si="14"/>
        <v>Lebanon2011</v>
      </c>
      <c r="B948" t="s">
        <v>137</v>
      </c>
      <c r="C948" t="s">
        <v>138</v>
      </c>
      <c r="D948">
        <v>2011</v>
      </c>
      <c r="E948">
        <v>7834.96257108993</v>
      </c>
      <c r="F948">
        <v>0.86733987855276995</v>
      </c>
      <c r="G948">
        <v>4.9714857169238398</v>
      </c>
      <c r="H948">
        <v>9</v>
      </c>
      <c r="I948">
        <v>6.0409784458284701</v>
      </c>
      <c r="J948">
        <v>7.3520000000000003</v>
      </c>
      <c r="K948">
        <v>26.397013480784899</v>
      </c>
      <c r="L948">
        <v>21.8602330242067</v>
      </c>
      <c r="M948">
        <v>2.96508062083976</v>
      </c>
      <c r="N948">
        <v>47.448365777060999</v>
      </c>
      <c r="O948">
        <v>26.8463657489038</v>
      </c>
      <c r="P948">
        <v>17.4585392339282</v>
      </c>
      <c r="Q948">
        <v>2.7009270311115299</v>
      </c>
      <c r="R948">
        <v>36.363097231561298</v>
      </c>
      <c r="S948">
        <v>-5.9449531782688103</v>
      </c>
      <c r="T948">
        <v>134.38611064960901</v>
      </c>
      <c r="U948">
        <v>-0.66768986626756999</v>
      </c>
      <c r="V948">
        <v>28.244564384537298</v>
      </c>
    </row>
    <row r="949" spans="1:22" x14ac:dyDescent="0.25">
      <c r="A949" t="str">
        <f t="shared" si="14"/>
        <v>Lebanon2012</v>
      </c>
      <c r="B949" t="s">
        <v>137</v>
      </c>
      <c r="C949" t="s">
        <v>138</v>
      </c>
      <c r="D949">
        <v>2012</v>
      </c>
      <c r="E949">
        <v>8406.9840560811808</v>
      </c>
      <c r="F949">
        <v>2.5647913368003801</v>
      </c>
      <c r="G949">
        <v>6.5814744768367701</v>
      </c>
      <c r="H949">
        <v>9</v>
      </c>
      <c r="I949">
        <v>6.1517737123028597</v>
      </c>
      <c r="J949">
        <v>7.952</v>
      </c>
      <c r="K949">
        <v>26.799205531194598</v>
      </c>
      <c r="L949">
        <v>19.944129496993401</v>
      </c>
      <c r="M949">
        <v>7.4860518754923397</v>
      </c>
      <c r="N949">
        <v>47.206467283318702</v>
      </c>
      <c r="O949">
        <v>24.787297880123901</v>
      </c>
      <c r="P949">
        <v>18.581168272587298</v>
      </c>
      <c r="Q949">
        <v>-2.52730346687893</v>
      </c>
      <c r="R949">
        <v>28.809212878115101</v>
      </c>
      <c r="S949">
        <v>-8.4348509735953705</v>
      </c>
      <c r="T949">
        <v>131.05708946226099</v>
      </c>
      <c r="U949">
        <v>-0.82157002514968502</v>
      </c>
      <c r="V949">
        <v>25.295323377756102</v>
      </c>
    </row>
    <row r="950" spans="1:22" x14ac:dyDescent="0.25">
      <c r="A950" t="str">
        <f t="shared" si="14"/>
        <v>Lebanon2013</v>
      </c>
      <c r="B950" t="s">
        <v>137</v>
      </c>
      <c r="C950" t="s">
        <v>138</v>
      </c>
      <c r="D950">
        <v>2013</v>
      </c>
      <c r="E950">
        <v>8162.3792936139598</v>
      </c>
      <c r="F950">
        <v>3.8278734986015999</v>
      </c>
      <c r="G950">
        <v>4.8210195629739898</v>
      </c>
      <c r="H950">
        <v>10</v>
      </c>
      <c r="I950">
        <v>6.2849132222494299</v>
      </c>
      <c r="J950">
        <v>8.4770000000000003</v>
      </c>
      <c r="K950">
        <v>26.691992996117801</v>
      </c>
      <c r="L950">
        <v>18.505520242264001</v>
      </c>
      <c r="M950">
        <v>2.5784510922661799</v>
      </c>
      <c r="N950">
        <v>47.090816754326298</v>
      </c>
      <c r="O950">
        <v>27.6124294369186</v>
      </c>
      <c r="P950">
        <v>16.1599599729186</v>
      </c>
      <c r="Q950">
        <v>-2.3190113090768798</v>
      </c>
      <c r="R950">
        <v>26.646754746661902</v>
      </c>
      <c r="S950">
        <v>-8.8253422566309006</v>
      </c>
      <c r="T950">
        <v>135.43748407733401</v>
      </c>
      <c r="U950">
        <v>-0.87352637946981104</v>
      </c>
      <c r="V950">
        <v>24.299536709501101</v>
      </c>
    </row>
    <row r="951" spans="1:22" x14ac:dyDescent="0.25">
      <c r="A951" t="str">
        <f t="shared" si="14"/>
        <v>Lebanon2014</v>
      </c>
      <c r="B951" t="s">
        <v>137</v>
      </c>
      <c r="C951" t="s">
        <v>138</v>
      </c>
      <c r="D951">
        <v>2014</v>
      </c>
      <c r="E951">
        <v>7577.6413302369001</v>
      </c>
      <c r="F951">
        <v>2.4840601050074298</v>
      </c>
      <c r="G951">
        <v>1.8546042134091001</v>
      </c>
      <c r="H951">
        <v>10</v>
      </c>
      <c r="I951">
        <v>6.4389808051548201</v>
      </c>
      <c r="J951">
        <v>8.84</v>
      </c>
      <c r="K951">
        <v>25.9468799781231</v>
      </c>
      <c r="L951">
        <v>19.9176468501458</v>
      </c>
      <c r="M951">
        <v>0.10527862325946601</v>
      </c>
      <c r="N951">
        <v>47.077583965526301</v>
      </c>
      <c r="O951">
        <v>24.967195141808102</v>
      </c>
      <c r="P951">
        <v>16.759154046476301</v>
      </c>
      <c r="Q951">
        <v>-3.63119820571979</v>
      </c>
      <c r="R951">
        <v>23.756164498468401</v>
      </c>
      <c r="S951">
        <v>-6.2204428776462102</v>
      </c>
      <c r="T951">
        <v>138.479478899285</v>
      </c>
      <c r="U951">
        <v>-0.76426626279405097</v>
      </c>
      <c r="V951">
        <v>26.3935975607946</v>
      </c>
    </row>
    <row r="952" spans="1:22" x14ac:dyDescent="0.25">
      <c r="A952" t="str">
        <f t="shared" si="14"/>
        <v>Lebanon2015</v>
      </c>
      <c r="B952" t="s">
        <v>137</v>
      </c>
      <c r="C952" t="s">
        <v>138</v>
      </c>
      <c r="D952">
        <v>2015</v>
      </c>
      <c r="E952">
        <v>7714.1099998804002</v>
      </c>
      <c r="F952">
        <v>0.46232079259758102</v>
      </c>
      <c r="G952">
        <v>-3.7491452479962901</v>
      </c>
      <c r="H952">
        <v>10</v>
      </c>
      <c r="I952">
        <v>6.78958060672056</v>
      </c>
      <c r="J952">
        <v>9.3119999999999994</v>
      </c>
      <c r="K952">
        <v>22.8975511838178</v>
      </c>
      <c r="L952">
        <v>17.124767963796099</v>
      </c>
      <c r="M952">
        <v>3.33578444902192</v>
      </c>
      <c r="N952">
        <v>48.336458210864897</v>
      </c>
      <c r="O952">
        <v>22.222779257098601</v>
      </c>
      <c r="P952">
        <v>17.244948829945301</v>
      </c>
      <c r="Q952">
        <v>2.4404106173714202</v>
      </c>
      <c r="R952">
        <v>23.139667726802401</v>
      </c>
      <c r="S952">
        <v>-7.489396779812</v>
      </c>
      <c r="T952">
        <v>140.943719835666</v>
      </c>
      <c r="U952">
        <v>-0.83466230590429702</v>
      </c>
      <c r="V952">
        <v>25.0443989469894</v>
      </c>
    </row>
    <row r="953" spans="1:22" x14ac:dyDescent="0.25">
      <c r="A953" t="str">
        <f t="shared" si="14"/>
        <v>Lebanon2016</v>
      </c>
      <c r="B953" t="s">
        <v>137</v>
      </c>
      <c r="C953" t="s">
        <v>138</v>
      </c>
      <c r="D953">
        <v>2016</v>
      </c>
      <c r="E953">
        <v>8089.0120881550001</v>
      </c>
      <c r="F953">
        <v>1.55454940856943</v>
      </c>
      <c r="G953">
        <v>-0.78335962436150797</v>
      </c>
      <c r="H953">
        <v>10</v>
      </c>
      <c r="I953">
        <v>7.32786873190107</v>
      </c>
      <c r="J953">
        <v>9.7940000000000005</v>
      </c>
      <c r="K953">
        <v>25.847004898603</v>
      </c>
      <c r="L953">
        <v>17.740085132284499</v>
      </c>
      <c r="M953">
        <v>0.87129520217637002</v>
      </c>
      <c r="N953">
        <v>50.872129507807898</v>
      </c>
      <c r="O953">
        <v>23.142571371806099</v>
      </c>
      <c r="P953">
        <v>18.873387694358399</v>
      </c>
      <c r="Q953">
        <v>2.0642578575627102</v>
      </c>
      <c r="R953">
        <v>21.7261558874138</v>
      </c>
      <c r="S953">
        <v>-8.9768959597415705</v>
      </c>
      <c r="T953">
        <v>147.941866408062</v>
      </c>
      <c r="U953">
        <v>-0.89753246517752605</v>
      </c>
      <c r="V953">
        <v>23.839440145422699</v>
      </c>
    </row>
    <row r="954" spans="1:22" x14ac:dyDescent="0.25">
      <c r="A954" t="str">
        <f t="shared" si="14"/>
        <v>Lebanon2017</v>
      </c>
      <c r="B954" t="s">
        <v>137</v>
      </c>
      <c r="C954" t="s">
        <v>138</v>
      </c>
      <c r="D954">
        <v>2017</v>
      </c>
      <c r="E954">
        <v>8608.2108498238704</v>
      </c>
      <c r="F954">
        <v>0.90302846407381299</v>
      </c>
      <c r="G954">
        <v>4.3213521830319097</v>
      </c>
      <c r="H954">
        <v>10</v>
      </c>
      <c r="I954">
        <v>7.8471502540206997</v>
      </c>
      <c r="J954">
        <v>10.257999999999999</v>
      </c>
      <c r="K954">
        <v>25.983589260113899</v>
      </c>
      <c r="L954">
        <v>19.968372567221301</v>
      </c>
      <c r="M954">
        <v>2.7485363221939001</v>
      </c>
      <c r="N954">
        <v>53.359231248181104</v>
      </c>
      <c r="O954">
        <v>21.787935227325999</v>
      </c>
      <c r="P954">
        <v>18.779846613491401</v>
      </c>
      <c r="Q954">
        <v>-0.93485677442119897</v>
      </c>
      <c r="R954">
        <v>21.926933186023799</v>
      </c>
      <c r="S954">
        <v>-8.6781991294203191</v>
      </c>
      <c r="T954">
        <v>150.40455611726401</v>
      </c>
      <c r="U954">
        <v>-0.89255519595035504</v>
      </c>
      <c r="V954">
        <v>23.934833642629901</v>
      </c>
    </row>
    <row r="955" spans="1:22" x14ac:dyDescent="0.25">
      <c r="A955" t="str">
        <f t="shared" si="14"/>
        <v>Lebanon2018</v>
      </c>
      <c r="B955" t="s">
        <v>137</v>
      </c>
      <c r="C955" t="s">
        <v>138</v>
      </c>
      <c r="D955">
        <v>2018</v>
      </c>
      <c r="E955">
        <v>9174.5366620475907</v>
      </c>
      <c r="F955">
        <v>-1.8847057563165099</v>
      </c>
      <c r="G955">
        <v>6.0769890788960703</v>
      </c>
      <c r="H955">
        <v>10</v>
      </c>
      <c r="I955">
        <v>8.3300809751543206</v>
      </c>
      <c r="J955">
        <v>10.755000000000001</v>
      </c>
      <c r="K955">
        <v>29.346196765678101</v>
      </c>
      <c r="L955">
        <v>19.269171366608202</v>
      </c>
      <c r="M955">
        <v>5.5224871010746597</v>
      </c>
      <c r="N955">
        <v>55.744445728408301</v>
      </c>
      <c r="O955">
        <v>22.487103401962202</v>
      </c>
      <c r="P955">
        <v>17.122208897462901</v>
      </c>
      <c r="Q955">
        <v>-3.7986917816569501</v>
      </c>
      <c r="R955">
        <v>20.754521158756599</v>
      </c>
      <c r="S955">
        <v>-11.2202905853699</v>
      </c>
      <c r="T955">
        <v>153.987450359332</v>
      </c>
      <c r="U955">
        <v>-1.09583810796234</v>
      </c>
      <c r="V955">
        <v>20.038747854578901</v>
      </c>
    </row>
    <row r="956" spans="1:22" x14ac:dyDescent="0.25">
      <c r="A956" t="str">
        <f t="shared" si="14"/>
        <v>Lebanon2019</v>
      </c>
      <c r="B956" t="s">
        <v>137</v>
      </c>
      <c r="C956" t="s">
        <v>138</v>
      </c>
      <c r="D956">
        <v>2019</v>
      </c>
      <c r="E956">
        <v>8905.8800549743701</v>
      </c>
      <c r="F956">
        <v>-6.9149247285102602</v>
      </c>
      <c r="G956">
        <v>3.0053894939038299</v>
      </c>
      <c r="H956">
        <v>10</v>
      </c>
      <c r="I956">
        <v>8.7797091565000098</v>
      </c>
      <c r="J956">
        <v>11.301</v>
      </c>
      <c r="K956">
        <v>29.1875576254008</v>
      </c>
      <c r="L956">
        <v>19.338141975816502</v>
      </c>
      <c r="M956">
        <v>4.0948231557302401</v>
      </c>
      <c r="N956">
        <v>57.947939773335001</v>
      </c>
      <c r="O956">
        <v>12.322474260976101</v>
      </c>
      <c r="P956">
        <v>17.653893850484199</v>
      </c>
      <c r="Q956">
        <v>-6.0152641373432498</v>
      </c>
      <c r="R956">
        <v>20.697758956757699</v>
      </c>
      <c r="S956">
        <v>-10.504175613271901</v>
      </c>
      <c r="T956">
        <v>171.916026829602</v>
      </c>
      <c r="U956">
        <v>-1.0908867981491599</v>
      </c>
      <c r="V956">
        <v>20.133643818063501</v>
      </c>
    </row>
    <row r="957" spans="1:22" x14ac:dyDescent="0.25">
      <c r="A957" t="str">
        <f t="shared" si="14"/>
        <v>Lebanon2020</v>
      </c>
      <c r="B957" t="s">
        <v>137</v>
      </c>
      <c r="C957" t="s">
        <v>138</v>
      </c>
      <c r="D957">
        <v>2020</v>
      </c>
      <c r="E957">
        <v>5561.1916695039699</v>
      </c>
      <c r="F957">
        <v>-21.3998996914321</v>
      </c>
      <c r="G957">
        <v>84.864333047204099</v>
      </c>
      <c r="H957">
        <v>10</v>
      </c>
      <c r="I957">
        <v>9.1237063007270205</v>
      </c>
      <c r="J957">
        <v>13.252000000000001</v>
      </c>
      <c r="K957">
        <v>14.9448707575471</v>
      </c>
      <c r="L957">
        <v>11.557443617157601</v>
      </c>
      <c r="M957">
        <v>85.5420423400206</v>
      </c>
      <c r="N957">
        <v>58.907388705711298</v>
      </c>
      <c r="O957">
        <v>8.0981773663119405</v>
      </c>
      <c r="P957">
        <v>28.567185412578201</v>
      </c>
      <c r="Q957">
        <v>2.23546317065147</v>
      </c>
      <c r="R957">
        <v>16.372586867648099</v>
      </c>
      <c r="S957">
        <v>-7.7893274645649599</v>
      </c>
      <c r="T957">
        <v>157.203010799607</v>
      </c>
      <c r="U957">
        <v>-1.1775342206343999</v>
      </c>
      <c r="V957">
        <v>18.472974025532899</v>
      </c>
    </row>
    <row r="958" spans="1:22" x14ac:dyDescent="0.25">
      <c r="A958" t="str">
        <f t="shared" si="14"/>
        <v>Lebanon2021</v>
      </c>
      <c r="B958" t="s">
        <v>137</v>
      </c>
      <c r="C958" t="s">
        <v>138</v>
      </c>
      <c r="D958">
        <v>2021</v>
      </c>
      <c r="E958">
        <v>4045.3739106623402</v>
      </c>
      <c r="F958">
        <v>-7.00123862514116</v>
      </c>
      <c r="G958">
        <v>154.75609602339301</v>
      </c>
      <c r="H958">
        <v>10</v>
      </c>
      <c r="I958">
        <v>9.3044717570271995</v>
      </c>
      <c r="J958">
        <v>12.715</v>
      </c>
      <c r="K958">
        <v>6.2957110844761202</v>
      </c>
      <c r="L958">
        <v>6.8680452696318799</v>
      </c>
      <c r="M958">
        <v>150.00071680373699</v>
      </c>
      <c r="N958">
        <v>58.4888831484012</v>
      </c>
      <c r="O958">
        <v>5.3594843433489698</v>
      </c>
      <c r="P958">
        <v>21.5617265304802</v>
      </c>
      <c r="Q958">
        <v>-6.6036212140640602</v>
      </c>
      <c r="R958">
        <v>26.025627692713702</v>
      </c>
      <c r="S958">
        <v>-2.5693674660469101</v>
      </c>
      <c r="T958">
        <v>345.52270726363798</v>
      </c>
      <c r="U958">
        <v>-1.4794919671812301</v>
      </c>
      <c r="V958">
        <v>12.6857031070424</v>
      </c>
    </row>
    <row r="959" spans="1:22" x14ac:dyDescent="0.25">
      <c r="A959" t="str">
        <f t="shared" si="14"/>
        <v>Lebanon2022</v>
      </c>
      <c r="B959" t="s">
        <v>137</v>
      </c>
      <c r="C959" t="s">
        <v>138</v>
      </c>
      <c r="D959">
        <v>2022</v>
      </c>
      <c r="E959">
        <v>3654.3584553487799</v>
      </c>
      <c r="F959">
        <v>-0.62167897066311195</v>
      </c>
      <c r="G959">
        <v>171.20549133664099</v>
      </c>
      <c r="H959">
        <v>10</v>
      </c>
      <c r="I959">
        <v>9.5134666907245098</v>
      </c>
      <c r="J959">
        <v>11.105</v>
      </c>
      <c r="K959">
        <v>25.965234619118402</v>
      </c>
      <c r="L959">
        <v>19.269171366608202</v>
      </c>
      <c r="M959">
        <v>112.14947899881901</v>
      </c>
      <c r="N959">
        <v>57.974995654957397</v>
      </c>
      <c r="O959">
        <v>1.22517144706489</v>
      </c>
      <c r="P959">
        <v>14.9029115890041</v>
      </c>
      <c r="Q959">
        <v>-21.782641557798399</v>
      </c>
      <c r="R959">
        <v>34.828779246046899</v>
      </c>
      <c r="S959">
        <v>-7.4862530933514799</v>
      </c>
      <c r="T959">
        <v>235.89534120630199</v>
      </c>
      <c r="U959">
        <v>-1.13232846635996</v>
      </c>
      <c r="V959">
        <v>19.3393798391036</v>
      </c>
    </row>
    <row r="960" spans="1:22" x14ac:dyDescent="0.25">
      <c r="A960" t="str">
        <f t="shared" si="14"/>
        <v>Lebanon2023</v>
      </c>
      <c r="B960" t="s">
        <v>137</v>
      </c>
      <c r="C960" t="s">
        <v>138</v>
      </c>
      <c r="D960">
        <v>2023</v>
      </c>
      <c r="E960">
        <v>3477.7248984268399</v>
      </c>
      <c r="F960">
        <v>-0.76058447025731402</v>
      </c>
      <c r="G960">
        <v>221.34164402336501</v>
      </c>
      <c r="H960">
        <v>10</v>
      </c>
      <c r="I960">
        <v>9.8244260298250996</v>
      </c>
      <c r="J960">
        <v>10.984999999999999</v>
      </c>
      <c r="K960">
        <v>25.965234619118402</v>
      </c>
      <c r="L960">
        <v>19.269171366608202</v>
      </c>
      <c r="M960">
        <v>202.907703485723</v>
      </c>
      <c r="N960">
        <v>57.580235403035701</v>
      </c>
      <c r="O960">
        <v>1.89754409912655</v>
      </c>
      <c r="P960">
        <v>13.6032284132075</v>
      </c>
      <c r="Q960">
        <v>-12.700238458475299</v>
      </c>
      <c r="R960">
        <v>30.551411967473499</v>
      </c>
      <c r="S960">
        <v>-1.6414909408487799</v>
      </c>
      <c r="T960">
        <v>185.82174558509399</v>
      </c>
      <c r="U960">
        <v>-0.70967135665585701</v>
      </c>
      <c r="V960">
        <v>27.4399542653486</v>
      </c>
    </row>
    <row r="961" spans="1:22" x14ac:dyDescent="0.25">
      <c r="A961" t="str">
        <f t="shared" si="14"/>
        <v>Lebanon2024</v>
      </c>
      <c r="B961" t="s">
        <v>137</v>
      </c>
      <c r="C961" t="s">
        <v>138</v>
      </c>
      <c r="D961">
        <v>2024</v>
      </c>
      <c r="E961">
        <v>7774.5362854851601</v>
      </c>
      <c r="F961">
        <v>0.66483033557517501</v>
      </c>
      <c r="G961">
        <v>45.243042271671797</v>
      </c>
      <c r="H961">
        <v>10</v>
      </c>
      <c r="I961">
        <v>10.1385877257367</v>
      </c>
      <c r="J961">
        <v>10.026</v>
      </c>
      <c r="K961">
        <v>25.965234619118402</v>
      </c>
      <c r="L961">
        <v>13.4502729024075</v>
      </c>
      <c r="M961">
        <v>3.7153038023760798</v>
      </c>
      <c r="N961">
        <v>57.047589293321899</v>
      </c>
      <c r="O961">
        <v>22.354941329530401</v>
      </c>
      <c r="P961">
        <v>17.3517440319367</v>
      </c>
      <c r="Q961">
        <v>-2.4231573879778998</v>
      </c>
      <c r="R961">
        <v>24.890896095591</v>
      </c>
      <c r="S961">
        <v>0.39352229285267298</v>
      </c>
      <c r="T961">
        <v>157.85221276234299</v>
      </c>
      <c r="U961">
        <v>-0.61963894102638095</v>
      </c>
      <c r="V961">
        <v>29.165500261940899</v>
      </c>
    </row>
    <row r="962" spans="1:22" x14ac:dyDescent="0.25">
      <c r="A962" t="str">
        <f t="shared" si="14"/>
        <v>Lebanon2025</v>
      </c>
      <c r="B962" t="s">
        <v>137</v>
      </c>
      <c r="C962" t="s">
        <v>138</v>
      </c>
      <c r="D962">
        <v>2025</v>
      </c>
      <c r="E962">
        <v>7774.5362854851601</v>
      </c>
      <c r="F962">
        <v>0.66483033557517501</v>
      </c>
      <c r="G962">
        <v>4.9714857169238398</v>
      </c>
      <c r="H962">
        <v>10</v>
      </c>
      <c r="I962">
        <v>7.8471502540206997</v>
      </c>
      <c r="J962">
        <v>10.026</v>
      </c>
      <c r="K962">
        <v>25.965234619118402</v>
      </c>
      <c r="L962">
        <v>19.269171366608202</v>
      </c>
      <c r="M962">
        <v>3.7153038023760798</v>
      </c>
      <c r="N962">
        <v>53.359231248181104</v>
      </c>
      <c r="O962">
        <v>22.354941329530401</v>
      </c>
      <c r="P962">
        <v>17.3517440319367</v>
      </c>
      <c r="Q962">
        <v>-2.4231573879778998</v>
      </c>
      <c r="R962">
        <v>24.890896095591</v>
      </c>
      <c r="S962">
        <v>3.2540245856502099</v>
      </c>
      <c r="T962">
        <v>139.39832645630199</v>
      </c>
      <c r="U962">
        <v>-0.37270686183819701</v>
      </c>
      <c r="V962">
        <v>33.89815857944</v>
      </c>
    </row>
    <row r="963" spans="1:22" x14ac:dyDescent="0.25">
      <c r="A963" t="str">
        <f t="shared" si="14"/>
        <v>Lesotho2010</v>
      </c>
      <c r="B963" t="s">
        <v>139</v>
      </c>
      <c r="C963" t="s">
        <v>140</v>
      </c>
      <c r="D963">
        <v>2010</v>
      </c>
      <c r="E963">
        <v>1119.4755779304201</v>
      </c>
      <c r="F963">
        <v>5.2696707805628602</v>
      </c>
      <c r="G963">
        <v>-2.4052425459870599</v>
      </c>
      <c r="H963">
        <v>7</v>
      </c>
      <c r="I963">
        <v>4.2346127816592203</v>
      </c>
      <c r="J963">
        <v>16.068000000000001</v>
      </c>
      <c r="K963">
        <v>42.541168808988502</v>
      </c>
      <c r="L963">
        <v>41.306159255742003</v>
      </c>
      <c r="M963">
        <v>5.3371101372097103</v>
      </c>
      <c r="N963">
        <v>68.851077939126597</v>
      </c>
      <c r="O963">
        <v>31.301190043075099</v>
      </c>
      <c r="P963">
        <v>7.1341035722593</v>
      </c>
      <c r="Q963">
        <v>20.1904388290775</v>
      </c>
      <c r="R963">
        <v>42.126258931121498</v>
      </c>
      <c r="S963">
        <v>-1.4857351223937501</v>
      </c>
      <c r="T963">
        <v>33.809512062122202</v>
      </c>
      <c r="U963">
        <v>-0.32996148098825601</v>
      </c>
      <c r="V963">
        <v>34.717409293560401</v>
      </c>
    </row>
    <row r="964" spans="1:22" x14ac:dyDescent="0.25">
      <c r="A964" t="str">
        <f t="shared" ref="A964:A1027" si="15">C964&amp;D964</f>
        <v>Lesotho2011</v>
      </c>
      <c r="B964" t="s">
        <v>139</v>
      </c>
      <c r="C964" t="s">
        <v>140</v>
      </c>
      <c r="D964">
        <v>2011</v>
      </c>
      <c r="E964">
        <v>1280.73390931581</v>
      </c>
      <c r="F964">
        <v>4.6164139452875199</v>
      </c>
      <c r="G964">
        <v>5.0366305210156002</v>
      </c>
      <c r="H964">
        <v>7</v>
      </c>
      <c r="I964">
        <v>4.1273152205377404</v>
      </c>
      <c r="J964">
        <v>16.114999999999998</v>
      </c>
      <c r="K964">
        <v>40.796166931699098</v>
      </c>
      <c r="L964">
        <v>37.189868809427303</v>
      </c>
      <c r="M964">
        <v>9.4264070032438791</v>
      </c>
      <c r="N964">
        <v>68.484010403464694</v>
      </c>
      <c r="O964">
        <v>25.3316425094885</v>
      </c>
      <c r="P964">
        <v>3.8200897926640001</v>
      </c>
      <c r="Q964">
        <v>13.448377478307499</v>
      </c>
      <c r="R964">
        <v>47.7228451203639</v>
      </c>
      <c r="S964">
        <v>-9.8462663746375494</v>
      </c>
      <c r="T964">
        <v>36.171410014101397</v>
      </c>
      <c r="U964">
        <v>-0.78325725724567796</v>
      </c>
      <c r="V964">
        <v>26.029619384509999</v>
      </c>
    </row>
    <row r="965" spans="1:22" x14ac:dyDescent="0.25">
      <c r="A965" t="str">
        <f t="shared" si="15"/>
        <v>Lesotho2012</v>
      </c>
      <c r="B965" t="s">
        <v>139</v>
      </c>
      <c r="C965" t="s">
        <v>140</v>
      </c>
      <c r="D965">
        <v>2012</v>
      </c>
      <c r="E965">
        <v>1217.93071228944</v>
      </c>
      <c r="F965">
        <v>6.3340837467944802</v>
      </c>
      <c r="G965">
        <v>6.0514366213996702</v>
      </c>
      <c r="H965">
        <v>7</v>
      </c>
      <c r="I965">
        <v>4.03518659112755</v>
      </c>
      <c r="J965">
        <v>15.760999999999999</v>
      </c>
      <c r="K965">
        <v>40.054581110060703</v>
      </c>
      <c r="L965">
        <v>43.766329167757</v>
      </c>
      <c r="M965">
        <v>2.18204801752952</v>
      </c>
      <c r="N965">
        <v>68.215735108800303</v>
      </c>
      <c r="O965">
        <v>35.720596050189599</v>
      </c>
      <c r="P965">
        <v>4.1527125932842903</v>
      </c>
      <c r="Q965">
        <v>17.789550425309201</v>
      </c>
      <c r="R965">
        <v>41.795933674504496</v>
      </c>
      <c r="S965">
        <v>4.5637837529549499</v>
      </c>
      <c r="T965">
        <v>39.8461927291956</v>
      </c>
      <c r="U965">
        <v>-0.14305402155663799</v>
      </c>
      <c r="V965">
        <v>38.299645936890897</v>
      </c>
    </row>
    <row r="966" spans="1:22" x14ac:dyDescent="0.25">
      <c r="A966" t="str">
        <f t="shared" si="15"/>
        <v>Lesotho2013</v>
      </c>
      <c r="B966" t="s">
        <v>139</v>
      </c>
      <c r="C966" t="s">
        <v>140</v>
      </c>
      <c r="D966">
        <v>2013</v>
      </c>
      <c r="E966">
        <v>1151.0373583722701</v>
      </c>
      <c r="F966">
        <v>1.79252555575545</v>
      </c>
      <c r="G966">
        <v>4.8651189949638498</v>
      </c>
      <c r="H966">
        <v>7</v>
      </c>
      <c r="I966">
        <v>3.9700384730591298</v>
      </c>
      <c r="J966">
        <v>15.926</v>
      </c>
      <c r="K966">
        <v>42.708439508286702</v>
      </c>
      <c r="L966">
        <v>42.369486091591803</v>
      </c>
      <c r="M966">
        <v>10.2798956437383</v>
      </c>
      <c r="N966">
        <v>68.078418423932504</v>
      </c>
      <c r="O966">
        <v>32.666745505305499</v>
      </c>
      <c r="P966">
        <v>5.2485399364685597</v>
      </c>
      <c r="Q966">
        <v>22.309536388430601</v>
      </c>
      <c r="R966">
        <v>38.249664707756601</v>
      </c>
      <c r="S966">
        <v>-2.5828832627790401</v>
      </c>
      <c r="T966">
        <v>41.192267835583998</v>
      </c>
      <c r="U966">
        <v>-0.44803840057434602</v>
      </c>
      <c r="V966">
        <v>32.454367094179197</v>
      </c>
    </row>
    <row r="967" spans="1:22" x14ac:dyDescent="0.25">
      <c r="A967" t="str">
        <f t="shared" si="15"/>
        <v>Lesotho2014</v>
      </c>
      <c r="B967" t="s">
        <v>139</v>
      </c>
      <c r="C967" t="s">
        <v>140</v>
      </c>
      <c r="D967">
        <v>2014</v>
      </c>
      <c r="E967">
        <v>1173.5377928819</v>
      </c>
      <c r="F967">
        <v>1.7105499054547599</v>
      </c>
      <c r="G967">
        <v>5.3702896100858704</v>
      </c>
      <c r="H967">
        <v>7</v>
      </c>
      <c r="I967">
        <v>3.9399756452728698</v>
      </c>
      <c r="J967">
        <v>16.065999999999999</v>
      </c>
      <c r="K967">
        <v>38.321921816639602</v>
      </c>
      <c r="L967">
        <v>42.028570573430798</v>
      </c>
      <c r="M967">
        <v>14.0351521545479</v>
      </c>
      <c r="N967">
        <v>68.137320280615597</v>
      </c>
      <c r="O967">
        <v>34.0968182808394</v>
      </c>
      <c r="P967">
        <v>5.5848174332554104</v>
      </c>
      <c r="Q967">
        <v>25.274376681759399</v>
      </c>
      <c r="R967">
        <v>38.1496953255837</v>
      </c>
      <c r="S967">
        <v>3.1572049153503401</v>
      </c>
      <c r="T967">
        <v>41.5065773183236</v>
      </c>
      <c r="U967">
        <v>-0.22253560311433401</v>
      </c>
      <c r="V967">
        <v>36.776315435306401</v>
      </c>
    </row>
    <row r="968" spans="1:22" x14ac:dyDescent="0.25">
      <c r="A968" t="str">
        <f t="shared" si="15"/>
        <v>Lesotho2015</v>
      </c>
      <c r="B968" t="s">
        <v>139</v>
      </c>
      <c r="C968" t="s">
        <v>140</v>
      </c>
      <c r="D968">
        <v>2015</v>
      </c>
      <c r="E968">
        <v>1121.19851342518</v>
      </c>
      <c r="F968">
        <v>3.1240667804454598</v>
      </c>
      <c r="G968">
        <v>3.2184451365593101</v>
      </c>
      <c r="H968">
        <v>7</v>
      </c>
      <c r="I968">
        <v>3.89919944844927</v>
      </c>
      <c r="J968">
        <v>16.222999999999999</v>
      </c>
      <c r="K968">
        <v>38.244040678083898</v>
      </c>
      <c r="L968">
        <v>39.178516237273001</v>
      </c>
      <c r="M968">
        <v>10.2030391854904</v>
      </c>
      <c r="N968">
        <v>68.141686952589694</v>
      </c>
      <c r="O968">
        <v>30.436634736956801</v>
      </c>
      <c r="P968">
        <v>5.5440508629916101</v>
      </c>
      <c r="Q968">
        <v>24.499206233525602</v>
      </c>
      <c r="R968">
        <v>42.8918037123102</v>
      </c>
      <c r="S968">
        <v>-1.3801938679016299</v>
      </c>
      <c r="T968">
        <v>45.812026028057502</v>
      </c>
      <c r="U968">
        <v>-0.41092165584122098</v>
      </c>
      <c r="V968">
        <v>33.165740323843103</v>
      </c>
    </row>
    <row r="969" spans="1:22" x14ac:dyDescent="0.25">
      <c r="A969" t="str">
        <f t="shared" si="15"/>
        <v>Lesotho2016</v>
      </c>
      <c r="B969" t="s">
        <v>139</v>
      </c>
      <c r="C969" t="s">
        <v>140</v>
      </c>
      <c r="D969">
        <v>2016</v>
      </c>
      <c r="E969">
        <v>992.491840678465</v>
      </c>
      <c r="F969">
        <v>3.6089073168771399</v>
      </c>
      <c r="G969">
        <v>6.5965049069654302</v>
      </c>
      <c r="H969">
        <v>7</v>
      </c>
      <c r="I969">
        <v>3.8399903868810998</v>
      </c>
      <c r="J969">
        <v>16.138000000000002</v>
      </c>
      <c r="K969">
        <v>40.584462806328801</v>
      </c>
      <c r="L969">
        <v>35.415399213262098</v>
      </c>
      <c r="M969">
        <v>-0.29245123274961299</v>
      </c>
      <c r="N969">
        <v>67.934491720419999</v>
      </c>
      <c r="O969">
        <v>28.7760063691053</v>
      </c>
      <c r="P969">
        <v>5.2461231076596402</v>
      </c>
      <c r="Q969">
        <v>17.4664801271052</v>
      </c>
      <c r="R969">
        <v>45.779665245410399</v>
      </c>
      <c r="S969">
        <v>-9.4278259397874802</v>
      </c>
      <c r="T969">
        <v>41.450018119232098</v>
      </c>
      <c r="U969">
        <v>-0.81784312746416699</v>
      </c>
      <c r="V969">
        <v>25.366752466223801</v>
      </c>
    </row>
    <row r="970" spans="1:22" x14ac:dyDescent="0.25">
      <c r="A970" t="str">
        <f t="shared" si="15"/>
        <v>Lesotho2017</v>
      </c>
      <c r="B970" t="s">
        <v>139</v>
      </c>
      <c r="C970" t="s">
        <v>140</v>
      </c>
      <c r="D970">
        <v>2017</v>
      </c>
      <c r="E970">
        <v>1069.3667324754199</v>
      </c>
      <c r="F970">
        <v>-3.1381749373347101</v>
      </c>
      <c r="G970">
        <v>4.4476993737630002</v>
      </c>
      <c r="H970">
        <v>7</v>
      </c>
      <c r="I970">
        <v>3.80087158261016</v>
      </c>
      <c r="J970">
        <v>16.379000000000001</v>
      </c>
      <c r="K970">
        <v>39.715342349516398</v>
      </c>
      <c r="L970">
        <v>38.328379929119798</v>
      </c>
      <c r="M970">
        <v>2.01891023820184</v>
      </c>
      <c r="N970">
        <v>67.490098244976494</v>
      </c>
      <c r="O970">
        <v>22.205612982932202</v>
      </c>
      <c r="P970">
        <v>3.2749763421354299</v>
      </c>
      <c r="Q970">
        <v>7.4108774480453103</v>
      </c>
      <c r="R970">
        <v>47.476934033266197</v>
      </c>
      <c r="S970">
        <v>-2.0155443580340999</v>
      </c>
      <c r="T970">
        <v>40.991914810855</v>
      </c>
      <c r="U970">
        <v>-0.55369670343284905</v>
      </c>
      <c r="V970">
        <v>30.429337995165099</v>
      </c>
    </row>
    <row r="971" spans="1:22" x14ac:dyDescent="0.25">
      <c r="A971" t="str">
        <f t="shared" si="15"/>
        <v>Lesotho2018</v>
      </c>
      <c r="B971" t="s">
        <v>139</v>
      </c>
      <c r="C971" t="s">
        <v>140</v>
      </c>
      <c r="D971">
        <v>2018</v>
      </c>
      <c r="E971">
        <v>1170.6556970281899</v>
      </c>
      <c r="F971">
        <v>-1.48063315848241</v>
      </c>
      <c r="G971">
        <v>4.7518030162473996</v>
      </c>
      <c r="H971">
        <v>7</v>
      </c>
      <c r="I971">
        <v>3.7813650191907602</v>
      </c>
      <c r="J971">
        <v>16.614000000000001</v>
      </c>
      <c r="K971">
        <v>39.249684179594603</v>
      </c>
      <c r="L971">
        <v>37.023531892245401</v>
      </c>
      <c r="M971">
        <v>11.7230687269439</v>
      </c>
      <c r="N971">
        <v>66.870044667249999</v>
      </c>
      <c r="O971">
        <v>21.447279217096199</v>
      </c>
      <c r="P971">
        <v>3.4093403969659399</v>
      </c>
      <c r="Q971">
        <v>16.6238192720574</v>
      </c>
      <c r="R971">
        <v>49.833111421904498</v>
      </c>
      <c r="S971">
        <v>-4.4088284214108304</v>
      </c>
      <c r="T971">
        <v>48.191256815864797</v>
      </c>
      <c r="U971">
        <v>-0.58395159576937905</v>
      </c>
      <c r="V971">
        <v>29.849477863859899</v>
      </c>
    </row>
    <row r="972" spans="1:22" x14ac:dyDescent="0.25">
      <c r="A972" t="str">
        <f t="shared" si="15"/>
        <v>Lesotho2019</v>
      </c>
      <c r="B972" t="s">
        <v>139</v>
      </c>
      <c r="C972" t="s">
        <v>140</v>
      </c>
      <c r="D972">
        <v>2019</v>
      </c>
      <c r="E972">
        <v>1082.05706777516</v>
      </c>
      <c r="F972">
        <v>-1.4179938308520501</v>
      </c>
      <c r="G972">
        <v>5.1870835919798202</v>
      </c>
      <c r="H972">
        <v>7</v>
      </c>
      <c r="I972">
        <v>3.7798176930400502</v>
      </c>
      <c r="J972">
        <v>16.876000000000001</v>
      </c>
      <c r="K972">
        <v>39.246346848746001</v>
      </c>
      <c r="L972">
        <v>36.804249542923102</v>
      </c>
      <c r="M972">
        <v>3.5754544693206598</v>
      </c>
      <c r="N972">
        <v>66.255230739478506</v>
      </c>
      <c r="O972">
        <v>26.794504131268098</v>
      </c>
      <c r="P972">
        <v>3.9203342184423602</v>
      </c>
      <c r="Q972">
        <v>18.212063636148201</v>
      </c>
      <c r="R972">
        <v>46.209328178116102</v>
      </c>
      <c r="S972">
        <v>-5.0875459825809797</v>
      </c>
      <c r="T972">
        <v>58.2189743688973</v>
      </c>
      <c r="U972">
        <v>-0.69651805148525303</v>
      </c>
      <c r="V972">
        <v>27.692048279714399</v>
      </c>
    </row>
    <row r="973" spans="1:22" x14ac:dyDescent="0.25">
      <c r="A973" t="str">
        <f t="shared" si="15"/>
        <v>Lesotho2020</v>
      </c>
      <c r="B973" t="s">
        <v>139</v>
      </c>
      <c r="C973" t="s">
        <v>140</v>
      </c>
      <c r="D973">
        <v>2020</v>
      </c>
      <c r="E973">
        <v>918.58257470444698</v>
      </c>
      <c r="F973">
        <v>-8.1559578545991105</v>
      </c>
      <c r="G973">
        <v>4.9780967625230899</v>
      </c>
      <c r="H973">
        <v>7</v>
      </c>
      <c r="I973">
        <v>3.7888802588330899</v>
      </c>
      <c r="J973">
        <v>18.385000000000002</v>
      </c>
      <c r="K973">
        <v>43.288414970616998</v>
      </c>
      <c r="L973">
        <v>41.392410185688803</v>
      </c>
      <c r="M973">
        <v>6.5482041878627104</v>
      </c>
      <c r="N973">
        <v>65.648181352079405</v>
      </c>
      <c r="O973">
        <v>26.264670122177801</v>
      </c>
      <c r="P973">
        <v>4.1694868718967903</v>
      </c>
      <c r="Q973">
        <v>20.495389979809101</v>
      </c>
      <c r="R973">
        <v>44.449012410388001</v>
      </c>
      <c r="S973">
        <v>1.44546609890601</v>
      </c>
      <c r="T973">
        <v>54.689933261711403</v>
      </c>
      <c r="U973">
        <v>-0.38655162677830301</v>
      </c>
      <c r="V973">
        <v>33.632812164494602</v>
      </c>
    </row>
    <row r="974" spans="1:22" x14ac:dyDescent="0.25">
      <c r="A974" t="str">
        <f t="shared" si="15"/>
        <v>Lesotho2021</v>
      </c>
      <c r="B974" t="s">
        <v>139</v>
      </c>
      <c r="C974" t="s">
        <v>140</v>
      </c>
      <c r="D974">
        <v>2021</v>
      </c>
      <c r="E974">
        <v>1066.5864514382299</v>
      </c>
      <c r="F974">
        <v>2.2667096183329098</v>
      </c>
      <c r="G974">
        <v>6.0477459195067604</v>
      </c>
      <c r="H974">
        <v>7</v>
      </c>
      <c r="I974">
        <v>3.7851165266884301</v>
      </c>
      <c r="J974">
        <v>18.213999999999999</v>
      </c>
      <c r="K974">
        <v>38.105260918217901</v>
      </c>
      <c r="L974">
        <v>37.581411821138197</v>
      </c>
      <c r="M974">
        <v>3.1237824302955302</v>
      </c>
      <c r="N974">
        <v>64.968046468844804</v>
      </c>
      <c r="O974">
        <v>28.470135235900202</v>
      </c>
      <c r="P974">
        <v>4.0766259837441003</v>
      </c>
      <c r="Q974">
        <v>20.437991878929999</v>
      </c>
      <c r="R974">
        <v>46.146089821454503</v>
      </c>
      <c r="S974">
        <v>-4.7937887499861302</v>
      </c>
      <c r="T974">
        <v>57.9909196213925</v>
      </c>
      <c r="U974">
        <v>-0.65679590431607904</v>
      </c>
      <c r="V974">
        <v>28.453356210248</v>
      </c>
    </row>
    <row r="975" spans="1:22" x14ac:dyDescent="0.25">
      <c r="A975" t="str">
        <f t="shared" si="15"/>
        <v>Lesotho2022</v>
      </c>
      <c r="B975" t="s">
        <v>139</v>
      </c>
      <c r="C975" t="s">
        <v>140</v>
      </c>
      <c r="D975">
        <v>2022</v>
      </c>
      <c r="E975">
        <v>1030.1258294775701</v>
      </c>
      <c r="F975">
        <v>2.38778020186284</v>
      </c>
      <c r="G975">
        <v>8.2718038994302798</v>
      </c>
      <c r="H975">
        <v>7</v>
      </c>
      <c r="I975">
        <v>3.7929706372460998</v>
      </c>
      <c r="J975">
        <v>16.623000000000001</v>
      </c>
      <c r="K975">
        <v>40.234611100629401</v>
      </c>
      <c r="L975">
        <v>35.960082141869798</v>
      </c>
      <c r="M975">
        <v>5.5300549670619903</v>
      </c>
      <c r="N975">
        <v>64.175827806008897</v>
      </c>
      <c r="O975">
        <v>27.377008148332301</v>
      </c>
      <c r="P975">
        <v>3.9094786369963002</v>
      </c>
      <c r="Q975">
        <v>16.364789613567002</v>
      </c>
      <c r="R975">
        <v>46.506382215372099</v>
      </c>
      <c r="S975">
        <v>-6.33358255529361</v>
      </c>
      <c r="T975">
        <v>64.369453654193705</v>
      </c>
      <c r="U975">
        <v>-0.73077242612720505</v>
      </c>
      <c r="V975">
        <v>27.035534749382801</v>
      </c>
    </row>
    <row r="976" spans="1:22" x14ac:dyDescent="0.25">
      <c r="A976" t="str">
        <f t="shared" si="15"/>
        <v>Lesotho2023</v>
      </c>
      <c r="B976" t="s">
        <v>139</v>
      </c>
      <c r="C976" t="s">
        <v>140</v>
      </c>
      <c r="D976">
        <v>2023</v>
      </c>
      <c r="E976">
        <v>916.282976983803</v>
      </c>
      <c r="F976">
        <v>1.82662476743647</v>
      </c>
      <c r="G976">
        <v>6.3422174312495301</v>
      </c>
      <c r="H976">
        <v>7</v>
      </c>
      <c r="I976">
        <v>3.8268038721645801</v>
      </c>
      <c r="J976">
        <v>16.347999999999999</v>
      </c>
      <c r="K976">
        <v>40.054581110060703</v>
      </c>
      <c r="L976">
        <v>47.659841515826201</v>
      </c>
      <c r="M976">
        <v>-0.36809786905472203</v>
      </c>
      <c r="N976">
        <v>63.266528508242203</v>
      </c>
      <c r="O976">
        <v>27.220668717989899</v>
      </c>
      <c r="P976">
        <v>4.70108384606496</v>
      </c>
      <c r="Q976">
        <v>19.889095821260501</v>
      </c>
      <c r="R976">
        <v>42.922980690401801</v>
      </c>
      <c r="S976">
        <v>7.3639723205304204</v>
      </c>
      <c r="T976">
        <v>61.127554751345102</v>
      </c>
      <c r="U976">
        <v>6.9698847346660306E-2</v>
      </c>
      <c r="V976">
        <v>42.377231311368199</v>
      </c>
    </row>
    <row r="977" spans="1:22" x14ac:dyDescent="0.25">
      <c r="A977" t="str">
        <f t="shared" si="15"/>
        <v>Lesotho2024</v>
      </c>
      <c r="B977" t="s">
        <v>139</v>
      </c>
      <c r="C977" t="s">
        <v>140</v>
      </c>
      <c r="D977">
        <v>2024</v>
      </c>
      <c r="E977">
        <v>971.90771824829005</v>
      </c>
      <c r="F977">
        <v>2.8545225317954501</v>
      </c>
      <c r="G977">
        <v>6.10544624245032</v>
      </c>
      <c r="H977">
        <v>7</v>
      </c>
      <c r="I977">
        <v>3.8564059343144002</v>
      </c>
      <c r="J977">
        <v>16.34</v>
      </c>
      <c r="K977">
        <v>40.054581110060703</v>
      </c>
      <c r="L977">
        <v>44.237874915653698</v>
      </c>
      <c r="M977">
        <v>3.5974940441971599</v>
      </c>
      <c r="N977">
        <v>62.273668601054801</v>
      </c>
      <c r="O977">
        <v>27.923571692116202</v>
      </c>
      <c r="P977">
        <v>5.5350539229347602</v>
      </c>
      <c r="Q977">
        <v>19.050579728704299</v>
      </c>
      <c r="R977">
        <v>45.114338827899203</v>
      </c>
      <c r="S977">
        <v>8.1728788470574703</v>
      </c>
      <c r="T977">
        <v>52.8266745086257</v>
      </c>
      <c r="U977">
        <v>0.10397101970223301</v>
      </c>
      <c r="V977">
        <v>43.034085949658198</v>
      </c>
    </row>
    <row r="978" spans="1:22" x14ac:dyDescent="0.25">
      <c r="A978" t="str">
        <f t="shared" si="15"/>
        <v>Lesotho2025</v>
      </c>
      <c r="B978" t="s">
        <v>139</v>
      </c>
      <c r="C978" t="s">
        <v>140</v>
      </c>
      <c r="D978">
        <v>2025</v>
      </c>
      <c r="E978">
        <v>1082.05706777516</v>
      </c>
      <c r="F978">
        <v>2.2667096183329098</v>
      </c>
      <c r="G978">
        <v>5.1870835919798202</v>
      </c>
      <c r="H978">
        <v>7</v>
      </c>
      <c r="I978">
        <v>3.8399903868810998</v>
      </c>
      <c r="J978">
        <v>16.315000000000001</v>
      </c>
      <c r="K978">
        <v>40.054581110060703</v>
      </c>
      <c r="L978">
        <v>39.178516237273001</v>
      </c>
      <c r="M978">
        <v>5.3371101372097103</v>
      </c>
      <c r="N978">
        <v>67.490098244976494</v>
      </c>
      <c r="O978">
        <v>27.923571692116202</v>
      </c>
      <c r="P978">
        <v>4.1694868718967903</v>
      </c>
      <c r="Q978">
        <v>19.050579728704299</v>
      </c>
      <c r="R978">
        <v>45.114338827899203</v>
      </c>
      <c r="S978">
        <v>2.1540016922860099</v>
      </c>
      <c r="T978">
        <v>49.145147857962002</v>
      </c>
      <c r="U978">
        <v>-0.28245001853190999</v>
      </c>
      <c r="V978">
        <v>35.628005918793598</v>
      </c>
    </row>
    <row r="979" spans="1:22" x14ac:dyDescent="0.25">
      <c r="A979" t="str">
        <f t="shared" si="15"/>
        <v>Lithuania2010</v>
      </c>
      <c r="B979" t="s">
        <v>141</v>
      </c>
      <c r="C979" t="s">
        <v>142</v>
      </c>
      <c r="D979">
        <v>2010</v>
      </c>
      <c r="E979">
        <v>11829.122609456999</v>
      </c>
      <c r="F979">
        <v>0.42719956655076902</v>
      </c>
      <c r="G979">
        <v>1.3192136205546301</v>
      </c>
      <c r="H979">
        <v>10</v>
      </c>
      <c r="I979">
        <v>17.609777127980799</v>
      </c>
      <c r="J979">
        <v>17.814</v>
      </c>
      <c r="K979">
        <v>40.130954096299099</v>
      </c>
      <c r="L979">
        <v>30.710214791121</v>
      </c>
      <c r="M979">
        <v>2.1217215075295401</v>
      </c>
      <c r="N979">
        <v>48.218359314247401</v>
      </c>
      <c r="O979">
        <v>17.857801023546099</v>
      </c>
      <c r="P979">
        <v>3.03314276118516</v>
      </c>
      <c r="Q979">
        <v>18.060050415177798</v>
      </c>
      <c r="R979">
        <v>64.798513445583097</v>
      </c>
      <c r="S979">
        <v>-6.9505915704822199</v>
      </c>
      <c r="T979">
        <v>36.705031965055397</v>
      </c>
      <c r="U979">
        <v>7.30893593277777E-2</v>
      </c>
      <c r="V979">
        <v>42.442213288520598</v>
      </c>
    </row>
    <row r="980" spans="1:22" x14ac:dyDescent="0.25">
      <c r="A980" t="str">
        <f t="shared" si="15"/>
        <v>Lithuania2011</v>
      </c>
      <c r="B980" t="s">
        <v>141</v>
      </c>
      <c r="C980" t="s">
        <v>142</v>
      </c>
      <c r="D980">
        <v>2011</v>
      </c>
      <c r="E980">
        <v>14261.843378732499</v>
      </c>
      <c r="F980">
        <v>6.3236366482129798</v>
      </c>
      <c r="G980">
        <v>4.1302756264508496</v>
      </c>
      <c r="H980">
        <v>10</v>
      </c>
      <c r="I980">
        <v>17.988494181302102</v>
      </c>
      <c r="J980">
        <v>15.39</v>
      </c>
      <c r="K980">
        <v>36.839435433165399</v>
      </c>
      <c r="L980">
        <v>29.2193147221872</v>
      </c>
      <c r="M980">
        <v>5.6222790400255702</v>
      </c>
      <c r="N980">
        <v>48.858727177984697</v>
      </c>
      <c r="O980">
        <v>22.367202907755399</v>
      </c>
      <c r="P980">
        <v>2.7472138955052401</v>
      </c>
      <c r="Q980">
        <v>18.680385950584299</v>
      </c>
      <c r="R980">
        <v>73.469216955906504</v>
      </c>
      <c r="S980">
        <v>-5.9174666580761501</v>
      </c>
      <c r="T980">
        <v>37.470845950647501</v>
      </c>
      <c r="U980">
        <v>0.20097600507848201</v>
      </c>
      <c r="V980">
        <v>44.893267034550497</v>
      </c>
    </row>
    <row r="981" spans="1:22" x14ac:dyDescent="0.25">
      <c r="A981" t="str">
        <f t="shared" si="15"/>
        <v>Lithuania2012</v>
      </c>
      <c r="B981" t="s">
        <v>141</v>
      </c>
      <c r="C981" t="s">
        <v>142</v>
      </c>
      <c r="D981">
        <v>2012</v>
      </c>
      <c r="E981">
        <v>14288.185349313901</v>
      </c>
      <c r="F981">
        <v>4.38290584355157</v>
      </c>
      <c r="G981">
        <v>3.0899827705541698</v>
      </c>
      <c r="H981">
        <v>10</v>
      </c>
      <c r="I981">
        <v>18.1799731254535</v>
      </c>
      <c r="J981">
        <v>13.365</v>
      </c>
      <c r="K981">
        <v>34.125309626701302</v>
      </c>
      <c r="L981">
        <v>29.190355564282498</v>
      </c>
      <c r="M981">
        <v>2.50518093222925</v>
      </c>
      <c r="N981">
        <v>49.065628193178803</v>
      </c>
      <c r="O981">
        <v>20.2704080461532</v>
      </c>
      <c r="P981">
        <v>2.8557012060878302</v>
      </c>
      <c r="Q981">
        <v>18.704761825767001</v>
      </c>
      <c r="R981">
        <v>78.626068356333903</v>
      </c>
      <c r="S981">
        <v>-3.1457381970892002</v>
      </c>
      <c r="T981">
        <v>39.908067553501901</v>
      </c>
      <c r="U981">
        <v>0.367377748146129</v>
      </c>
      <c r="V981">
        <v>48.082494598520803</v>
      </c>
    </row>
    <row r="982" spans="1:22" x14ac:dyDescent="0.25">
      <c r="A982" t="str">
        <f t="shared" si="15"/>
        <v>Lithuania2013</v>
      </c>
      <c r="B982" t="s">
        <v>141</v>
      </c>
      <c r="C982" t="s">
        <v>142</v>
      </c>
      <c r="D982">
        <v>2013</v>
      </c>
      <c r="E982">
        <v>15636.525258604799</v>
      </c>
      <c r="F982">
        <v>4.0469131857532501</v>
      </c>
      <c r="G982">
        <v>1.04747937065344</v>
      </c>
      <c r="H982">
        <v>10</v>
      </c>
      <c r="I982">
        <v>18.357735644455801</v>
      </c>
      <c r="J982">
        <v>11.77</v>
      </c>
      <c r="K982">
        <v>33.065868762446001</v>
      </c>
      <c r="L982">
        <v>29.071492087793601</v>
      </c>
      <c r="M982">
        <v>0.83382755089058902</v>
      </c>
      <c r="N982">
        <v>49.267913031687399</v>
      </c>
      <c r="O982">
        <v>20.4182900930827</v>
      </c>
      <c r="P982">
        <v>2.5331132928003099</v>
      </c>
      <c r="Q982">
        <v>22.168430262133199</v>
      </c>
      <c r="R982">
        <v>79.041938575089105</v>
      </c>
      <c r="S982">
        <v>-2.69380639574725</v>
      </c>
      <c r="T982">
        <v>38.858852573237399</v>
      </c>
      <c r="U982">
        <v>0.44985658771831899</v>
      </c>
      <c r="V982">
        <v>49.663270038481102</v>
      </c>
    </row>
    <row r="983" spans="1:22" x14ac:dyDescent="0.25">
      <c r="A983" t="str">
        <f t="shared" si="15"/>
        <v>Lithuania2014</v>
      </c>
      <c r="B983" t="s">
        <v>141</v>
      </c>
      <c r="C983" t="s">
        <v>142</v>
      </c>
      <c r="D983">
        <v>2014</v>
      </c>
      <c r="E983">
        <v>16446.164718166299</v>
      </c>
      <c r="F983">
        <v>3.7725437958099</v>
      </c>
      <c r="G983">
        <v>0.103758009433708</v>
      </c>
      <c r="H983">
        <v>10</v>
      </c>
      <c r="I983">
        <v>18.603520152954101</v>
      </c>
      <c r="J983">
        <v>10.698</v>
      </c>
      <c r="K983">
        <v>32.756818851149902</v>
      </c>
      <c r="L983">
        <v>29.567321774663299</v>
      </c>
      <c r="M983">
        <v>0.60919065820628804</v>
      </c>
      <c r="N983">
        <v>49.674764309223903</v>
      </c>
      <c r="O983">
        <v>20.300477375402899</v>
      </c>
      <c r="P983">
        <v>2.9140860337649301</v>
      </c>
      <c r="Q983">
        <v>23.896023867526502</v>
      </c>
      <c r="R983">
        <v>72.610212394468604</v>
      </c>
      <c r="S983">
        <v>-1.7894560503991599</v>
      </c>
      <c r="T983">
        <v>40.724131018062003</v>
      </c>
      <c r="U983">
        <v>0.50914067871157997</v>
      </c>
      <c r="V983">
        <v>50.799498864063601</v>
      </c>
    </row>
    <row r="984" spans="1:22" x14ac:dyDescent="0.25">
      <c r="A984" t="str">
        <f t="shared" si="15"/>
        <v>Lithuania2015</v>
      </c>
      <c r="B984" t="s">
        <v>141</v>
      </c>
      <c r="C984" t="s">
        <v>142</v>
      </c>
      <c r="D984">
        <v>2015</v>
      </c>
      <c r="E984">
        <v>14269.8039878287</v>
      </c>
      <c r="F984">
        <v>2.83280643343234</v>
      </c>
      <c r="G984">
        <v>-0.88409740550059601</v>
      </c>
      <c r="H984">
        <v>10</v>
      </c>
      <c r="I984">
        <v>18.880301359642399</v>
      </c>
      <c r="J984">
        <v>9.1199999999999992</v>
      </c>
      <c r="K984">
        <v>32.669248775544197</v>
      </c>
      <c r="L984">
        <v>30.8685352528266</v>
      </c>
      <c r="M984">
        <v>-2.2527821753755002E-3</v>
      </c>
      <c r="N984">
        <v>50.361919106147099</v>
      </c>
      <c r="O984">
        <v>22.555226911538099</v>
      </c>
      <c r="P984">
        <v>0.64853560008320499</v>
      </c>
      <c r="Q984">
        <v>20.044786670367099</v>
      </c>
      <c r="R984">
        <v>68.604380781840902</v>
      </c>
      <c r="S984">
        <v>-0.76649431672506596</v>
      </c>
      <c r="T984">
        <v>42.417234638065104</v>
      </c>
      <c r="U984">
        <v>0.47782150744261698</v>
      </c>
      <c r="V984">
        <v>50.199240943381398</v>
      </c>
    </row>
    <row r="985" spans="1:22" x14ac:dyDescent="0.25">
      <c r="A985" t="str">
        <f t="shared" si="15"/>
        <v>Lithuania2016</v>
      </c>
      <c r="B985" t="s">
        <v>141</v>
      </c>
      <c r="C985" t="s">
        <v>142</v>
      </c>
      <c r="D985">
        <v>2016</v>
      </c>
      <c r="E985">
        <v>14934.270284042799</v>
      </c>
      <c r="F985">
        <v>2.6719221505332902</v>
      </c>
      <c r="G985">
        <v>0.905525075460342</v>
      </c>
      <c r="H985">
        <v>10</v>
      </c>
      <c r="I985">
        <v>19.175775619578101</v>
      </c>
      <c r="J985">
        <v>7.8620000000000001</v>
      </c>
      <c r="K985">
        <v>32.684112618691799</v>
      </c>
      <c r="L985">
        <v>31.774803831440799</v>
      </c>
      <c r="M985">
        <v>0.98747242430856397</v>
      </c>
      <c r="N985">
        <v>51.326892805658197</v>
      </c>
      <c r="O985">
        <v>20.287639871268698</v>
      </c>
      <c r="P985">
        <v>0.99824213681576901</v>
      </c>
      <c r="Q985">
        <v>19.280759783213998</v>
      </c>
      <c r="R985">
        <v>67.709424890269901</v>
      </c>
      <c r="S985">
        <v>3.4007821799013703E-2</v>
      </c>
      <c r="T985">
        <v>39.800513208947102</v>
      </c>
      <c r="U985">
        <v>0.576470680933034</v>
      </c>
      <c r="V985">
        <v>52.089934258598802</v>
      </c>
    </row>
    <row r="986" spans="1:22" x14ac:dyDescent="0.25">
      <c r="A986" t="str">
        <f t="shared" si="15"/>
        <v>Lithuania2017</v>
      </c>
      <c r="B986" t="s">
        <v>141</v>
      </c>
      <c r="C986" t="s">
        <v>142</v>
      </c>
      <c r="D986">
        <v>2017</v>
      </c>
      <c r="E986">
        <v>16800.151024609899</v>
      </c>
      <c r="F986">
        <v>4.6122431031280904</v>
      </c>
      <c r="G986">
        <v>3.7228886230370701</v>
      </c>
      <c r="H986">
        <v>11</v>
      </c>
      <c r="I986">
        <v>19.504402571296001</v>
      </c>
      <c r="J986">
        <v>7.0730000000000004</v>
      </c>
      <c r="K986">
        <v>31.072121854115</v>
      </c>
      <c r="L986">
        <v>31.200567925606101</v>
      </c>
      <c r="M986">
        <v>4.0957915313084801</v>
      </c>
      <c r="N986">
        <v>52.469700642996401</v>
      </c>
      <c r="O986">
        <v>20.480115803004001</v>
      </c>
      <c r="P986">
        <v>1.44881422984277</v>
      </c>
      <c r="Q986">
        <v>21.485290377373801</v>
      </c>
      <c r="R986">
        <v>73.606340609034504</v>
      </c>
      <c r="S986">
        <v>0.35999129587405498</v>
      </c>
      <c r="T986">
        <v>39.125400910148798</v>
      </c>
      <c r="U986">
        <v>0.72204093473597897</v>
      </c>
      <c r="V986">
        <v>54.879909035087699</v>
      </c>
    </row>
    <row r="987" spans="1:22" x14ac:dyDescent="0.25">
      <c r="A987" t="str">
        <f t="shared" si="15"/>
        <v>Lithuania2018</v>
      </c>
      <c r="B987" t="s">
        <v>141</v>
      </c>
      <c r="C987" t="s">
        <v>142</v>
      </c>
      <c r="D987">
        <v>2018</v>
      </c>
      <c r="E987">
        <v>19247.231536796698</v>
      </c>
      <c r="F987">
        <v>4.9183678010681096</v>
      </c>
      <c r="G987">
        <v>2.6979277920839402</v>
      </c>
      <c r="H987">
        <v>11</v>
      </c>
      <c r="I987">
        <v>19.730930983222699</v>
      </c>
      <c r="J987">
        <v>6.1470000000000002</v>
      </c>
      <c r="K987">
        <v>31.6775234640563</v>
      </c>
      <c r="L987">
        <v>31.553903860294199</v>
      </c>
      <c r="M987">
        <v>3.5930116761976101</v>
      </c>
      <c r="N987">
        <v>53.321829116147597</v>
      </c>
      <c r="O987">
        <v>22.4066386338902</v>
      </c>
      <c r="P987">
        <v>1.63472215015141</v>
      </c>
      <c r="Q987">
        <v>22.765570782259399</v>
      </c>
      <c r="R987">
        <v>74.529519131711595</v>
      </c>
      <c r="S987">
        <v>0.52247558987951004</v>
      </c>
      <c r="T987">
        <v>33.3431039097538</v>
      </c>
      <c r="U987">
        <v>0.79012153956122999</v>
      </c>
      <c r="V987">
        <v>56.184730351726103</v>
      </c>
    </row>
    <row r="988" spans="1:22" x14ac:dyDescent="0.25">
      <c r="A988" t="str">
        <f t="shared" si="15"/>
        <v>Lithuania2019</v>
      </c>
      <c r="B988" t="s">
        <v>141</v>
      </c>
      <c r="C988" t="s">
        <v>142</v>
      </c>
      <c r="D988">
        <v>2019</v>
      </c>
      <c r="E988">
        <v>19608.794394555302</v>
      </c>
      <c r="F988">
        <v>4.6773518353045098</v>
      </c>
      <c r="G988">
        <v>2.3345093798802701</v>
      </c>
      <c r="H988">
        <v>11</v>
      </c>
      <c r="I988">
        <v>19.857190798902899</v>
      </c>
      <c r="J988">
        <v>6.2549999999999999</v>
      </c>
      <c r="K988">
        <v>32.384135634281698</v>
      </c>
      <c r="L988">
        <v>31.9379467182196</v>
      </c>
      <c r="M988">
        <v>2.37586014042606</v>
      </c>
      <c r="N988">
        <v>53.768802714472201</v>
      </c>
      <c r="O988">
        <v>19.5803862338798</v>
      </c>
      <c r="P988">
        <v>1.4353220357693399</v>
      </c>
      <c r="Q988">
        <v>23.333728025696502</v>
      </c>
      <c r="R988">
        <v>76.818722988637901</v>
      </c>
      <c r="S988">
        <v>0.41183936640097402</v>
      </c>
      <c r="T988">
        <v>35.591409859369399</v>
      </c>
      <c r="U988">
        <v>0.82886359753922301</v>
      </c>
      <c r="V988">
        <v>56.927254059173798</v>
      </c>
    </row>
    <row r="989" spans="1:22" x14ac:dyDescent="0.25">
      <c r="A989" t="str">
        <f t="shared" si="15"/>
        <v>Lithuania2020</v>
      </c>
      <c r="B989" t="s">
        <v>141</v>
      </c>
      <c r="C989" t="s">
        <v>142</v>
      </c>
      <c r="D989">
        <v>2020</v>
      </c>
      <c r="E989">
        <v>20428.647815739401</v>
      </c>
      <c r="F989">
        <v>4.2815833698142597E-2</v>
      </c>
      <c r="G989">
        <v>1.19989444983569</v>
      </c>
      <c r="H989">
        <v>11</v>
      </c>
      <c r="I989">
        <v>19.934153967546301</v>
      </c>
      <c r="J989">
        <v>8.4870000000000001</v>
      </c>
      <c r="K989">
        <v>38.908888713682799</v>
      </c>
      <c r="L989">
        <v>32.796635612807997</v>
      </c>
      <c r="M989">
        <v>2.03874418596244</v>
      </c>
      <c r="N989">
        <v>53.963632100434701</v>
      </c>
      <c r="O989">
        <v>16.519822785046301</v>
      </c>
      <c r="P989">
        <v>1.4747385404589199</v>
      </c>
      <c r="Q989">
        <v>23.725472066534302</v>
      </c>
      <c r="R989">
        <v>72.434685503459704</v>
      </c>
      <c r="S989">
        <v>-6.41798915476841</v>
      </c>
      <c r="T989">
        <v>45.893139644793699</v>
      </c>
      <c r="U989">
        <v>0.48812445810793298</v>
      </c>
      <c r="V989">
        <v>50.396705547094697</v>
      </c>
    </row>
    <row r="990" spans="1:22" x14ac:dyDescent="0.25">
      <c r="A990" t="str">
        <f t="shared" si="15"/>
        <v>Lithuania2021</v>
      </c>
      <c r="B990" t="s">
        <v>141</v>
      </c>
      <c r="C990" t="s">
        <v>142</v>
      </c>
      <c r="D990">
        <v>2021</v>
      </c>
      <c r="E990">
        <v>23870.459485172199</v>
      </c>
      <c r="F990">
        <v>6.38001606179873</v>
      </c>
      <c r="G990">
        <v>4.6835442090345296</v>
      </c>
      <c r="H990">
        <v>11</v>
      </c>
      <c r="I990">
        <v>19.946984912260302</v>
      </c>
      <c r="J990">
        <v>7.1120000000000001</v>
      </c>
      <c r="K990">
        <v>35.188988953392098</v>
      </c>
      <c r="L990">
        <v>33.467383768096603</v>
      </c>
      <c r="M990">
        <v>5.9997665672236504</v>
      </c>
      <c r="N990">
        <v>53.981202360287</v>
      </c>
      <c r="O990">
        <v>21.835006708402702</v>
      </c>
      <c r="P990">
        <v>1.2352738813506801</v>
      </c>
      <c r="Q990">
        <v>23.331930692678799</v>
      </c>
      <c r="R990">
        <v>79.629938513041907</v>
      </c>
      <c r="S990">
        <v>-1.1503152696326999</v>
      </c>
      <c r="T990">
        <v>43.335385158075702</v>
      </c>
      <c r="U990">
        <v>0.80314129943355195</v>
      </c>
      <c r="V990">
        <v>56.434264859571996</v>
      </c>
    </row>
    <row r="991" spans="1:22" x14ac:dyDescent="0.25">
      <c r="A991" t="str">
        <f t="shared" si="15"/>
        <v>Lithuania2022</v>
      </c>
      <c r="B991" t="s">
        <v>141</v>
      </c>
      <c r="C991" t="s">
        <v>142</v>
      </c>
      <c r="D991">
        <v>2022</v>
      </c>
      <c r="E991">
        <v>25085.784063498999</v>
      </c>
      <c r="F991">
        <v>2.5375257401153402</v>
      </c>
      <c r="G991">
        <v>19.705046151839401</v>
      </c>
      <c r="H991">
        <v>11</v>
      </c>
      <c r="I991">
        <v>19.8607556942966</v>
      </c>
      <c r="J991">
        <v>5.9550000000000001</v>
      </c>
      <c r="K991">
        <v>34.046463604490199</v>
      </c>
      <c r="L991">
        <v>33.188860727427503</v>
      </c>
      <c r="M991">
        <v>16.0665428207157</v>
      </c>
      <c r="N991">
        <v>53.6328325704064</v>
      </c>
      <c r="O991">
        <v>28.075306101222601</v>
      </c>
      <c r="P991">
        <v>0.95839786021112405</v>
      </c>
      <c r="Q991">
        <v>21.4086279535438</v>
      </c>
      <c r="R991">
        <v>86.779849294343293</v>
      </c>
      <c r="S991">
        <v>-0.718166312826507</v>
      </c>
      <c r="T991">
        <v>38.3200543880155</v>
      </c>
      <c r="U991">
        <v>0.76186093821373302</v>
      </c>
      <c r="V991">
        <v>55.643092463022199</v>
      </c>
    </row>
    <row r="992" spans="1:22" x14ac:dyDescent="0.25">
      <c r="A992" t="str">
        <f t="shared" si="15"/>
        <v>Lithuania2023</v>
      </c>
      <c r="B992" t="s">
        <v>141</v>
      </c>
      <c r="C992" t="s">
        <v>142</v>
      </c>
      <c r="D992">
        <v>2023</v>
      </c>
      <c r="E992">
        <v>27786.005782927601</v>
      </c>
      <c r="F992">
        <v>0.34226271627726101</v>
      </c>
      <c r="G992">
        <v>9.1173196239047503</v>
      </c>
      <c r="H992">
        <v>11</v>
      </c>
      <c r="I992">
        <v>19.856178780063299</v>
      </c>
      <c r="J992">
        <v>6.8410000000000002</v>
      </c>
      <c r="K992">
        <v>34.100329659376797</v>
      </c>
      <c r="L992">
        <v>34.117404487847601</v>
      </c>
      <c r="M992">
        <v>9.0217556386887008</v>
      </c>
      <c r="N992">
        <v>53.2410196696624</v>
      </c>
      <c r="O992">
        <v>21.9341715222081</v>
      </c>
      <c r="P992">
        <v>1.16762895217615</v>
      </c>
      <c r="Q992">
        <v>23.746041911588701</v>
      </c>
      <c r="R992">
        <v>76.472858103364601</v>
      </c>
      <c r="S992">
        <v>-0.66354447375891401</v>
      </c>
      <c r="T992">
        <v>37.106450992289503</v>
      </c>
      <c r="U992">
        <v>0.80766165254123801</v>
      </c>
      <c r="V992">
        <v>56.520901179986303</v>
      </c>
    </row>
    <row r="993" spans="1:22" x14ac:dyDescent="0.25">
      <c r="A993" t="str">
        <f t="shared" si="15"/>
        <v>Lithuania2024</v>
      </c>
      <c r="B993" t="s">
        <v>141</v>
      </c>
      <c r="C993" t="s">
        <v>142</v>
      </c>
      <c r="D993">
        <v>2024</v>
      </c>
      <c r="E993">
        <v>29384.018959866298</v>
      </c>
      <c r="F993">
        <v>2.7726312453028501</v>
      </c>
      <c r="G993">
        <v>0.71573583522872297</v>
      </c>
      <c r="H993">
        <v>11</v>
      </c>
      <c r="I993">
        <v>20.1664889015269</v>
      </c>
      <c r="J993">
        <v>6.851</v>
      </c>
      <c r="K993">
        <v>33.5561661834681</v>
      </c>
      <c r="L993">
        <v>35.336152769002098</v>
      </c>
      <c r="M993">
        <v>3.3900081554718202</v>
      </c>
      <c r="N993">
        <v>53.544908626181801</v>
      </c>
      <c r="O993">
        <v>20.412431709253202</v>
      </c>
      <c r="P993">
        <v>1.3851970493397601</v>
      </c>
      <c r="Q993">
        <v>24.085679048666801</v>
      </c>
      <c r="R993">
        <v>74.113980754518394</v>
      </c>
      <c r="S993">
        <v>-1.2811441056105199</v>
      </c>
      <c r="T993">
        <v>37.965004930398401</v>
      </c>
      <c r="U993">
        <v>0.84679392957378097</v>
      </c>
      <c r="V993">
        <v>57.270903759600998</v>
      </c>
    </row>
    <row r="994" spans="1:22" x14ac:dyDescent="0.25">
      <c r="A994" t="str">
        <f t="shared" si="15"/>
        <v>Lithuania2025</v>
      </c>
      <c r="B994" t="s">
        <v>141</v>
      </c>
      <c r="C994" t="s">
        <v>142</v>
      </c>
      <c r="D994">
        <v>2025</v>
      </c>
      <c r="E994">
        <v>16800.151024609899</v>
      </c>
      <c r="F994">
        <v>3.7725437958099</v>
      </c>
      <c r="G994">
        <v>2.3345093798802701</v>
      </c>
      <c r="H994">
        <v>11</v>
      </c>
      <c r="I994">
        <v>19.504402571296001</v>
      </c>
      <c r="J994">
        <v>6.7309999999999999</v>
      </c>
      <c r="K994">
        <v>33.5561661834681</v>
      </c>
      <c r="L994">
        <v>31.553903860294199</v>
      </c>
      <c r="M994">
        <v>2.50518093222925</v>
      </c>
      <c r="N994">
        <v>52.469700642996401</v>
      </c>
      <c r="O994">
        <v>20.4182900930827</v>
      </c>
      <c r="P994">
        <v>1.44881422984277</v>
      </c>
      <c r="Q994">
        <v>22.168430262133199</v>
      </c>
      <c r="R994">
        <v>74.113980754518394</v>
      </c>
      <c r="S994">
        <v>-2.1848009822163599</v>
      </c>
      <c r="T994">
        <v>39.829575581644299</v>
      </c>
      <c r="U994">
        <v>0.637147868600627</v>
      </c>
      <c r="V994">
        <v>53.252862938588798</v>
      </c>
    </row>
    <row r="995" spans="1:22" x14ac:dyDescent="0.25">
      <c r="A995" t="str">
        <f t="shared" si="15"/>
        <v>Luxembourg2010</v>
      </c>
      <c r="B995" t="s">
        <v>143</v>
      </c>
      <c r="C995" t="s">
        <v>144</v>
      </c>
      <c r="D995">
        <v>2010</v>
      </c>
      <c r="E995">
        <v>110885.991378721</v>
      </c>
      <c r="F995">
        <v>3.7604145432002798</v>
      </c>
      <c r="G995">
        <v>2.2736791162154</v>
      </c>
      <c r="H995">
        <v>12</v>
      </c>
      <c r="I995">
        <v>13.991840917601101</v>
      </c>
      <c r="J995">
        <v>4.423</v>
      </c>
      <c r="K995">
        <v>37.587779461763198</v>
      </c>
      <c r="L995">
        <v>39.084726060583598</v>
      </c>
      <c r="M995">
        <v>4.6484175036022499</v>
      </c>
      <c r="N995">
        <v>46.302982029326799</v>
      </c>
      <c r="O995">
        <v>18.083193493624201</v>
      </c>
      <c r="P995">
        <v>4.3052654925298001E-2</v>
      </c>
      <c r="Q995">
        <v>17.935418913713399</v>
      </c>
      <c r="R995">
        <v>162.70985714004399</v>
      </c>
      <c r="S995">
        <v>-0.25753077044622102</v>
      </c>
      <c r="T995">
        <v>19.089586276345599</v>
      </c>
      <c r="U995">
        <v>2.0732811637338102</v>
      </c>
      <c r="V995">
        <v>80.777549915649701</v>
      </c>
    </row>
    <row r="996" spans="1:22" x14ac:dyDescent="0.25">
      <c r="A996" t="str">
        <f t="shared" si="15"/>
        <v>Luxembourg2011</v>
      </c>
      <c r="B996" t="s">
        <v>143</v>
      </c>
      <c r="C996" t="s">
        <v>144</v>
      </c>
      <c r="D996">
        <v>2011</v>
      </c>
      <c r="E996">
        <v>119025.057203467</v>
      </c>
      <c r="F996">
        <v>1.04429855323325</v>
      </c>
      <c r="G996">
        <v>3.4106834106834198</v>
      </c>
      <c r="H996">
        <v>12</v>
      </c>
      <c r="I996">
        <v>13.958297980655001</v>
      </c>
      <c r="J996">
        <v>5.1219999999999999</v>
      </c>
      <c r="K996">
        <v>37.758319712632598</v>
      </c>
      <c r="L996">
        <v>39.467536225619199</v>
      </c>
      <c r="M996">
        <v>3.44946182436412</v>
      </c>
      <c r="N996">
        <v>45.597083260770603</v>
      </c>
      <c r="O996">
        <v>19.268797706388799</v>
      </c>
      <c r="P996">
        <v>3.8186526541968399E-2</v>
      </c>
      <c r="Q996">
        <v>18.604991253005402</v>
      </c>
      <c r="R996">
        <v>169.489123436331</v>
      </c>
      <c r="S996">
        <v>0.65044502352025402</v>
      </c>
      <c r="T996">
        <v>18.503051428700299</v>
      </c>
      <c r="U996">
        <v>2.17340395649975</v>
      </c>
      <c r="V996">
        <v>82.696486367781802</v>
      </c>
    </row>
    <row r="997" spans="1:22" x14ac:dyDescent="0.25">
      <c r="A997" t="str">
        <f t="shared" si="15"/>
        <v>Luxembourg2012</v>
      </c>
      <c r="B997" t="s">
        <v>143</v>
      </c>
      <c r="C997" t="s">
        <v>144</v>
      </c>
      <c r="D997">
        <v>2012</v>
      </c>
      <c r="E997">
        <v>112584.67627095801</v>
      </c>
      <c r="F997">
        <v>1.6499021276455299</v>
      </c>
      <c r="G997">
        <v>2.6628416550802099</v>
      </c>
      <c r="H997">
        <v>12</v>
      </c>
      <c r="I997">
        <v>13.9654108927907</v>
      </c>
      <c r="J997">
        <v>5.03</v>
      </c>
      <c r="K997">
        <v>38.617403367106498</v>
      </c>
      <c r="L997">
        <v>39.7868058878949</v>
      </c>
      <c r="M997">
        <v>3.26597721899194</v>
      </c>
      <c r="N997">
        <v>44.993923836312199</v>
      </c>
      <c r="O997">
        <v>18.752304882247302</v>
      </c>
      <c r="P997">
        <v>3.4479811731360097E-2</v>
      </c>
      <c r="Q997">
        <v>25.447702263470799</v>
      </c>
      <c r="R997">
        <v>171.21178806676801</v>
      </c>
      <c r="S997">
        <v>0.50380215878365298</v>
      </c>
      <c r="T997">
        <v>20.849112972905498</v>
      </c>
      <c r="U997">
        <v>2.2006486332999899</v>
      </c>
      <c r="V997">
        <v>83.218653219047695</v>
      </c>
    </row>
    <row r="998" spans="1:22" x14ac:dyDescent="0.25">
      <c r="A998" t="str">
        <f t="shared" si="15"/>
        <v>Luxembourg2013</v>
      </c>
      <c r="B998" t="s">
        <v>143</v>
      </c>
      <c r="C998" t="s">
        <v>144</v>
      </c>
      <c r="D998">
        <v>2013</v>
      </c>
      <c r="E998">
        <v>120000.14072985901</v>
      </c>
      <c r="F998">
        <v>3.1717898996868299</v>
      </c>
      <c r="G998">
        <v>1.7340396351916201</v>
      </c>
      <c r="H998">
        <v>12</v>
      </c>
      <c r="I998">
        <v>14.025675734121499</v>
      </c>
      <c r="J998">
        <v>6.0449999999999999</v>
      </c>
      <c r="K998">
        <v>38.5515245916909</v>
      </c>
      <c r="L998">
        <v>39.790816439702603</v>
      </c>
      <c r="M998">
        <v>2.27602508879494</v>
      </c>
      <c r="N998">
        <v>44.800624655227097</v>
      </c>
      <c r="O998">
        <v>18.145372691423699</v>
      </c>
      <c r="P998">
        <v>2.88001621458298E-2</v>
      </c>
      <c r="Q998">
        <v>22.391669269829102</v>
      </c>
      <c r="R998">
        <v>176.383330927429</v>
      </c>
      <c r="S998">
        <v>0.84062369511859703</v>
      </c>
      <c r="T998">
        <v>22.406990599761599</v>
      </c>
      <c r="U998">
        <v>2.2744153698726501</v>
      </c>
      <c r="V998">
        <v>84.632453971639805</v>
      </c>
    </row>
    <row r="999" spans="1:22" x14ac:dyDescent="0.25">
      <c r="A999" t="str">
        <f t="shared" si="15"/>
        <v>Luxembourg2014</v>
      </c>
      <c r="B999" t="s">
        <v>143</v>
      </c>
      <c r="C999" t="s">
        <v>144</v>
      </c>
      <c r="D999">
        <v>2014</v>
      </c>
      <c r="E999">
        <v>123678.702143275</v>
      </c>
      <c r="F999">
        <v>2.6230867915488099</v>
      </c>
      <c r="G999">
        <v>0.62854398544071699</v>
      </c>
      <c r="H999">
        <v>12</v>
      </c>
      <c r="I999">
        <v>14.125106286593599</v>
      </c>
      <c r="J999">
        <v>6.0439999999999996</v>
      </c>
      <c r="K999">
        <v>37.737316301754198</v>
      </c>
      <c r="L999">
        <v>39.719594336672799</v>
      </c>
      <c r="M999">
        <v>2.79670142376848</v>
      </c>
      <c r="N999">
        <v>44.659257564253203</v>
      </c>
      <c r="O999">
        <v>19.093586759573299</v>
      </c>
      <c r="P999">
        <v>2.4795622160450798E-2</v>
      </c>
      <c r="Q999">
        <v>24.1254789746543</v>
      </c>
      <c r="R999">
        <v>182.782592419634</v>
      </c>
      <c r="S999">
        <v>1.3316882725703501</v>
      </c>
      <c r="T999">
        <v>21.863282321003101</v>
      </c>
      <c r="U999">
        <v>2.35195663040489</v>
      </c>
      <c r="V999">
        <v>86.118596609784504</v>
      </c>
    </row>
    <row r="1000" spans="1:22" x14ac:dyDescent="0.25">
      <c r="A1000" t="str">
        <f t="shared" si="15"/>
        <v>Luxembourg2015</v>
      </c>
      <c r="B1000" t="s">
        <v>143</v>
      </c>
      <c r="C1000" t="s">
        <v>144</v>
      </c>
      <c r="D1000">
        <v>2015</v>
      </c>
      <c r="E1000">
        <v>105462.01258442301</v>
      </c>
      <c r="F1000">
        <v>2.26978423302835</v>
      </c>
      <c r="G1000">
        <v>0.474743161437779</v>
      </c>
      <c r="H1000">
        <v>12</v>
      </c>
      <c r="I1000">
        <v>14.1954152151927</v>
      </c>
      <c r="J1000">
        <v>6.7960000000000003</v>
      </c>
      <c r="K1000">
        <v>37.215119253144501</v>
      </c>
      <c r="L1000">
        <v>39.439176803410497</v>
      </c>
      <c r="M1000">
        <v>2.2191809083740099</v>
      </c>
      <c r="N1000">
        <v>44.419625312809799</v>
      </c>
      <c r="O1000">
        <v>18.958485771126401</v>
      </c>
      <c r="P1000">
        <v>2.3045757421376701E-2</v>
      </c>
      <c r="Q1000">
        <v>17.807526859797601</v>
      </c>
      <c r="R1000">
        <v>191.83544904184399</v>
      </c>
      <c r="S1000">
        <v>1.3035993971452999</v>
      </c>
      <c r="T1000">
        <v>21.133159963355801</v>
      </c>
      <c r="U1000">
        <v>2.1676424075529801</v>
      </c>
      <c r="V1000">
        <v>82.586061498586005</v>
      </c>
    </row>
    <row r="1001" spans="1:22" x14ac:dyDescent="0.25">
      <c r="A1001" t="str">
        <f t="shared" si="15"/>
        <v>Luxembourg2016</v>
      </c>
      <c r="B1001" t="s">
        <v>143</v>
      </c>
      <c r="C1001" t="s">
        <v>144</v>
      </c>
      <c r="D1001">
        <v>2016</v>
      </c>
      <c r="E1001">
        <v>106899.29354955201</v>
      </c>
      <c r="F1001">
        <v>4.9781901152011603</v>
      </c>
      <c r="G1001">
        <v>0.29083333333331701</v>
      </c>
      <c r="H1001">
        <v>12</v>
      </c>
      <c r="I1001">
        <v>14.2424413802086</v>
      </c>
      <c r="J1001">
        <v>6.6689999999999996</v>
      </c>
      <c r="K1001">
        <v>36.834891745434099</v>
      </c>
      <c r="L1001">
        <v>39.521315694394602</v>
      </c>
      <c r="M1001">
        <v>-1.10761662343417</v>
      </c>
      <c r="N1001">
        <v>44.079989701746698</v>
      </c>
      <c r="O1001">
        <v>17.931913261989401</v>
      </c>
      <c r="P1001">
        <v>2.7849281854986301E-2</v>
      </c>
      <c r="Q1001">
        <v>19.566272506255501</v>
      </c>
      <c r="R1001">
        <v>191.09863374062201</v>
      </c>
      <c r="S1001">
        <v>1.8899444918872701</v>
      </c>
      <c r="T1001">
        <v>19.597566182749699</v>
      </c>
      <c r="U1001">
        <v>2.2637874412504599</v>
      </c>
      <c r="V1001">
        <v>84.428760895564096</v>
      </c>
    </row>
    <row r="1002" spans="1:22" x14ac:dyDescent="0.25">
      <c r="A1002" t="str">
        <f t="shared" si="15"/>
        <v>Luxembourg2017</v>
      </c>
      <c r="B1002" t="s">
        <v>143</v>
      </c>
      <c r="C1002" t="s">
        <v>144</v>
      </c>
      <c r="D1002">
        <v>2017</v>
      </c>
      <c r="E1002">
        <v>110193.213797228</v>
      </c>
      <c r="F1002">
        <v>1.3171871375428501</v>
      </c>
      <c r="G1002">
        <v>1.7307995911888701</v>
      </c>
      <c r="H1002">
        <v>12</v>
      </c>
      <c r="I1002">
        <v>14.3068137144371</v>
      </c>
      <c r="J1002">
        <v>5.5229999999999997</v>
      </c>
      <c r="K1002">
        <v>37.758533855547</v>
      </c>
      <c r="L1002">
        <v>39.930504650054203</v>
      </c>
      <c r="M1002">
        <v>2.1429045265774702</v>
      </c>
      <c r="N1002">
        <v>43.862857253140398</v>
      </c>
      <c r="O1002">
        <v>18.889717550224201</v>
      </c>
      <c r="P1002">
        <v>2.4220675107011199E-2</v>
      </c>
      <c r="Q1002">
        <v>21.666738972095299</v>
      </c>
      <c r="R1002">
        <v>192.747503540731</v>
      </c>
      <c r="S1002">
        <v>1.3667120518215901</v>
      </c>
      <c r="T1002">
        <v>21.802237625668699</v>
      </c>
      <c r="U1002">
        <v>2.2776380748792402</v>
      </c>
      <c r="V1002">
        <v>84.694219788800694</v>
      </c>
    </row>
    <row r="1003" spans="1:22" x14ac:dyDescent="0.25">
      <c r="A1003" t="str">
        <f t="shared" si="15"/>
        <v>Luxembourg2018</v>
      </c>
      <c r="B1003" t="s">
        <v>143</v>
      </c>
      <c r="C1003" t="s">
        <v>144</v>
      </c>
      <c r="D1003">
        <v>2018</v>
      </c>
      <c r="E1003">
        <v>116926.75959390499</v>
      </c>
      <c r="F1003">
        <v>1.61129561338169</v>
      </c>
      <c r="G1003">
        <v>1.5281952430737999</v>
      </c>
      <c r="H1003">
        <v>12</v>
      </c>
      <c r="I1003">
        <v>14.377628058496899</v>
      </c>
      <c r="J1003">
        <v>5.5890000000000004</v>
      </c>
      <c r="K1003">
        <v>38.827382015522197</v>
      </c>
      <c r="L1003">
        <v>42.4344624173931</v>
      </c>
      <c r="M1003">
        <v>1.8395880656486301</v>
      </c>
      <c r="N1003">
        <v>43.827005696765497</v>
      </c>
      <c r="O1003">
        <v>16.994913542212299</v>
      </c>
      <c r="P1003">
        <v>2.2137704486081902E-2</v>
      </c>
      <c r="Q1003">
        <v>20.4655048369703</v>
      </c>
      <c r="R1003">
        <v>197.21819995337401</v>
      </c>
      <c r="S1003">
        <v>3.1749275253972602</v>
      </c>
      <c r="T1003">
        <v>20.870027494662999</v>
      </c>
      <c r="U1003">
        <v>2.4897834963906198</v>
      </c>
      <c r="V1003">
        <v>88.760162929667501</v>
      </c>
    </row>
    <row r="1004" spans="1:22" x14ac:dyDescent="0.25">
      <c r="A1004" t="str">
        <f t="shared" si="15"/>
        <v>Luxembourg2019</v>
      </c>
      <c r="B1004" t="s">
        <v>143</v>
      </c>
      <c r="C1004" t="s">
        <v>144</v>
      </c>
      <c r="D1004">
        <v>2019</v>
      </c>
      <c r="E1004">
        <v>112696.649059674</v>
      </c>
      <c r="F1004">
        <v>2.7493192907265902</v>
      </c>
      <c r="G1004">
        <v>1.7433207565384801</v>
      </c>
      <c r="H1004">
        <v>12</v>
      </c>
      <c r="I1004">
        <v>14.470066740518201</v>
      </c>
      <c r="J1004">
        <v>5.5919999999999996</v>
      </c>
      <c r="K1004">
        <v>39.4793914222263</v>
      </c>
      <c r="L1004">
        <v>42.584457621825997</v>
      </c>
      <c r="M1004">
        <v>0.91637042154356196</v>
      </c>
      <c r="N1004">
        <v>43.863088967575202</v>
      </c>
      <c r="O1004">
        <v>18.653116084379</v>
      </c>
      <c r="P1004">
        <v>2.5992259457400899E-2</v>
      </c>
      <c r="Q1004">
        <v>18.042501036937601</v>
      </c>
      <c r="R1004">
        <v>206.58014583987199</v>
      </c>
      <c r="S1004">
        <v>2.6786830088920901</v>
      </c>
      <c r="T1004">
        <v>22.338860850757001</v>
      </c>
      <c r="U1004">
        <v>2.4529536074069398</v>
      </c>
      <c r="V1004">
        <v>88.054287528608995</v>
      </c>
    </row>
    <row r="1005" spans="1:22" x14ac:dyDescent="0.25">
      <c r="A1005" t="str">
        <f t="shared" si="15"/>
        <v>Luxembourg2020</v>
      </c>
      <c r="B1005" t="s">
        <v>143</v>
      </c>
      <c r="C1005" t="s">
        <v>144</v>
      </c>
      <c r="D1005">
        <v>2020</v>
      </c>
      <c r="E1005">
        <v>116860.02817236001</v>
      </c>
      <c r="F1005">
        <v>-0.51005163403982601</v>
      </c>
      <c r="G1005">
        <v>0.81995730212703599</v>
      </c>
      <c r="H1005">
        <v>12</v>
      </c>
      <c r="I1005">
        <v>14.585226380715399</v>
      </c>
      <c r="J1005">
        <v>6.766</v>
      </c>
      <c r="K1005">
        <v>42.903453701106301</v>
      </c>
      <c r="L1005">
        <v>41.152101309223198</v>
      </c>
      <c r="M1005">
        <v>3.8690632688953301</v>
      </c>
      <c r="N1005">
        <v>44.008543396571199</v>
      </c>
      <c r="O1005">
        <v>17.929490053999199</v>
      </c>
      <c r="P1005">
        <v>3.1868461832554498E-2</v>
      </c>
      <c r="Q1005">
        <v>20.573362730281801</v>
      </c>
      <c r="R1005">
        <v>204.43696228921499</v>
      </c>
      <c r="S1005">
        <v>-3.0927515380035699</v>
      </c>
      <c r="T1005">
        <v>24.532707382417101</v>
      </c>
      <c r="U1005">
        <v>2.1948457975692</v>
      </c>
      <c r="V1005">
        <v>83.107437054357007</v>
      </c>
    </row>
    <row r="1006" spans="1:22" x14ac:dyDescent="0.25">
      <c r="A1006" t="str">
        <f t="shared" si="15"/>
        <v>Luxembourg2021</v>
      </c>
      <c r="B1006" t="s">
        <v>143</v>
      </c>
      <c r="C1006" t="s">
        <v>144</v>
      </c>
      <c r="D1006">
        <v>2021</v>
      </c>
      <c r="E1006">
        <v>134965.815442152</v>
      </c>
      <c r="F1006">
        <v>6.9297342584233004</v>
      </c>
      <c r="G1006">
        <v>2.52692009066166</v>
      </c>
      <c r="H1006">
        <v>12</v>
      </c>
      <c r="I1006">
        <v>14.7153406197971</v>
      </c>
      <c r="J1006">
        <v>5.5709999999999997</v>
      </c>
      <c r="K1006">
        <v>39.009177760104798</v>
      </c>
      <c r="L1006">
        <v>40.898693732825301</v>
      </c>
      <c r="M1006">
        <v>5.9021297247060698</v>
      </c>
      <c r="N1006">
        <v>44.197530864197503</v>
      </c>
      <c r="O1006">
        <v>18.687875994330099</v>
      </c>
      <c r="P1006">
        <v>7.5002894172888704E-2</v>
      </c>
      <c r="Q1006">
        <v>20.374868761110299</v>
      </c>
      <c r="R1006">
        <v>215.618162988769</v>
      </c>
      <c r="S1006">
        <v>1.1141901105701499</v>
      </c>
      <c r="T1006">
        <v>24.184551941686401</v>
      </c>
      <c r="U1006">
        <v>2.6432454910810699</v>
      </c>
      <c r="V1006">
        <v>91.701389472527097</v>
      </c>
    </row>
    <row r="1007" spans="1:22" x14ac:dyDescent="0.25">
      <c r="A1007" t="str">
        <f t="shared" si="15"/>
        <v>Luxembourg2022</v>
      </c>
      <c r="B1007" t="s">
        <v>143</v>
      </c>
      <c r="C1007" t="s">
        <v>144</v>
      </c>
      <c r="D1007">
        <v>2022</v>
      </c>
      <c r="E1007">
        <v>123719.658915996</v>
      </c>
      <c r="F1007">
        <v>-1.0974168968152</v>
      </c>
      <c r="G1007">
        <v>6.3360080777791898</v>
      </c>
      <c r="H1007">
        <v>12</v>
      </c>
      <c r="I1007">
        <v>14.8424375777289</v>
      </c>
      <c r="J1007">
        <v>4.5880000000000001</v>
      </c>
      <c r="K1007">
        <v>40.898884736514297</v>
      </c>
      <c r="L1007">
        <v>41.979275834294</v>
      </c>
      <c r="M1007">
        <v>6.22005985627277</v>
      </c>
      <c r="N1007">
        <v>44.344374432271501</v>
      </c>
      <c r="O1007">
        <v>17.033176663024701</v>
      </c>
      <c r="P1007">
        <v>7.3592291682304994E-2</v>
      </c>
      <c r="Q1007">
        <v>13.350358328469</v>
      </c>
      <c r="R1007">
        <v>222.30845616310299</v>
      </c>
      <c r="S1007">
        <v>0.21373313593427401</v>
      </c>
      <c r="T1007">
        <v>24.901604562420498</v>
      </c>
      <c r="U1007">
        <v>2.4618498546285701</v>
      </c>
      <c r="V1007">
        <v>88.224791492882801</v>
      </c>
    </row>
    <row r="1008" spans="1:22" x14ac:dyDescent="0.25">
      <c r="A1008" t="str">
        <f t="shared" si="15"/>
        <v>Luxembourg2023</v>
      </c>
      <c r="B1008" t="s">
        <v>143</v>
      </c>
      <c r="C1008" t="s">
        <v>144</v>
      </c>
      <c r="D1008">
        <v>2023</v>
      </c>
      <c r="E1008">
        <v>133230.61917889901</v>
      </c>
      <c r="F1008">
        <v>9.9439994355265099E-2</v>
      </c>
      <c r="G1008">
        <v>3.7414036198313601</v>
      </c>
      <c r="H1008">
        <v>12</v>
      </c>
      <c r="I1008">
        <v>15.1061948765445</v>
      </c>
      <c r="J1008">
        <v>5.1840000000000002</v>
      </c>
      <c r="K1008">
        <v>42.232173791369597</v>
      </c>
      <c r="L1008">
        <v>42.879010495829803</v>
      </c>
      <c r="M1008">
        <v>6.9107492708102098</v>
      </c>
      <c r="N1008">
        <v>44.772543115901897</v>
      </c>
      <c r="O1008">
        <v>16.425910976336102</v>
      </c>
      <c r="P1008">
        <v>6.5393645645061796E-2</v>
      </c>
      <c r="Q1008">
        <v>15.785401674267</v>
      </c>
      <c r="R1008">
        <v>217.37982258397801</v>
      </c>
      <c r="S1008">
        <v>-0.65481018176858397</v>
      </c>
      <c r="T1008">
        <v>24.682093736375801</v>
      </c>
      <c r="U1008">
        <v>2.5328321358438002</v>
      </c>
      <c r="V1008">
        <v>89.585225846704901</v>
      </c>
    </row>
    <row r="1009" spans="1:22" x14ac:dyDescent="0.25">
      <c r="A1009" t="str">
        <f t="shared" si="15"/>
        <v>Luxembourg2024</v>
      </c>
      <c r="B1009" t="s">
        <v>143</v>
      </c>
      <c r="C1009" t="s">
        <v>144</v>
      </c>
      <c r="D1009">
        <v>2024</v>
      </c>
      <c r="E1009">
        <v>137781.68165912299</v>
      </c>
      <c r="F1009">
        <v>0.35861253942068999</v>
      </c>
      <c r="G1009">
        <v>2.0511326995485901</v>
      </c>
      <c r="H1009">
        <v>12</v>
      </c>
      <c r="I1009">
        <v>15.476363820063099</v>
      </c>
      <c r="J1009">
        <v>6.4</v>
      </c>
      <c r="K1009">
        <v>38.584463979398699</v>
      </c>
      <c r="L1009">
        <v>44.588390754822299</v>
      </c>
      <c r="M1009">
        <v>4.57509535408039</v>
      </c>
      <c r="N1009">
        <v>45.462280387004498</v>
      </c>
      <c r="O1009">
        <v>15.8427821306684</v>
      </c>
      <c r="P1009">
        <v>6.0050073187215502E-2</v>
      </c>
      <c r="Q1009">
        <v>12.526687822156299</v>
      </c>
      <c r="R1009">
        <v>191.532970187611</v>
      </c>
      <c r="S1009">
        <v>0.888486115736427</v>
      </c>
      <c r="T1009">
        <v>26.280832162338701</v>
      </c>
      <c r="U1009">
        <v>2.4799130144984001</v>
      </c>
      <c r="V1009">
        <v>88.570986949055794</v>
      </c>
    </row>
    <row r="1010" spans="1:22" x14ac:dyDescent="0.25">
      <c r="A1010" t="str">
        <f t="shared" si="15"/>
        <v>Luxembourg2025</v>
      </c>
      <c r="B1010" t="s">
        <v>143</v>
      </c>
      <c r="C1010" t="s">
        <v>144</v>
      </c>
      <c r="D1010">
        <v>2025</v>
      </c>
      <c r="E1010">
        <v>116926.75959390499</v>
      </c>
      <c r="F1010">
        <v>1.6499021276455299</v>
      </c>
      <c r="G1010">
        <v>1.7433207565384801</v>
      </c>
      <c r="H1010">
        <v>12</v>
      </c>
      <c r="I1010">
        <v>14.3068137144371</v>
      </c>
      <c r="J1010">
        <v>6.343</v>
      </c>
      <c r="K1010">
        <v>38.584463979398699</v>
      </c>
      <c r="L1010">
        <v>39.930504650054203</v>
      </c>
      <c r="M1010">
        <v>3.26597721899194</v>
      </c>
      <c r="N1010">
        <v>44.419625312809799</v>
      </c>
      <c r="O1010">
        <v>18.145372691423699</v>
      </c>
      <c r="P1010">
        <v>3.1868461832554498E-2</v>
      </c>
      <c r="Q1010">
        <v>19.566272506255501</v>
      </c>
      <c r="R1010">
        <v>191.83544904184399</v>
      </c>
      <c r="S1010">
        <v>-0.96461265966432597</v>
      </c>
      <c r="T1010">
        <v>26.971975402010099</v>
      </c>
      <c r="U1010">
        <v>2.1920324277486101</v>
      </c>
      <c r="V1010">
        <v>83.053516485893994</v>
      </c>
    </row>
    <row r="1011" spans="1:22" x14ac:dyDescent="0.25">
      <c r="A1011" t="str">
        <f t="shared" si="15"/>
        <v>Macao SAR, China2010</v>
      </c>
      <c r="B1011" t="s">
        <v>145</v>
      </c>
      <c r="C1011" t="s">
        <v>146</v>
      </c>
      <c r="D1011">
        <v>2010</v>
      </c>
      <c r="E1011">
        <v>52596.225016021403</v>
      </c>
      <c r="F1011">
        <v>25.103107524695801</v>
      </c>
      <c r="G1011">
        <v>2.8094724206084298</v>
      </c>
      <c r="H1011">
        <v>10</v>
      </c>
      <c r="I1011">
        <v>6.9635069309024198</v>
      </c>
      <c r="J1011">
        <v>2.84</v>
      </c>
      <c r="K1011">
        <v>14.7030839670643</v>
      </c>
      <c r="L1011">
        <v>36.530137578211303</v>
      </c>
      <c r="M1011">
        <v>4.8073569215626897</v>
      </c>
      <c r="N1011">
        <v>24.551775964522498</v>
      </c>
      <c r="O1011">
        <v>13.245522440889101</v>
      </c>
      <c r="P1011">
        <v>20.9419554644623</v>
      </c>
      <c r="Q1011">
        <v>52.170757637207899</v>
      </c>
      <c r="R1011">
        <v>87.423899192977501</v>
      </c>
      <c r="S1011">
        <v>19.403678861191199</v>
      </c>
      <c r="T1011">
        <v>0</v>
      </c>
      <c r="U1011">
        <v>2.6910031564270702</v>
      </c>
      <c r="V1011">
        <v>92.616704780554898</v>
      </c>
    </row>
    <row r="1012" spans="1:22" x14ac:dyDescent="0.25">
      <c r="A1012" t="str">
        <f t="shared" si="15"/>
        <v>Macao SAR, China2011</v>
      </c>
      <c r="B1012" t="s">
        <v>145</v>
      </c>
      <c r="C1012" t="s">
        <v>146</v>
      </c>
      <c r="D1012">
        <v>2011</v>
      </c>
      <c r="E1012">
        <v>67046.728429210096</v>
      </c>
      <c r="F1012">
        <v>21.622306438108701</v>
      </c>
      <c r="G1012">
        <v>5.8062461669104302</v>
      </c>
      <c r="H1012">
        <v>10</v>
      </c>
      <c r="I1012">
        <v>7.1727187050765897</v>
      </c>
      <c r="J1012">
        <v>2.56</v>
      </c>
      <c r="K1012">
        <v>11.9986560556484</v>
      </c>
      <c r="L1012">
        <v>39.850064041358998</v>
      </c>
      <c r="M1012">
        <v>7.4853348126691399</v>
      </c>
      <c r="N1012">
        <v>24.138865674338799</v>
      </c>
      <c r="O1012">
        <v>13.771990983612101</v>
      </c>
      <c r="P1012">
        <v>21.561599959341802</v>
      </c>
      <c r="Q1012">
        <v>54.157272661573302</v>
      </c>
      <c r="R1012">
        <v>90.339874501628003</v>
      </c>
      <c r="S1012">
        <v>24.6688283042702</v>
      </c>
      <c r="T1012">
        <v>0</v>
      </c>
      <c r="U1012">
        <v>3.0762353700133498</v>
      </c>
      <c r="V1012">
        <v>100</v>
      </c>
    </row>
    <row r="1013" spans="1:22" x14ac:dyDescent="0.25">
      <c r="A1013" t="str">
        <f t="shared" si="15"/>
        <v>Macao SAR, China2012</v>
      </c>
      <c r="B1013" t="s">
        <v>145</v>
      </c>
      <c r="C1013" t="s">
        <v>146</v>
      </c>
      <c r="D1013">
        <v>2012</v>
      </c>
      <c r="E1013">
        <v>76058.022496365898</v>
      </c>
      <c r="F1013">
        <v>9.21747479596735</v>
      </c>
      <c r="G1013">
        <v>6.1073892833654897</v>
      </c>
      <c r="H1013">
        <v>10</v>
      </c>
      <c r="I1013">
        <v>7.4509039561967896</v>
      </c>
      <c r="J1013">
        <v>1.97</v>
      </c>
      <c r="K1013">
        <v>10.9036655919405</v>
      </c>
      <c r="L1013">
        <v>38.925474580697703</v>
      </c>
      <c r="M1013">
        <v>6.9455014054725703</v>
      </c>
      <c r="N1013">
        <v>24.5585945210888</v>
      </c>
      <c r="O1013">
        <v>14.6458075564532</v>
      </c>
      <c r="P1013">
        <v>8.5177825737839807</v>
      </c>
      <c r="Q1013">
        <v>53.484677228930202</v>
      </c>
      <c r="R1013">
        <v>90.773349869171795</v>
      </c>
      <c r="S1013">
        <v>23.979197817730501</v>
      </c>
      <c r="T1013">
        <v>0</v>
      </c>
      <c r="U1013">
        <v>2.8445960752696502</v>
      </c>
      <c r="V1013">
        <v>95.560440593492103</v>
      </c>
    </row>
    <row r="1014" spans="1:22" x14ac:dyDescent="0.25">
      <c r="A1014" t="str">
        <f t="shared" si="15"/>
        <v>Macao SAR, China2013</v>
      </c>
      <c r="B1014" t="s">
        <v>145</v>
      </c>
      <c r="C1014" t="s">
        <v>146</v>
      </c>
      <c r="D1014">
        <v>2013</v>
      </c>
      <c r="E1014">
        <v>87107.831306362597</v>
      </c>
      <c r="F1014">
        <v>10.781671159029701</v>
      </c>
      <c r="G1014">
        <v>5.5005777917848402</v>
      </c>
      <c r="H1014">
        <v>10</v>
      </c>
      <c r="I1014">
        <v>7.7914063295938298</v>
      </c>
      <c r="J1014">
        <v>1.82</v>
      </c>
      <c r="K1014">
        <v>10.466326899463199</v>
      </c>
      <c r="L1014">
        <v>38.243198298694701</v>
      </c>
      <c r="M1014">
        <v>7.7426435157314399</v>
      </c>
      <c r="N1014">
        <v>25.509492214751202</v>
      </c>
      <c r="O1014">
        <v>14.062958979799401</v>
      </c>
      <c r="P1014">
        <v>7.0538465240998303</v>
      </c>
      <c r="Q1014">
        <v>53.392118771561201</v>
      </c>
      <c r="R1014">
        <v>90.624613091408705</v>
      </c>
      <c r="S1014">
        <v>26.9742554550287</v>
      </c>
      <c r="T1014">
        <v>0</v>
      </c>
      <c r="U1014">
        <v>3.0653452818569602</v>
      </c>
      <c r="V1014">
        <v>99.791282418788597</v>
      </c>
    </row>
    <row r="1015" spans="1:22" x14ac:dyDescent="0.25">
      <c r="A1015" t="str">
        <f t="shared" si="15"/>
        <v>Macao SAR, China2014</v>
      </c>
      <c r="B1015" t="s">
        <v>145</v>
      </c>
      <c r="C1015" t="s">
        <v>146</v>
      </c>
      <c r="D1015">
        <v>2014</v>
      </c>
      <c r="E1015">
        <v>88355.318176444605</v>
      </c>
      <c r="F1015">
        <v>-2.03874227961819</v>
      </c>
      <c r="G1015">
        <v>6.0482345209407598</v>
      </c>
      <c r="H1015">
        <v>10</v>
      </c>
      <c r="I1015">
        <v>8.1897709993708094</v>
      </c>
      <c r="J1015">
        <v>1.67</v>
      </c>
      <c r="K1015">
        <v>11.363913805927</v>
      </c>
      <c r="L1015">
        <v>37.241425273022301</v>
      </c>
      <c r="M1015">
        <v>8.7271700640860992</v>
      </c>
      <c r="N1015">
        <v>26.5812475694649</v>
      </c>
      <c r="O1015">
        <v>19.7863412477179</v>
      </c>
      <c r="P1015">
        <v>6.3138446784654496</v>
      </c>
      <c r="Q1015">
        <v>52.487262100057698</v>
      </c>
      <c r="R1015">
        <v>85.606639057111707</v>
      </c>
      <c r="S1015">
        <v>24.148218547585401</v>
      </c>
      <c r="T1015">
        <v>0</v>
      </c>
      <c r="U1015">
        <v>2.7181565634531299</v>
      </c>
      <c r="V1015">
        <v>93.137122370820194</v>
      </c>
    </row>
    <row r="1016" spans="1:22" x14ac:dyDescent="0.25">
      <c r="A1016" t="str">
        <f t="shared" si="15"/>
        <v>Macao SAR, China2015</v>
      </c>
      <c r="B1016" t="s">
        <v>145</v>
      </c>
      <c r="C1016" t="s">
        <v>146</v>
      </c>
      <c r="D1016">
        <v>2015</v>
      </c>
      <c r="E1016">
        <v>69902.960574123295</v>
      </c>
      <c r="F1016">
        <v>-21.7540078753246</v>
      </c>
      <c r="G1016">
        <v>4.5605633802817298</v>
      </c>
      <c r="H1016">
        <v>10</v>
      </c>
      <c r="I1016">
        <v>8.6103034657228896</v>
      </c>
      <c r="J1016">
        <v>1.81</v>
      </c>
      <c r="K1016">
        <v>15.412582844514001</v>
      </c>
      <c r="L1016">
        <v>31.829030767740701</v>
      </c>
      <c r="M1016">
        <v>4.5310655485089502</v>
      </c>
      <c r="N1016">
        <v>27.6834071152368</v>
      </c>
      <c r="O1016">
        <v>25.397590630042199</v>
      </c>
      <c r="P1016">
        <v>8.2036838740042004</v>
      </c>
      <c r="Q1016">
        <v>48.348183255059098</v>
      </c>
      <c r="R1016">
        <v>78.704970614380997</v>
      </c>
      <c r="S1016">
        <v>13.850223119808</v>
      </c>
      <c r="T1016">
        <v>0</v>
      </c>
      <c r="U1016">
        <v>1.7550619523242299</v>
      </c>
      <c r="V1016">
        <v>74.678614521687294</v>
      </c>
    </row>
    <row r="1017" spans="1:22" x14ac:dyDescent="0.25">
      <c r="A1017" t="str">
        <f t="shared" si="15"/>
        <v>Macao SAR, China2016</v>
      </c>
      <c r="B1017" t="s">
        <v>145</v>
      </c>
      <c r="C1017" t="s">
        <v>146</v>
      </c>
      <c r="D1017">
        <v>2016</v>
      </c>
      <c r="E1017">
        <v>68911.675591962805</v>
      </c>
      <c r="F1017">
        <v>-0.70151021255296098</v>
      </c>
      <c r="G1017">
        <v>2.3689574970589802</v>
      </c>
      <c r="H1017">
        <v>10</v>
      </c>
      <c r="I1017">
        <v>9.0360177925199192</v>
      </c>
      <c r="J1017">
        <v>1.9390000000000001</v>
      </c>
      <c r="K1017">
        <v>16.345931165820598</v>
      </c>
      <c r="L1017">
        <v>30.3056660240252</v>
      </c>
      <c r="M1017">
        <v>0.88831920842326895</v>
      </c>
      <c r="N1017">
        <v>28.730470946371199</v>
      </c>
      <c r="O1017">
        <v>21.898652839940301</v>
      </c>
      <c r="P1017">
        <v>9.2650952491563707</v>
      </c>
      <c r="Q1017">
        <v>48.016180015684299</v>
      </c>
      <c r="R1017">
        <v>76.808707722178497</v>
      </c>
      <c r="S1017">
        <v>11.441422404854499</v>
      </c>
      <c r="T1017">
        <v>0</v>
      </c>
      <c r="U1017">
        <v>1.8788904474091599</v>
      </c>
      <c r="V1017">
        <v>77.051890440853995</v>
      </c>
    </row>
    <row r="1018" spans="1:22" x14ac:dyDescent="0.25">
      <c r="A1018" t="str">
        <f t="shared" si="15"/>
        <v>Macao SAR, China2017</v>
      </c>
      <c r="B1018" t="s">
        <v>145</v>
      </c>
      <c r="C1018" t="s">
        <v>146</v>
      </c>
      <c r="D1018">
        <v>2017</v>
      </c>
      <c r="E1018">
        <v>77570.987616697705</v>
      </c>
      <c r="F1018">
        <v>9.9185584451351296</v>
      </c>
      <c r="G1018">
        <v>1.22812404052809</v>
      </c>
      <c r="H1018">
        <v>10</v>
      </c>
      <c r="I1018">
        <v>9.4998178807818991</v>
      </c>
      <c r="J1018">
        <v>1.9810000000000001</v>
      </c>
      <c r="K1018">
        <v>15.2119168179021</v>
      </c>
      <c r="L1018">
        <v>31.976283536228799</v>
      </c>
      <c r="M1018">
        <v>2.1586727382933302</v>
      </c>
      <c r="N1018">
        <v>29.8365829190003</v>
      </c>
      <c r="O1018">
        <v>19.616829004865199</v>
      </c>
      <c r="P1018">
        <v>8.54847553896089</v>
      </c>
      <c r="Q1018">
        <v>50.051767170670601</v>
      </c>
      <c r="R1018">
        <v>80.646991210947206</v>
      </c>
      <c r="S1018">
        <v>13.296845361745801</v>
      </c>
      <c r="T1018">
        <v>0</v>
      </c>
      <c r="U1018">
        <v>2.2085794650255899</v>
      </c>
      <c r="V1018">
        <v>83.370654193786507</v>
      </c>
    </row>
    <row r="1019" spans="1:22" x14ac:dyDescent="0.25">
      <c r="A1019" t="str">
        <f t="shared" si="15"/>
        <v>Macao SAR, China2018</v>
      </c>
      <c r="B1019" t="s">
        <v>145</v>
      </c>
      <c r="C1019" t="s">
        <v>146</v>
      </c>
      <c r="D1019">
        <v>2018</v>
      </c>
      <c r="E1019">
        <v>83588.287500901395</v>
      </c>
      <c r="F1019">
        <v>6.3591703056768596</v>
      </c>
      <c r="G1019">
        <v>3.0044629316695302</v>
      </c>
      <c r="H1019">
        <v>10</v>
      </c>
      <c r="I1019">
        <v>10.0197033267959</v>
      </c>
      <c r="J1019">
        <v>1.8029999999999999</v>
      </c>
      <c r="K1019">
        <v>14.604090037824699</v>
      </c>
      <c r="L1019">
        <v>31.447159601575802</v>
      </c>
      <c r="M1019">
        <v>3.55161780123106</v>
      </c>
      <c r="N1019">
        <v>31.203429722938001</v>
      </c>
      <c r="O1019">
        <v>17.284144991947901</v>
      </c>
      <c r="P1019">
        <v>7.62567981277427</v>
      </c>
      <c r="Q1019">
        <v>49.7885047734392</v>
      </c>
      <c r="R1019">
        <v>82.851706237460803</v>
      </c>
      <c r="S1019">
        <v>13.3532719642152</v>
      </c>
      <c r="T1019">
        <v>0</v>
      </c>
      <c r="U1019">
        <v>2.2384065744725499</v>
      </c>
      <c r="V1019">
        <v>83.942315510838498</v>
      </c>
    </row>
    <row r="1020" spans="1:22" x14ac:dyDescent="0.25">
      <c r="A1020" t="str">
        <f t="shared" si="15"/>
        <v>Macao SAR, China2019</v>
      </c>
      <c r="B1020" t="s">
        <v>145</v>
      </c>
      <c r="C1020" t="s">
        <v>146</v>
      </c>
      <c r="D1020">
        <v>2019</v>
      </c>
      <c r="E1020">
        <v>81882.696452386896</v>
      </c>
      <c r="F1020">
        <v>-2.4609094006738998</v>
      </c>
      <c r="G1020">
        <v>2.7519308105197502</v>
      </c>
      <c r="H1020">
        <v>10</v>
      </c>
      <c r="I1020">
        <v>10.6213504547121</v>
      </c>
      <c r="J1020">
        <v>1.73</v>
      </c>
      <c r="K1020">
        <v>15.8478754848552</v>
      </c>
      <c r="L1020">
        <v>32.928085006732999</v>
      </c>
      <c r="M1020">
        <v>2.4019362677413501</v>
      </c>
      <c r="N1020">
        <v>32.859100156386198</v>
      </c>
      <c r="O1020">
        <v>14.1724783202989</v>
      </c>
      <c r="P1020">
        <v>8.0968370526030302</v>
      </c>
      <c r="Q1020">
        <v>47.049532749338297</v>
      </c>
      <c r="R1020">
        <v>82.646781315937005</v>
      </c>
      <c r="S1020">
        <v>14.4549823444972</v>
      </c>
      <c r="T1020">
        <v>0</v>
      </c>
      <c r="U1020">
        <v>2.22466127376418</v>
      </c>
      <c r="V1020">
        <v>83.678875410476195</v>
      </c>
    </row>
    <row r="1021" spans="1:22" x14ac:dyDescent="0.25">
      <c r="A1021" t="str">
        <f t="shared" si="15"/>
        <v>Macao SAR, China2020</v>
      </c>
      <c r="B1021" t="s">
        <v>145</v>
      </c>
      <c r="C1021" t="s">
        <v>146</v>
      </c>
      <c r="D1021">
        <v>2020</v>
      </c>
      <c r="E1021">
        <v>36883.6652578543</v>
      </c>
      <c r="F1021">
        <v>-54.402092578935303</v>
      </c>
      <c r="G1021">
        <v>0.811410511491512</v>
      </c>
      <c r="H1021">
        <v>10</v>
      </c>
      <c r="I1021">
        <v>11.3116365683283</v>
      </c>
      <c r="J1021">
        <v>2.5419999999999998</v>
      </c>
      <c r="K1021">
        <v>43.209136578330799</v>
      </c>
      <c r="L1021">
        <v>27.832124399219701</v>
      </c>
      <c r="M1021">
        <v>-0.26012612677008901</v>
      </c>
      <c r="N1021">
        <v>34.560753571631899</v>
      </c>
      <c r="O1021">
        <v>26.168525083678301</v>
      </c>
      <c r="P1021">
        <v>16.9629789248864</v>
      </c>
      <c r="Q1021">
        <v>39.467412510887897</v>
      </c>
      <c r="R1021">
        <v>61.664950189142601</v>
      </c>
      <c r="S1021">
        <v>-21.463976542319401</v>
      </c>
      <c r="T1021">
        <v>0</v>
      </c>
      <c r="U1021">
        <v>-0.35559910120222699</v>
      </c>
      <c r="V1021">
        <v>34.226043016058398</v>
      </c>
    </row>
    <row r="1022" spans="1:22" x14ac:dyDescent="0.25">
      <c r="A1022" t="str">
        <f t="shared" si="15"/>
        <v>Macao SAR, China2021</v>
      </c>
      <c r="B1022" t="s">
        <v>145</v>
      </c>
      <c r="C1022" t="s">
        <v>146</v>
      </c>
      <c r="D1022">
        <v>2021</v>
      </c>
      <c r="E1022">
        <v>44884.896160239303</v>
      </c>
      <c r="F1022">
        <v>22.462202002336198</v>
      </c>
      <c r="G1022">
        <v>2.64543647055504E-2</v>
      </c>
      <c r="H1022">
        <v>10</v>
      </c>
      <c r="I1022">
        <v>12.0335194887111</v>
      </c>
      <c r="J1022">
        <v>2.2210000000000001</v>
      </c>
      <c r="K1022">
        <v>31.757406494982501</v>
      </c>
      <c r="L1022">
        <v>24.792740639281401</v>
      </c>
      <c r="M1022">
        <v>-0.84444481203463795</v>
      </c>
      <c r="N1022">
        <v>35.947509322114897</v>
      </c>
      <c r="O1022">
        <v>23.084231429491801</v>
      </c>
      <c r="P1022">
        <v>10.583294279111801</v>
      </c>
      <c r="Q1022">
        <v>30.046121212320799</v>
      </c>
      <c r="R1022">
        <v>91.894911535999299</v>
      </c>
      <c r="S1022">
        <v>-13.0323145394793</v>
      </c>
      <c r="T1022">
        <v>0</v>
      </c>
      <c r="U1022">
        <v>0.79414320060138199</v>
      </c>
      <c r="V1022">
        <v>56.261808824618001</v>
      </c>
    </row>
    <row r="1023" spans="1:22" x14ac:dyDescent="0.25">
      <c r="A1023" t="str">
        <f t="shared" si="15"/>
        <v>Macao SAR, China2022</v>
      </c>
      <c r="B1023" t="s">
        <v>145</v>
      </c>
      <c r="C1023" t="s">
        <v>146</v>
      </c>
      <c r="D1023">
        <v>2022</v>
      </c>
      <c r="E1023">
        <v>36806.891255461</v>
      </c>
      <c r="F1023">
        <v>-18.956941494496999</v>
      </c>
      <c r="G1023">
        <v>1.04502802369954</v>
      </c>
      <c r="H1023">
        <v>10</v>
      </c>
      <c r="I1023">
        <v>12.7420560469024</v>
      </c>
      <c r="J1023">
        <v>2.4460000000000002</v>
      </c>
      <c r="K1023">
        <v>49.174470739356401</v>
      </c>
      <c r="L1023">
        <v>20.596461406714401</v>
      </c>
      <c r="M1023">
        <v>1.16185333991999</v>
      </c>
      <c r="N1023">
        <v>37.0195565931432</v>
      </c>
      <c r="O1023">
        <v>23.205013428827201</v>
      </c>
      <c r="P1023">
        <v>12.287492871819801</v>
      </c>
      <c r="Q1023">
        <v>35.664909010948399</v>
      </c>
      <c r="R1023">
        <v>84.791604496170294</v>
      </c>
      <c r="S1023">
        <v>-37.138836005167498</v>
      </c>
      <c r="T1023">
        <v>0</v>
      </c>
      <c r="U1023">
        <v>-0.66919278302345997</v>
      </c>
      <c r="V1023">
        <v>28.215759737086699</v>
      </c>
    </row>
    <row r="1024" spans="1:22" x14ac:dyDescent="0.25">
      <c r="A1024" t="str">
        <f t="shared" si="15"/>
        <v>Macao SAR, China2023</v>
      </c>
      <c r="B1024" t="s">
        <v>145</v>
      </c>
      <c r="C1024" t="s">
        <v>146</v>
      </c>
      <c r="D1024">
        <v>2023</v>
      </c>
      <c r="E1024">
        <v>67216.363111212399</v>
      </c>
      <c r="F1024">
        <v>75.308418429341302</v>
      </c>
      <c r="G1024">
        <v>0.47638449578807501</v>
      </c>
      <c r="H1024">
        <v>10</v>
      </c>
      <c r="I1024">
        <v>13.479471895326</v>
      </c>
      <c r="J1024">
        <v>2.206</v>
      </c>
      <c r="K1024">
        <v>19.586726027172801</v>
      </c>
      <c r="L1024">
        <v>27.424367192854699</v>
      </c>
      <c r="M1024">
        <v>4.3773003083656796</v>
      </c>
      <c r="N1024">
        <v>38.072078888916003</v>
      </c>
      <c r="O1024">
        <v>15.2974689049317</v>
      </c>
      <c r="P1024">
        <v>8.4995155545169503</v>
      </c>
      <c r="Q1024">
        <v>44.966151329820804</v>
      </c>
      <c r="R1024">
        <v>92.417043576585201</v>
      </c>
      <c r="S1024">
        <v>2.1191947294247102</v>
      </c>
      <c r="T1024">
        <v>0</v>
      </c>
      <c r="U1024">
        <v>2.3477960575692398</v>
      </c>
      <c r="V1024">
        <v>86.038855776997906</v>
      </c>
    </row>
    <row r="1025" spans="1:22" x14ac:dyDescent="0.25">
      <c r="A1025" t="str">
        <f t="shared" si="15"/>
        <v>Macao SAR, China2024</v>
      </c>
      <c r="B1025" t="s">
        <v>145</v>
      </c>
      <c r="C1025" t="s">
        <v>146</v>
      </c>
      <c r="D1025">
        <v>2024</v>
      </c>
      <c r="E1025">
        <v>72004.743702073305</v>
      </c>
      <c r="F1025">
        <v>7.8496020701052496</v>
      </c>
      <c r="G1025">
        <v>0.67249859885436503</v>
      </c>
      <c r="H1025">
        <v>10</v>
      </c>
      <c r="I1025">
        <v>14.268418991977899</v>
      </c>
      <c r="J1025">
        <v>2.262</v>
      </c>
      <c r="K1025">
        <v>15.312249831208</v>
      </c>
      <c r="L1025">
        <v>31.902657151984702</v>
      </c>
      <c r="M1025">
        <v>0.195824921934658</v>
      </c>
      <c r="N1025">
        <v>39.234272303323998</v>
      </c>
      <c r="O1025">
        <v>14.0846664654392</v>
      </c>
      <c r="P1025">
        <v>9.0028054348180806</v>
      </c>
      <c r="Q1025">
        <v>49.068344014249099</v>
      </c>
      <c r="R1025">
        <v>92.189606600261598</v>
      </c>
      <c r="S1025">
        <v>7.0097825230455699</v>
      </c>
      <c r="T1025">
        <v>0</v>
      </c>
      <c r="U1025">
        <v>1.9912586238074601</v>
      </c>
      <c r="V1025">
        <v>79.205519837253107</v>
      </c>
    </row>
    <row r="1026" spans="1:22" x14ac:dyDescent="0.25">
      <c r="A1026" t="str">
        <f t="shared" si="15"/>
        <v>Macao SAR, China2025</v>
      </c>
      <c r="B1026" t="s">
        <v>145</v>
      </c>
      <c r="C1026" t="s">
        <v>146</v>
      </c>
      <c r="D1026">
        <v>2025</v>
      </c>
      <c r="E1026">
        <v>69902.960574123295</v>
      </c>
      <c r="F1026">
        <v>7.8496020701052496</v>
      </c>
      <c r="G1026">
        <v>2.7519308105197502</v>
      </c>
      <c r="H1026">
        <v>10</v>
      </c>
      <c r="I1026">
        <v>9.4998178807818991</v>
      </c>
      <c r="J1026">
        <v>2.347</v>
      </c>
      <c r="K1026">
        <v>15.312249831208</v>
      </c>
      <c r="L1026">
        <v>31.902657151984702</v>
      </c>
      <c r="M1026">
        <v>3.55161780123106</v>
      </c>
      <c r="N1026">
        <v>29.8365829190003</v>
      </c>
      <c r="O1026">
        <v>17.284144991947901</v>
      </c>
      <c r="P1026">
        <v>8.54847553896089</v>
      </c>
      <c r="Q1026">
        <v>49.068344014249099</v>
      </c>
      <c r="R1026">
        <v>85.606639057111707</v>
      </c>
      <c r="S1026">
        <v>4.5026469779135398</v>
      </c>
      <c r="T1026">
        <v>0</v>
      </c>
      <c r="U1026">
        <v>1.7653406624236401</v>
      </c>
      <c r="V1026">
        <v>74.875614534828699</v>
      </c>
    </row>
    <row r="1027" spans="1:22" x14ac:dyDescent="0.25">
      <c r="A1027" t="str">
        <f t="shared" si="15"/>
        <v>Madagascar2010</v>
      </c>
      <c r="B1027" t="s">
        <v>147</v>
      </c>
      <c r="C1027" t="s">
        <v>148</v>
      </c>
      <c r="D1027">
        <v>2010</v>
      </c>
      <c r="E1027">
        <v>450.009391645726</v>
      </c>
      <c r="F1027">
        <v>0.61923974462212095</v>
      </c>
      <c r="G1027">
        <v>9.24732173644116</v>
      </c>
      <c r="H1027">
        <v>5</v>
      </c>
      <c r="I1027">
        <v>2.6658879441534098</v>
      </c>
      <c r="J1027">
        <v>4.28</v>
      </c>
      <c r="K1027">
        <v>8.5734634869955109</v>
      </c>
      <c r="L1027">
        <v>10.6494964367752</v>
      </c>
      <c r="M1027">
        <v>10.2185410293303</v>
      </c>
      <c r="N1027">
        <v>87.551467432676802</v>
      </c>
      <c r="O1027">
        <v>27.0273897313715</v>
      </c>
      <c r="P1027">
        <v>3.35948897148675</v>
      </c>
      <c r="Q1027">
        <v>16.543891561242901</v>
      </c>
      <c r="R1027">
        <v>21.874380518660899</v>
      </c>
      <c r="S1027">
        <v>-0.76037583303643497</v>
      </c>
      <c r="T1027">
        <v>32.341353420129202</v>
      </c>
      <c r="U1027">
        <v>-1.1724796761140901</v>
      </c>
      <c r="V1027">
        <v>18.569848567892102</v>
      </c>
    </row>
    <row r="1028" spans="1:22" x14ac:dyDescent="0.25">
      <c r="A1028" t="str">
        <f t="shared" ref="A1028:A1091" si="16">C1028&amp;D1028</f>
        <v>Madagascar2011</v>
      </c>
      <c r="B1028" t="s">
        <v>147</v>
      </c>
      <c r="C1028" t="s">
        <v>148</v>
      </c>
      <c r="D1028">
        <v>2011</v>
      </c>
      <c r="E1028">
        <v>506.16369155930897</v>
      </c>
      <c r="F1028">
        <v>1.57842705366555</v>
      </c>
      <c r="G1028">
        <v>9.4825404858299205</v>
      </c>
      <c r="H1028">
        <v>5</v>
      </c>
      <c r="I1028">
        <v>2.6593179184244802</v>
      </c>
      <c r="J1028">
        <v>2.516</v>
      </c>
      <c r="K1028">
        <v>8.9350657396295894</v>
      </c>
      <c r="L1028">
        <v>9.6946035670425204</v>
      </c>
      <c r="M1028">
        <v>10.3861871358875</v>
      </c>
      <c r="N1028">
        <v>86.294969742770704</v>
      </c>
      <c r="O1028">
        <v>23.351166728000901</v>
      </c>
      <c r="P1028">
        <v>3.30120833632084</v>
      </c>
      <c r="Q1028">
        <v>15.5168379574811</v>
      </c>
      <c r="R1028">
        <v>22.7196386760737</v>
      </c>
      <c r="S1028">
        <v>-2.04315717137866</v>
      </c>
      <c r="T1028">
        <v>29.946805171729899</v>
      </c>
      <c r="U1028">
        <v>-1.1443285604539</v>
      </c>
      <c r="V1028">
        <v>19.1093880724965</v>
      </c>
    </row>
    <row r="1029" spans="1:22" x14ac:dyDescent="0.25">
      <c r="A1029" t="str">
        <f t="shared" si="16"/>
        <v>Madagascar2012</v>
      </c>
      <c r="B1029" t="s">
        <v>147</v>
      </c>
      <c r="C1029" t="s">
        <v>148</v>
      </c>
      <c r="D1029">
        <v>2012</v>
      </c>
      <c r="E1029">
        <v>493.51116290421101</v>
      </c>
      <c r="F1029">
        <v>3.0111481162120799</v>
      </c>
      <c r="G1029">
        <v>5.71384434191053</v>
      </c>
      <c r="H1029">
        <v>5</v>
      </c>
      <c r="I1029">
        <v>2.6589223165981299</v>
      </c>
      <c r="J1029">
        <v>0.59899999999999998</v>
      </c>
      <c r="K1029">
        <v>8.7565301731968201</v>
      </c>
      <c r="L1029">
        <v>9.1663932344201307</v>
      </c>
      <c r="M1029">
        <v>5.4661748633336904</v>
      </c>
      <c r="N1029">
        <v>84.891920787169994</v>
      </c>
      <c r="O1029">
        <v>20.168918786196201</v>
      </c>
      <c r="P1029">
        <v>2.90517288851124</v>
      </c>
      <c r="Q1029">
        <v>12.8841445403565</v>
      </c>
      <c r="R1029">
        <v>21.7806921029485</v>
      </c>
      <c r="S1029">
        <v>-2.2373116535717399</v>
      </c>
      <c r="T1029">
        <v>30.435145606160599</v>
      </c>
      <c r="U1029">
        <v>-1.09304286745735</v>
      </c>
      <c r="V1029">
        <v>20.092320959656298</v>
      </c>
    </row>
    <row r="1030" spans="1:22" x14ac:dyDescent="0.25">
      <c r="A1030" t="str">
        <f t="shared" si="16"/>
        <v>Madagascar2013</v>
      </c>
      <c r="B1030" t="s">
        <v>147</v>
      </c>
      <c r="C1030" t="s">
        <v>148</v>
      </c>
      <c r="D1030">
        <v>2013</v>
      </c>
      <c r="E1030">
        <v>515.30158936183204</v>
      </c>
      <c r="F1030">
        <v>2.3003762280072699</v>
      </c>
      <c r="G1030">
        <v>5.8264294445197997</v>
      </c>
      <c r="H1030">
        <v>5</v>
      </c>
      <c r="I1030">
        <v>2.66844849706382</v>
      </c>
      <c r="J1030">
        <v>0.995</v>
      </c>
      <c r="K1030">
        <v>9.4041964441659704</v>
      </c>
      <c r="L1030">
        <v>9.5351675799645204</v>
      </c>
      <c r="M1030">
        <v>5.4523024549118002</v>
      </c>
      <c r="N1030">
        <v>83.450218126526195</v>
      </c>
      <c r="O1030">
        <v>16.5129132506109</v>
      </c>
      <c r="P1030">
        <v>2.0182814621900298</v>
      </c>
      <c r="Q1030">
        <v>8.3112377286758399</v>
      </c>
      <c r="R1030">
        <v>23.272166077861399</v>
      </c>
      <c r="S1030">
        <v>-3.4029645192802298</v>
      </c>
      <c r="T1030">
        <v>36.242923590013497</v>
      </c>
      <c r="U1030">
        <v>-1.15495301240091</v>
      </c>
      <c r="V1030">
        <v>18.9057616297872</v>
      </c>
    </row>
    <row r="1031" spans="1:22" x14ac:dyDescent="0.25">
      <c r="A1031" t="str">
        <f t="shared" si="16"/>
        <v>Madagascar2014</v>
      </c>
      <c r="B1031" t="s">
        <v>147</v>
      </c>
      <c r="C1031" t="s">
        <v>148</v>
      </c>
      <c r="D1031">
        <v>2014</v>
      </c>
      <c r="E1031">
        <v>505.68492250343502</v>
      </c>
      <c r="F1031">
        <v>3.3392031119536698</v>
      </c>
      <c r="G1031">
        <v>6.0804081108830204</v>
      </c>
      <c r="H1031">
        <v>5</v>
      </c>
      <c r="I1031">
        <v>2.7128293464459499</v>
      </c>
      <c r="J1031">
        <v>1.385</v>
      </c>
      <c r="K1031">
        <v>9.8527423814287598</v>
      </c>
      <c r="L1031">
        <v>9.29169930746224</v>
      </c>
      <c r="M1031">
        <v>6.7317708095170996</v>
      </c>
      <c r="N1031">
        <v>82.143797279840896</v>
      </c>
      <c r="O1031">
        <v>16.490689646803201</v>
      </c>
      <c r="P1031">
        <v>2.1118867273542499</v>
      </c>
      <c r="Q1031">
        <v>14.487145222748399</v>
      </c>
      <c r="R1031">
        <v>28.2819119746319</v>
      </c>
      <c r="S1031">
        <v>-1.96068606299585</v>
      </c>
      <c r="T1031">
        <v>37.848493933255902</v>
      </c>
      <c r="U1031">
        <v>-1.0072307868263</v>
      </c>
      <c r="V1031">
        <v>21.7369807319938</v>
      </c>
    </row>
    <row r="1032" spans="1:22" x14ac:dyDescent="0.25">
      <c r="A1032" t="str">
        <f t="shared" si="16"/>
        <v>Madagascar2015</v>
      </c>
      <c r="B1032" t="s">
        <v>147</v>
      </c>
      <c r="C1032" t="s">
        <v>148</v>
      </c>
      <c r="D1032">
        <v>2015</v>
      </c>
      <c r="E1032">
        <v>445.32006948056801</v>
      </c>
      <c r="F1032">
        <v>3.13229807490305</v>
      </c>
      <c r="G1032">
        <v>7.4041917420212897</v>
      </c>
      <c r="H1032">
        <v>5</v>
      </c>
      <c r="I1032">
        <v>2.7882538052270101</v>
      </c>
      <c r="J1032">
        <v>1.7849999999999999</v>
      </c>
      <c r="K1032">
        <v>9.5586888697537304</v>
      </c>
      <c r="L1032">
        <v>9.7897581053953893</v>
      </c>
      <c r="M1032">
        <v>6.5037166915161002</v>
      </c>
      <c r="N1032">
        <v>81.027417926559295</v>
      </c>
      <c r="O1032">
        <v>15.9918879278761</v>
      </c>
      <c r="P1032">
        <v>2.51688244186168</v>
      </c>
      <c r="Q1032">
        <v>12.9048166574453</v>
      </c>
      <c r="R1032">
        <v>28.390646129683599</v>
      </c>
      <c r="S1032">
        <v>-2.8502728507367801</v>
      </c>
      <c r="T1032">
        <v>44.062298751656698</v>
      </c>
      <c r="U1032">
        <v>-1.06110676873335</v>
      </c>
      <c r="V1032">
        <v>20.704402807229599</v>
      </c>
    </row>
    <row r="1033" spans="1:22" x14ac:dyDescent="0.25">
      <c r="A1033" t="str">
        <f t="shared" si="16"/>
        <v>Madagascar2016</v>
      </c>
      <c r="B1033" t="s">
        <v>147</v>
      </c>
      <c r="C1033" t="s">
        <v>148</v>
      </c>
      <c r="D1033">
        <v>2016</v>
      </c>
      <c r="E1033">
        <v>453.97071452246303</v>
      </c>
      <c r="F1033">
        <v>3.9931460619949899</v>
      </c>
      <c r="G1033">
        <v>6.0357585815467898</v>
      </c>
      <c r="H1033">
        <v>5</v>
      </c>
      <c r="I1033">
        <v>2.8666240458986301</v>
      </c>
      <c r="J1033">
        <v>1.9490000000000001</v>
      </c>
      <c r="K1033">
        <v>9.3172644388576096</v>
      </c>
      <c r="L1033">
        <v>10.050178162272701</v>
      </c>
      <c r="M1033">
        <v>8.9600807299204099</v>
      </c>
      <c r="N1033">
        <v>80.032583888268107</v>
      </c>
      <c r="O1033">
        <v>16.365993389572399</v>
      </c>
      <c r="P1033">
        <v>3.4925035113641898</v>
      </c>
      <c r="Q1033">
        <v>16.096557467766399</v>
      </c>
      <c r="R1033">
        <v>29.092569433554299</v>
      </c>
      <c r="S1033">
        <v>-1.1072338585617001</v>
      </c>
      <c r="T1033">
        <v>40.280765628953603</v>
      </c>
      <c r="U1033">
        <v>-0.92119947016366599</v>
      </c>
      <c r="V1033">
        <v>23.385842344901299</v>
      </c>
    </row>
    <row r="1034" spans="1:22" x14ac:dyDescent="0.25">
      <c r="A1034" t="str">
        <f t="shared" si="16"/>
        <v>Madagascar2017</v>
      </c>
      <c r="B1034" t="s">
        <v>147</v>
      </c>
      <c r="C1034" t="s">
        <v>148</v>
      </c>
      <c r="D1034">
        <v>2017</v>
      </c>
      <c r="E1034">
        <v>491.86684871892902</v>
      </c>
      <c r="F1034">
        <v>3.9333075946279301</v>
      </c>
      <c r="G1034">
        <v>8.6090507542294894</v>
      </c>
      <c r="H1034">
        <v>5</v>
      </c>
      <c r="I1034">
        <v>2.94338687851329</v>
      </c>
      <c r="J1034">
        <v>2.1230000000000002</v>
      </c>
      <c r="K1034">
        <v>10.5891148272501</v>
      </c>
      <c r="L1034">
        <v>10.8751557569481</v>
      </c>
      <c r="M1034">
        <v>4.96153975601543</v>
      </c>
      <c r="N1034">
        <v>79.161072698864501</v>
      </c>
      <c r="O1034">
        <v>15.8063768976943</v>
      </c>
      <c r="P1034">
        <v>3.8841418253799</v>
      </c>
      <c r="Q1034">
        <v>15.123605576786501</v>
      </c>
      <c r="R1034">
        <v>30.902630876480799</v>
      </c>
      <c r="S1034">
        <v>-2.10288655374992</v>
      </c>
      <c r="T1034">
        <v>40.130107939887701</v>
      </c>
      <c r="U1034">
        <v>-0.93163911135215804</v>
      </c>
      <c r="V1034">
        <v>23.1857579538216</v>
      </c>
    </row>
    <row r="1035" spans="1:22" x14ac:dyDescent="0.25">
      <c r="A1035" t="str">
        <f t="shared" si="16"/>
        <v>Madagascar2018</v>
      </c>
      <c r="B1035" t="s">
        <v>147</v>
      </c>
      <c r="C1035" t="s">
        <v>148</v>
      </c>
      <c r="D1035">
        <v>2018</v>
      </c>
      <c r="E1035">
        <v>500.45718552915997</v>
      </c>
      <c r="F1035">
        <v>3.1943565174439801</v>
      </c>
      <c r="G1035">
        <v>8.5942295887047599</v>
      </c>
      <c r="H1035">
        <v>5</v>
      </c>
      <c r="I1035">
        <v>3.0184878475395802</v>
      </c>
      <c r="J1035">
        <v>2.3029999999999999</v>
      </c>
      <c r="K1035">
        <v>9.83236458371751</v>
      </c>
      <c r="L1035">
        <v>11.4412914064544</v>
      </c>
      <c r="M1035">
        <v>8.2979933109484296</v>
      </c>
      <c r="N1035">
        <v>78.414621382000306</v>
      </c>
      <c r="O1035">
        <v>20.7029752410218</v>
      </c>
      <c r="P1035">
        <v>3.9134178831186102</v>
      </c>
      <c r="Q1035">
        <v>18.552260826604801</v>
      </c>
      <c r="R1035">
        <v>31.5360236539412</v>
      </c>
      <c r="S1035">
        <v>-1.3378426847734399</v>
      </c>
      <c r="T1035">
        <v>42.895650869482203</v>
      </c>
      <c r="U1035">
        <v>-0.92436478339079597</v>
      </c>
      <c r="V1035">
        <v>23.325176488844399</v>
      </c>
    </row>
    <row r="1036" spans="1:22" x14ac:dyDescent="0.25">
      <c r="A1036" t="str">
        <f t="shared" si="16"/>
        <v>Madagascar2019</v>
      </c>
      <c r="B1036" t="s">
        <v>147</v>
      </c>
      <c r="C1036" t="s">
        <v>148</v>
      </c>
      <c r="D1036">
        <v>2019</v>
      </c>
      <c r="E1036">
        <v>499.81883762253398</v>
      </c>
      <c r="F1036">
        <v>4.4112321290958896</v>
      </c>
      <c r="G1036">
        <v>5.6105144149236503</v>
      </c>
      <c r="H1036">
        <v>5</v>
      </c>
      <c r="I1036">
        <v>3.0919818931227598</v>
      </c>
      <c r="J1036">
        <v>2.4790000000000001</v>
      </c>
      <c r="K1036">
        <v>10.1328730758179</v>
      </c>
      <c r="L1036">
        <v>11.568128237220799</v>
      </c>
      <c r="M1036">
        <v>6.5220906407727899</v>
      </c>
      <c r="N1036">
        <v>77.755684996326394</v>
      </c>
      <c r="O1036">
        <v>22.684048129077599</v>
      </c>
      <c r="P1036">
        <v>3.88000630404626</v>
      </c>
      <c r="Q1036">
        <v>16.395084507760799</v>
      </c>
      <c r="R1036">
        <v>28.424401243197501</v>
      </c>
      <c r="S1036">
        <v>-1.4207855501080899</v>
      </c>
      <c r="T1036">
        <v>41.252624339796299</v>
      </c>
      <c r="U1036">
        <v>-0.95502064085596305</v>
      </c>
      <c r="V1036">
        <v>22.737631527940302</v>
      </c>
    </row>
    <row r="1037" spans="1:22" x14ac:dyDescent="0.25">
      <c r="A1037" t="str">
        <f t="shared" si="16"/>
        <v>Madagascar2020</v>
      </c>
      <c r="B1037" t="s">
        <v>147</v>
      </c>
      <c r="C1037" t="s">
        <v>148</v>
      </c>
      <c r="D1037">
        <v>2020</v>
      </c>
      <c r="E1037">
        <v>450.77161520150901</v>
      </c>
      <c r="F1037">
        <v>-7.1376716206448902</v>
      </c>
      <c r="G1037">
        <v>4.2017931219055704</v>
      </c>
      <c r="H1037">
        <v>5</v>
      </c>
      <c r="I1037">
        <v>3.15356422621173</v>
      </c>
      <c r="J1037">
        <v>3.2919999999999998</v>
      </c>
      <c r="K1037">
        <v>11.797752215964699</v>
      </c>
      <c r="L1037">
        <v>10.6066108568423</v>
      </c>
      <c r="M1037">
        <v>4.31114513583488</v>
      </c>
      <c r="N1037">
        <v>77.125045262279002</v>
      </c>
      <c r="O1037">
        <v>17.715325109922802</v>
      </c>
      <c r="P1037">
        <v>5.7306403326043398</v>
      </c>
      <c r="Q1037">
        <v>8.17750117632173</v>
      </c>
      <c r="R1037">
        <v>20.142074883361701</v>
      </c>
      <c r="S1037">
        <v>-3.9568184442439698</v>
      </c>
      <c r="T1037">
        <v>52.871285272273703</v>
      </c>
      <c r="U1037">
        <v>-1.2620184158901699</v>
      </c>
      <c r="V1037">
        <v>16.853764278913602</v>
      </c>
    </row>
    <row r="1038" spans="1:22" x14ac:dyDescent="0.25">
      <c r="A1038" t="str">
        <f t="shared" si="16"/>
        <v>Madagascar2021</v>
      </c>
      <c r="B1038" t="s">
        <v>147</v>
      </c>
      <c r="C1038" t="s">
        <v>148</v>
      </c>
      <c r="D1038">
        <v>2021</v>
      </c>
      <c r="E1038">
        <v>483.46946335119497</v>
      </c>
      <c r="F1038">
        <v>4.6506834317430901</v>
      </c>
      <c r="G1038">
        <v>5.8122511878771501</v>
      </c>
      <c r="H1038">
        <v>5</v>
      </c>
      <c r="I1038">
        <v>3.20730301417432</v>
      </c>
      <c r="J1038">
        <v>3.4980000000000002</v>
      </c>
      <c r="K1038">
        <v>10.690125790114401</v>
      </c>
      <c r="L1038">
        <v>11.2156784361642</v>
      </c>
      <c r="M1038">
        <v>6.2695979604093299</v>
      </c>
      <c r="N1038">
        <v>76.498209461552094</v>
      </c>
      <c r="O1038">
        <v>16.3892313120054</v>
      </c>
      <c r="P1038">
        <v>5.4694650546972401</v>
      </c>
      <c r="Q1038">
        <v>12.478873611611199</v>
      </c>
      <c r="R1038">
        <v>23.091632100144</v>
      </c>
      <c r="S1038">
        <v>-2.8274300275047599</v>
      </c>
      <c r="T1038">
        <v>49.439596011347703</v>
      </c>
      <c r="U1038">
        <v>-1.0191822482525199</v>
      </c>
      <c r="V1038">
        <v>21.507921050841599</v>
      </c>
    </row>
    <row r="1039" spans="1:22" x14ac:dyDescent="0.25">
      <c r="A1039" t="str">
        <f t="shared" si="16"/>
        <v>Madagascar2022</v>
      </c>
      <c r="B1039" t="s">
        <v>147</v>
      </c>
      <c r="C1039" t="s">
        <v>148</v>
      </c>
      <c r="D1039">
        <v>2022</v>
      </c>
      <c r="E1039">
        <v>503.51453347296001</v>
      </c>
      <c r="F1039">
        <v>4.1560977838629602</v>
      </c>
      <c r="G1039">
        <v>8.1605903199184393</v>
      </c>
      <c r="H1039">
        <v>5</v>
      </c>
      <c r="I1039">
        <v>3.2676248902229599</v>
      </c>
      <c r="J1039">
        <v>3.1859999999999999</v>
      </c>
      <c r="K1039">
        <v>9.9370386540177105</v>
      </c>
      <c r="L1039">
        <v>10.1920036680772</v>
      </c>
      <c r="M1039">
        <v>9.6260573370636706</v>
      </c>
      <c r="N1039">
        <v>75.851265439934096</v>
      </c>
      <c r="O1039">
        <v>22.161976768828101</v>
      </c>
      <c r="P1039">
        <v>3.9734346242745899</v>
      </c>
      <c r="Q1039">
        <v>16.437948492088999</v>
      </c>
      <c r="R1039">
        <v>30.543294874647898</v>
      </c>
      <c r="S1039">
        <v>-5.4544051330231103</v>
      </c>
      <c r="T1039">
        <v>49.835517997070298</v>
      </c>
      <c r="U1039">
        <v>-1.15654232621508</v>
      </c>
      <c r="V1039">
        <v>18.875301110981901</v>
      </c>
    </row>
    <row r="1040" spans="1:22" x14ac:dyDescent="0.25">
      <c r="A1040" t="str">
        <f t="shared" si="16"/>
        <v>Madagascar2023</v>
      </c>
      <c r="B1040" t="s">
        <v>147</v>
      </c>
      <c r="C1040" t="s">
        <v>148</v>
      </c>
      <c r="D1040">
        <v>2023</v>
      </c>
      <c r="E1040">
        <v>508.71842770559101</v>
      </c>
      <c r="F1040">
        <v>4.2030461584066803</v>
      </c>
      <c r="G1040">
        <v>9.8743267504488799</v>
      </c>
      <c r="H1040">
        <v>5</v>
      </c>
      <c r="I1040">
        <v>3.3351623645165902</v>
      </c>
      <c r="J1040">
        <v>3.044</v>
      </c>
      <c r="K1040">
        <v>11.1514164395455</v>
      </c>
      <c r="L1040">
        <v>10.765023813889799</v>
      </c>
      <c r="M1040">
        <v>7.4651494042993196</v>
      </c>
      <c r="N1040">
        <v>75.153730073454597</v>
      </c>
      <c r="O1040">
        <v>19.908355548920401</v>
      </c>
      <c r="P1040">
        <v>5.4550069468044704</v>
      </c>
      <c r="Q1040">
        <v>15.3213584351265</v>
      </c>
      <c r="R1040">
        <v>27.0030474850644</v>
      </c>
      <c r="S1040">
        <v>-4.1510682497511997</v>
      </c>
      <c r="T1040">
        <v>52.149097196707501</v>
      </c>
      <c r="U1040">
        <v>-1.0657516946266601</v>
      </c>
      <c r="V1040">
        <v>20.615378945949999</v>
      </c>
    </row>
    <row r="1041" spans="1:22" x14ac:dyDescent="0.25">
      <c r="A1041" t="str">
        <f t="shared" si="16"/>
        <v>Madagascar2024</v>
      </c>
      <c r="B1041" t="s">
        <v>147</v>
      </c>
      <c r="C1041" t="s">
        <v>148</v>
      </c>
      <c r="D1041">
        <v>2024</v>
      </c>
      <c r="E1041">
        <v>544.98750100338395</v>
      </c>
      <c r="F1041">
        <v>4.1999999998864697</v>
      </c>
      <c r="G1041">
        <v>7.61335784313723</v>
      </c>
      <c r="H1041">
        <v>5</v>
      </c>
      <c r="I1041">
        <v>3.40515250513719</v>
      </c>
      <c r="J1041">
        <v>3.0510000000000002</v>
      </c>
      <c r="K1041">
        <v>9.8425534825731305</v>
      </c>
      <c r="L1041">
        <v>12.3430634554779</v>
      </c>
      <c r="M1041">
        <v>7.6252991597702398</v>
      </c>
      <c r="N1041">
        <v>74.404437915537599</v>
      </c>
      <c r="O1041">
        <v>22.224338487768001</v>
      </c>
      <c r="P1041">
        <v>5.5047137880899797</v>
      </c>
      <c r="Q1041">
        <v>17.4750167540295</v>
      </c>
      <c r="R1041">
        <v>23.262487356034701</v>
      </c>
      <c r="S1041">
        <v>-2.4862868269763001</v>
      </c>
      <c r="T1041">
        <v>49.805111603205503</v>
      </c>
      <c r="U1041">
        <v>-0.98701308822689704</v>
      </c>
      <c r="V1041">
        <v>22.124469711764</v>
      </c>
    </row>
    <row r="1042" spans="1:22" x14ac:dyDescent="0.25">
      <c r="A1042" t="str">
        <f t="shared" si="16"/>
        <v>Madagascar2025</v>
      </c>
      <c r="B1042" t="s">
        <v>147</v>
      </c>
      <c r="C1042" t="s">
        <v>148</v>
      </c>
      <c r="D1042">
        <v>2025</v>
      </c>
      <c r="E1042">
        <v>499.81883762253398</v>
      </c>
      <c r="F1042">
        <v>3.3392031119536698</v>
      </c>
      <c r="G1042">
        <v>7.4041917420212897</v>
      </c>
      <c r="H1042">
        <v>5</v>
      </c>
      <c r="I1042">
        <v>2.94338687851329</v>
      </c>
      <c r="J1042">
        <v>3.0409999999999999</v>
      </c>
      <c r="K1042">
        <v>9.8425534825731305</v>
      </c>
      <c r="L1042">
        <v>10.6066108568423</v>
      </c>
      <c r="M1042">
        <v>6.7317708095170996</v>
      </c>
      <c r="N1042">
        <v>79.161072698864501</v>
      </c>
      <c r="O1042">
        <v>19.908355548920401</v>
      </c>
      <c r="P1042">
        <v>3.88000630404626</v>
      </c>
      <c r="Q1042">
        <v>15.3213584351265</v>
      </c>
      <c r="R1042">
        <v>27.0030474850644</v>
      </c>
      <c r="S1042">
        <v>-2.20625686786008</v>
      </c>
      <c r="T1042">
        <v>48.7345835703143</v>
      </c>
      <c r="U1042">
        <v>-1.0484236449515101</v>
      </c>
      <c r="V1042">
        <v>20.947485404903201</v>
      </c>
    </row>
    <row r="1043" spans="1:22" x14ac:dyDescent="0.25">
      <c r="A1043" t="str">
        <f t="shared" si="16"/>
        <v>Malawi2010</v>
      </c>
      <c r="B1043" t="s">
        <v>149</v>
      </c>
      <c r="C1043" t="s">
        <v>150</v>
      </c>
      <c r="D1043">
        <v>2010</v>
      </c>
      <c r="E1043">
        <v>683.12469471679901</v>
      </c>
      <c r="F1043">
        <v>6.8740658541614197</v>
      </c>
      <c r="G1043">
        <v>7.4115909288382698</v>
      </c>
      <c r="H1043">
        <v>8</v>
      </c>
      <c r="I1043">
        <v>3.5988151725735298</v>
      </c>
      <c r="J1043">
        <v>4.78</v>
      </c>
      <c r="K1043">
        <v>12.6994361476594</v>
      </c>
      <c r="L1043">
        <v>11.6734090885258</v>
      </c>
      <c r="M1043">
        <v>12.12722206117</v>
      </c>
      <c r="N1043">
        <v>99.298578553260597</v>
      </c>
      <c r="O1043">
        <v>16.915576065162998</v>
      </c>
      <c r="P1043">
        <v>1.37724062315652</v>
      </c>
      <c r="Q1043">
        <v>2.6754691055889102</v>
      </c>
      <c r="R1043">
        <v>11.6727813510859</v>
      </c>
      <c r="S1043">
        <v>0.62549105818547301</v>
      </c>
      <c r="T1043">
        <v>19.312369215626799</v>
      </c>
      <c r="U1043">
        <v>-0.96981205334861398</v>
      </c>
      <c r="V1043">
        <v>22.454141826678899</v>
      </c>
    </row>
    <row r="1044" spans="1:22" x14ac:dyDescent="0.25">
      <c r="A1044" t="str">
        <f t="shared" si="16"/>
        <v>Malawi2011</v>
      </c>
      <c r="B1044" t="s">
        <v>149</v>
      </c>
      <c r="C1044" t="s">
        <v>150</v>
      </c>
      <c r="D1044">
        <v>2011</v>
      </c>
      <c r="E1044">
        <v>763.06100039457203</v>
      </c>
      <c r="F1044">
        <v>4.9326699981372899</v>
      </c>
      <c r="G1044">
        <v>7.6228226284852001</v>
      </c>
      <c r="H1044">
        <v>8</v>
      </c>
      <c r="I1044">
        <v>3.4765359828326501</v>
      </c>
      <c r="J1044">
        <v>4.8289999999999997</v>
      </c>
      <c r="K1044">
        <v>12.526089145286001</v>
      </c>
      <c r="L1044">
        <v>11.4006485954383</v>
      </c>
      <c r="M1044">
        <v>13.990237743201501</v>
      </c>
      <c r="N1044">
        <v>98.705687816827094</v>
      </c>
      <c r="O1044">
        <v>16.915576065162998</v>
      </c>
      <c r="P1044">
        <v>0.79848132146829098</v>
      </c>
      <c r="Q1044">
        <v>2.6754691055889102</v>
      </c>
      <c r="R1044">
        <v>11.6727813510859</v>
      </c>
      <c r="S1044">
        <v>-2.8497990589719602</v>
      </c>
      <c r="T1044">
        <v>19.9834012117953</v>
      </c>
      <c r="U1044">
        <v>-1.1534604203730301</v>
      </c>
      <c r="V1044">
        <v>18.934368395253301</v>
      </c>
    </row>
    <row r="1045" spans="1:22" x14ac:dyDescent="0.25">
      <c r="A1045" t="str">
        <f t="shared" si="16"/>
        <v>Malawi2012</v>
      </c>
      <c r="B1045" t="s">
        <v>149</v>
      </c>
      <c r="C1045" t="s">
        <v>150</v>
      </c>
      <c r="D1045">
        <v>2012</v>
      </c>
      <c r="E1045">
        <v>558.46208832772004</v>
      </c>
      <c r="F1045">
        <v>1.90000000072909</v>
      </c>
      <c r="G1045">
        <v>21.271265001377898</v>
      </c>
      <c r="H1045">
        <v>8</v>
      </c>
      <c r="I1045">
        <v>3.3698138403089999</v>
      </c>
      <c r="J1045">
        <v>4.9489999999999998</v>
      </c>
      <c r="K1045">
        <v>11.8715643730145</v>
      </c>
      <c r="L1045">
        <v>9.8224491603416393</v>
      </c>
      <c r="M1045">
        <v>17.639764474184101</v>
      </c>
      <c r="N1045">
        <v>97.945457312939695</v>
      </c>
      <c r="O1045">
        <v>16.915576065162998</v>
      </c>
      <c r="P1045">
        <v>1.1292299328905</v>
      </c>
      <c r="Q1045">
        <v>2.6754691055889102</v>
      </c>
      <c r="R1045">
        <v>11.6727813510859</v>
      </c>
      <c r="S1045">
        <v>-1.4538400403287599</v>
      </c>
      <c r="T1045">
        <v>28.606211453094499</v>
      </c>
      <c r="U1045">
        <v>-1.17308939736317</v>
      </c>
      <c r="V1045">
        <v>18.558162753921401</v>
      </c>
    </row>
    <row r="1046" spans="1:22" x14ac:dyDescent="0.25">
      <c r="A1046" t="str">
        <f t="shared" si="16"/>
        <v>Malawi2013</v>
      </c>
      <c r="B1046" t="s">
        <v>149</v>
      </c>
      <c r="C1046" t="s">
        <v>150</v>
      </c>
      <c r="D1046">
        <v>2013</v>
      </c>
      <c r="E1046">
        <v>496.94736826731298</v>
      </c>
      <c r="F1046">
        <v>5.4103499981716698</v>
      </c>
      <c r="G1046">
        <v>27.283333333333399</v>
      </c>
      <c r="H1046">
        <v>8</v>
      </c>
      <c r="I1046">
        <v>3.2647477011478099</v>
      </c>
      <c r="J1046">
        <v>4.9779999999999998</v>
      </c>
      <c r="K1046">
        <v>12.992188528166</v>
      </c>
      <c r="L1046">
        <v>10.1007501918162</v>
      </c>
      <c r="M1046">
        <v>27.046290997749399</v>
      </c>
      <c r="N1046">
        <v>96.914096257992796</v>
      </c>
      <c r="O1046">
        <v>16.915576065162998</v>
      </c>
      <c r="P1046">
        <v>1.59409545385062</v>
      </c>
      <c r="Q1046">
        <v>2.6754691055889102</v>
      </c>
      <c r="R1046">
        <v>11.6727813510859</v>
      </c>
      <c r="S1046">
        <v>-3.7272556323772799</v>
      </c>
      <c r="T1046">
        <v>35.347121042538099</v>
      </c>
      <c r="U1046">
        <v>-1.23363728881389</v>
      </c>
      <c r="V1046">
        <v>17.397712143278401</v>
      </c>
    </row>
    <row r="1047" spans="1:22" x14ac:dyDescent="0.25">
      <c r="A1047" t="str">
        <f t="shared" si="16"/>
        <v>Malawi2014</v>
      </c>
      <c r="B1047" t="s">
        <v>149</v>
      </c>
      <c r="C1047" t="s">
        <v>150</v>
      </c>
      <c r="D1047">
        <v>2014</v>
      </c>
      <c r="E1047">
        <v>529.51334402060002</v>
      </c>
      <c r="F1047">
        <v>5.6252700010513896</v>
      </c>
      <c r="G1047">
        <v>23.792064946968701</v>
      </c>
      <c r="H1047">
        <v>8</v>
      </c>
      <c r="I1047">
        <v>3.1647883607401401</v>
      </c>
      <c r="J1047">
        <v>4.9669999999999996</v>
      </c>
      <c r="K1047">
        <v>14.0654400013646</v>
      </c>
      <c r="L1047">
        <v>11.7964542832246</v>
      </c>
      <c r="M1047">
        <v>20.969281305887701</v>
      </c>
      <c r="N1047">
        <v>95.643232965400401</v>
      </c>
      <c r="O1047">
        <v>16.915576065162998</v>
      </c>
      <c r="P1047">
        <v>2.2289156153826402</v>
      </c>
      <c r="Q1047">
        <v>2.6754691055889102</v>
      </c>
      <c r="R1047">
        <v>11.6727813510859</v>
      </c>
      <c r="S1047">
        <v>-3.0825625904117802</v>
      </c>
      <c r="T1047">
        <v>33.514960159008503</v>
      </c>
      <c r="U1047">
        <v>-1.15222584476088</v>
      </c>
      <c r="V1047">
        <v>18.958030061889001</v>
      </c>
    </row>
    <row r="1048" spans="1:22" x14ac:dyDescent="0.25">
      <c r="A1048" t="str">
        <f t="shared" si="16"/>
        <v>Malawi2015</v>
      </c>
      <c r="B1048" t="s">
        <v>149</v>
      </c>
      <c r="C1048" t="s">
        <v>150</v>
      </c>
      <c r="D1048">
        <v>2015</v>
      </c>
      <c r="E1048">
        <v>539.60536324068596</v>
      </c>
      <c r="F1048">
        <v>2.8000000000335499</v>
      </c>
      <c r="G1048">
        <v>21.8673475542553</v>
      </c>
      <c r="H1048">
        <v>8</v>
      </c>
      <c r="I1048">
        <v>3.0699354959241401</v>
      </c>
      <c r="J1048">
        <v>4.9530000000000003</v>
      </c>
      <c r="K1048">
        <v>12.9082034353954</v>
      </c>
      <c r="L1048">
        <v>11.5105715128485</v>
      </c>
      <c r="M1048">
        <v>19.814669261197999</v>
      </c>
      <c r="N1048">
        <v>94.170681586705797</v>
      </c>
      <c r="O1048">
        <v>16.915576065162998</v>
      </c>
      <c r="P1048">
        <v>2.9895354684505699</v>
      </c>
      <c r="Q1048">
        <v>2.6754691055889102</v>
      </c>
      <c r="R1048">
        <v>11.6727813510859</v>
      </c>
      <c r="S1048">
        <v>-4.1689077721451397</v>
      </c>
      <c r="T1048">
        <v>35.455124028821103</v>
      </c>
      <c r="U1048">
        <v>-1.22761336139004</v>
      </c>
      <c r="V1048">
        <v>17.513165713831899</v>
      </c>
    </row>
    <row r="1049" spans="1:22" x14ac:dyDescent="0.25">
      <c r="A1049" t="str">
        <f t="shared" si="16"/>
        <v>Malawi2016</v>
      </c>
      <c r="B1049" t="s">
        <v>149</v>
      </c>
      <c r="C1049" t="s">
        <v>150</v>
      </c>
      <c r="D1049">
        <v>2016</v>
      </c>
      <c r="E1049">
        <v>450.50610551071901</v>
      </c>
      <c r="F1049">
        <v>2.4999999991431099</v>
      </c>
      <c r="G1049">
        <v>21.711113213649899</v>
      </c>
      <c r="H1049">
        <v>8</v>
      </c>
      <c r="I1049">
        <v>2.9777609748043301</v>
      </c>
      <c r="J1049">
        <v>5.0110000000000001</v>
      </c>
      <c r="K1049">
        <v>12.3291507757964</v>
      </c>
      <c r="L1049">
        <v>11.1687741550083</v>
      </c>
      <c r="M1049">
        <v>20.292682928591098</v>
      </c>
      <c r="N1049">
        <v>92.469842966705997</v>
      </c>
      <c r="O1049">
        <v>16.915576065162998</v>
      </c>
      <c r="P1049">
        <v>2.9264322975848001</v>
      </c>
      <c r="Q1049">
        <v>2.6754691055889102</v>
      </c>
      <c r="R1049">
        <v>11.6727813510859</v>
      </c>
      <c r="S1049">
        <v>-4.9023106657956603</v>
      </c>
      <c r="T1049">
        <v>37.080286418232603</v>
      </c>
      <c r="U1049">
        <v>-1.2661882016788499</v>
      </c>
      <c r="V1049">
        <v>16.773846872233001</v>
      </c>
    </row>
    <row r="1050" spans="1:22" x14ac:dyDescent="0.25">
      <c r="A1050" t="str">
        <f t="shared" si="16"/>
        <v>Malawi2017</v>
      </c>
      <c r="B1050" t="s">
        <v>149</v>
      </c>
      <c r="C1050" t="s">
        <v>150</v>
      </c>
      <c r="D1050">
        <v>2017</v>
      </c>
      <c r="E1050">
        <v>495.76968336716499</v>
      </c>
      <c r="F1050">
        <v>4.0000000008917196</v>
      </c>
      <c r="G1050">
        <v>11.543393918877101</v>
      </c>
      <c r="H1050">
        <v>8</v>
      </c>
      <c r="I1050">
        <v>2.8971799166450198</v>
      </c>
      <c r="J1050">
        <v>5.0460000000000003</v>
      </c>
      <c r="K1050">
        <v>13.244471828450701</v>
      </c>
      <c r="L1050">
        <v>13.0565371469458</v>
      </c>
      <c r="M1050">
        <v>10.5769245148986</v>
      </c>
      <c r="N1050">
        <v>90.6164711918926</v>
      </c>
      <c r="O1050">
        <v>20.287314946720301</v>
      </c>
      <c r="P1050">
        <v>3.0093063617898701</v>
      </c>
      <c r="Q1050">
        <v>3.8713451335646298</v>
      </c>
      <c r="R1050">
        <v>12.6751278049282</v>
      </c>
      <c r="S1050">
        <v>-5.1500797455622704</v>
      </c>
      <c r="T1050">
        <v>39.975497265911201</v>
      </c>
      <c r="U1050">
        <v>-1.24047283637293</v>
      </c>
      <c r="V1050">
        <v>17.266703198971499</v>
      </c>
    </row>
    <row r="1051" spans="1:22" x14ac:dyDescent="0.25">
      <c r="A1051" t="str">
        <f t="shared" si="16"/>
        <v>Malawi2018</v>
      </c>
      <c r="B1051" t="s">
        <v>149</v>
      </c>
      <c r="C1051" t="s">
        <v>150</v>
      </c>
      <c r="D1051">
        <v>2018</v>
      </c>
      <c r="E1051">
        <v>533.20256718933103</v>
      </c>
      <c r="F1051">
        <v>4.3535647161921096</v>
      </c>
      <c r="G1051">
        <v>12.420178108921</v>
      </c>
      <c r="H1051">
        <v>8</v>
      </c>
      <c r="I1051">
        <v>2.8268739757776302</v>
      </c>
      <c r="J1051">
        <v>5.0209999999999999</v>
      </c>
      <c r="K1051">
        <v>14.9216504111132</v>
      </c>
      <c r="L1051">
        <v>12.9525502279637</v>
      </c>
      <c r="M1051">
        <v>6.1523469856127102</v>
      </c>
      <c r="N1051">
        <v>88.692656264241904</v>
      </c>
      <c r="O1051">
        <v>21.276061190562</v>
      </c>
      <c r="P1051">
        <v>2.7595542175376799</v>
      </c>
      <c r="Q1051">
        <v>3.8499010423933702</v>
      </c>
      <c r="R1051">
        <v>11.6727813510859</v>
      </c>
      <c r="S1051">
        <v>-4.34559613143501</v>
      </c>
      <c r="T1051">
        <v>40.807800063276296</v>
      </c>
      <c r="U1051">
        <v>-1.1962883499314501</v>
      </c>
      <c r="V1051">
        <v>18.113535566597299</v>
      </c>
    </row>
    <row r="1052" spans="1:22" x14ac:dyDescent="0.25">
      <c r="A1052" t="str">
        <f t="shared" si="16"/>
        <v>Malawi2019</v>
      </c>
      <c r="B1052" t="s">
        <v>149</v>
      </c>
      <c r="C1052" t="s">
        <v>150</v>
      </c>
      <c r="D1052">
        <v>2019</v>
      </c>
      <c r="E1052">
        <v>580.889139762475</v>
      </c>
      <c r="F1052">
        <v>5.7168251919433697</v>
      </c>
      <c r="G1052">
        <v>9.3708360560566994</v>
      </c>
      <c r="H1052">
        <v>8</v>
      </c>
      <c r="I1052">
        <v>2.7651758521818199</v>
      </c>
      <c r="J1052">
        <v>4.9640000000000004</v>
      </c>
      <c r="K1052">
        <v>14.7401066853775</v>
      </c>
      <c r="L1052">
        <v>12.4204473652036</v>
      </c>
      <c r="M1052">
        <v>7.7285564239315097</v>
      </c>
      <c r="N1052">
        <v>86.685077028958403</v>
      </c>
      <c r="O1052">
        <v>21.911910300264498</v>
      </c>
      <c r="P1052">
        <v>2.85784777016507</v>
      </c>
      <c r="Q1052">
        <v>9.8580786607122395</v>
      </c>
      <c r="R1052">
        <v>12.9894565946906</v>
      </c>
      <c r="S1052">
        <v>-4.5494719944254998</v>
      </c>
      <c r="T1052">
        <v>41.187413054964402</v>
      </c>
      <c r="U1052">
        <v>-1.1327557175235701</v>
      </c>
      <c r="V1052">
        <v>19.331191215819999</v>
      </c>
    </row>
    <row r="1053" spans="1:22" x14ac:dyDescent="0.25">
      <c r="A1053" t="str">
        <f t="shared" si="16"/>
        <v>Malawi2020</v>
      </c>
      <c r="B1053" t="s">
        <v>149</v>
      </c>
      <c r="C1053" t="s">
        <v>150</v>
      </c>
      <c r="D1053">
        <v>2020</v>
      </c>
      <c r="E1053">
        <v>602.50747817610602</v>
      </c>
      <c r="F1053">
        <v>0.79359642978728595</v>
      </c>
      <c r="G1053">
        <v>8.6255146965055207</v>
      </c>
      <c r="H1053">
        <v>8</v>
      </c>
      <c r="I1053">
        <v>2.70765099880912</v>
      </c>
      <c r="J1053">
        <v>5.72</v>
      </c>
      <c r="K1053">
        <v>16.493539460334599</v>
      </c>
      <c r="L1053">
        <v>12.9073757320637</v>
      </c>
      <c r="M1053">
        <v>6.2182971195830801</v>
      </c>
      <c r="N1053">
        <v>84.589442999532295</v>
      </c>
      <c r="O1053">
        <v>16.710635139641699</v>
      </c>
      <c r="P1053">
        <v>1.91482223577028</v>
      </c>
      <c r="Q1053">
        <v>2.6754691055889102</v>
      </c>
      <c r="R1053">
        <v>11.004753722448401</v>
      </c>
      <c r="S1053">
        <v>-8.0329384748232808</v>
      </c>
      <c r="T1053">
        <v>53.857725641698998</v>
      </c>
      <c r="U1053">
        <v>-1.37317622352034</v>
      </c>
      <c r="V1053">
        <v>14.723332604886499</v>
      </c>
    </row>
    <row r="1054" spans="1:22" x14ac:dyDescent="0.25">
      <c r="A1054" t="str">
        <f t="shared" si="16"/>
        <v>Malawi2021</v>
      </c>
      <c r="B1054" t="s">
        <v>149</v>
      </c>
      <c r="C1054" t="s">
        <v>150</v>
      </c>
      <c r="D1054">
        <v>2021</v>
      </c>
      <c r="E1054">
        <v>617.44699445100696</v>
      </c>
      <c r="F1054">
        <v>4.5582921201608304</v>
      </c>
      <c r="G1054">
        <v>9.3301441083521208</v>
      </c>
      <c r="H1054">
        <v>8</v>
      </c>
      <c r="I1054">
        <v>2.6537619259451799</v>
      </c>
      <c r="J1054">
        <v>5.6520000000000001</v>
      </c>
      <c r="K1054">
        <v>17.1870765601142</v>
      </c>
      <c r="L1054">
        <v>12.288329272588999</v>
      </c>
      <c r="M1054">
        <v>8.1529684292959406</v>
      </c>
      <c r="N1054">
        <v>82.450410383021705</v>
      </c>
      <c r="O1054">
        <v>16.915576065162998</v>
      </c>
      <c r="P1054">
        <v>2.2289156153826402</v>
      </c>
      <c r="Q1054">
        <v>1.3120416989507699</v>
      </c>
      <c r="R1054">
        <v>12.7119564156437</v>
      </c>
      <c r="S1054">
        <v>-8.3421713596934506</v>
      </c>
      <c r="T1054">
        <v>66.546333187649907</v>
      </c>
      <c r="U1054">
        <v>-1.3680384254297899</v>
      </c>
      <c r="V1054">
        <v>14.8218027710423</v>
      </c>
    </row>
    <row r="1055" spans="1:22" x14ac:dyDescent="0.25">
      <c r="A1055" t="str">
        <f t="shared" si="16"/>
        <v>Malawi2022</v>
      </c>
      <c r="B1055" t="s">
        <v>149</v>
      </c>
      <c r="C1055" t="s">
        <v>150</v>
      </c>
      <c r="D1055">
        <v>2022</v>
      </c>
      <c r="E1055">
        <v>604.26974036031697</v>
      </c>
      <c r="F1055">
        <v>0.92111506900593598</v>
      </c>
      <c r="G1055">
        <v>20.953969729969</v>
      </c>
      <c r="H1055">
        <v>8</v>
      </c>
      <c r="I1055">
        <v>2.6132194465306799</v>
      </c>
      <c r="J1055">
        <v>5.0199999999999996</v>
      </c>
      <c r="K1055">
        <v>20.173854223737202</v>
      </c>
      <c r="L1055">
        <v>14.1361846816996</v>
      </c>
      <c r="M1055">
        <v>17.166830393095498</v>
      </c>
      <c r="N1055">
        <v>80.331752037887995</v>
      </c>
      <c r="O1055">
        <v>15.932796903850299</v>
      </c>
      <c r="P1055">
        <v>2.2289156153826402</v>
      </c>
      <c r="Q1055">
        <v>-2.5224662781255698</v>
      </c>
      <c r="R1055">
        <v>11.342380846457001</v>
      </c>
      <c r="S1055">
        <v>-9.3209750748988593</v>
      </c>
      <c r="T1055">
        <v>75.698122183889197</v>
      </c>
      <c r="U1055">
        <v>-1.4273177155119801</v>
      </c>
      <c r="V1055">
        <v>13.685665958906499</v>
      </c>
    </row>
    <row r="1056" spans="1:22" x14ac:dyDescent="0.25">
      <c r="A1056" t="str">
        <f t="shared" si="16"/>
        <v>Malawi2023</v>
      </c>
      <c r="B1056" t="s">
        <v>149</v>
      </c>
      <c r="C1056" t="s">
        <v>150</v>
      </c>
      <c r="D1056">
        <v>2023</v>
      </c>
      <c r="E1056">
        <v>633.21476797869502</v>
      </c>
      <c r="F1056">
        <v>1.9457528167598399</v>
      </c>
      <c r="G1056">
        <v>28.7897428247298</v>
      </c>
      <c r="H1056">
        <v>8</v>
      </c>
      <c r="I1056">
        <v>2.5925677163607301</v>
      </c>
      <c r="J1056">
        <v>5.0090000000000003</v>
      </c>
      <c r="K1056">
        <v>13.244471828450701</v>
      </c>
      <c r="L1056">
        <v>11.7964542832246</v>
      </c>
      <c r="M1056">
        <v>29.033287800386901</v>
      </c>
      <c r="N1056">
        <v>78.280606285515006</v>
      </c>
      <c r="O1056">
        <v>14.483077161900299</v>
      </c>
      <c r="P1056">
        <v>2.2289156153826402</v>
      </c>
      <c r="Q1056">
        <v>-1.1284400866426401</v>
      </c>
      <c r="R1056">
        <v>11.2450363894528</v>
      </c>
      <c r="S1056">
        <v>-7.8411669952774101</v>
      </c>
      <c r="T1056">
        <v>86.699127957229095</v>
      </c>
      <c r="U1056">
        <v>-1.41731448437704</v>
      </c>
      <c r="V1056">
        <v>13.877386188972499</v>
      </c>
    </row>
    <row r="1057" spans="1:22" x14ac:dyDescent="0.25">
      <c r="A1057" t="str">
        <f t="shared" si="16"/>
        <v>Malawi2024</v>
      </c>
      <c r="B1057" t="s">
        <v>149</v>
      </c>
      <c r="C1057" t="s">
        <v>150</v>
      </c>
      <c r="D1057">
        <v>2024</v>
      </c>
      <c r="E1057">
        <v>522.57039364254695</v>
      </c>
      <c r="F1057">
        <v>1.6734340852915</v>
      </c>
      <c r="G1057">
        <v>32.179650422502498</v>
      </c>
      <c r="H1057">
        <v>8</v>
      </c>
      <c r="I1057">
        <v>2.58611915815843</v>
      </c>
      <c r="J1057">
        <v>5.0510000000000002</v>
      </c>
      <c r="K1057">
        <v>13.244471828450701</v>
      </c>
      <c r="L1057">
        <v>11.7964542832246</v>
      </c>
      <c r="M1057">
        <v>24.693150633016199</v>
      </c>
      <c r="N1057">
        <v>76.340944977875594</v>
      </c>
      <c r="O1057">
        <v>16.915576065162998</v>
      </c>
      <c r="P1057">
        <v>2.2289156153826402</v>
      </c>
      <c r="Q1057">
        <v>2.6754691055889102</v>
      </c>
      <c r="R1057">
        <v>11.6727813510859</v>
      </c>
      <c r="S1057">
        <v>-10.999065552153899</v>
      </c>
      <c r="T1057">
        <v>87.627552756413607</v>
      </c>
      <c r="U1057">
        <v>-1.54133040307931</v>
      </c>
      <c r="V1057">
        <v>11.5005181405675</v>
      </c>
    </row>
    <row r="1058" spans="1:22" x14ac:dyDescent="0.25">
      <c r="A1058" t="str">
        <f t="shared" si="16"/>
        <v>Malawi2025</v>
      </c>
      <c r="B1058" t="s">
        <v>149</v>
      </c>
      <c r="C1058" t="s">
        <v>150</v>
      </c>
      <c r="D1058">
        <v>2025</v>
      </c>
      <c r="E1058">
        <v>558.46208832772004</v>
      </c>
      <c r="F1058">
        <v>4.0000000008917196</v>
      </c>
      <c r="G1058">
        <v>20.953969729969</v>
      </c>
      <c r="H1058">
        <v>8</v>
      </c>
      <c r="I1058">
        <v>2.8971799166450198</v>
      </c>
      <c r="J1058">
        <v>5.0720000000000001</v>
      </c>
      <c r="K1058">
        <v>13.244471828450701</v>
      </c>
      <c r="L1058">
        <v>11.7964542832246</v>
      </c>
      <c r="M1058">
        <v>17.166830393095498</v>
      </c>
      <c r="N1058">
        <v>90.6164711918926</v>
      </c>
      <c r="O1058">
        <v>16.915576065162998</v>
      </c>
      <c r="P1058">
        <v>2.2289156153826402</v>
      </c>
      <c r="Q1058">
        <v>2.6754691055889102</v>
      </c>
      <c r="R1058">
        <v>11.6727813510859</v>
      </c>
      <c r="S1058">
        <v>-11.4757873575697</v>
      </c>
      <c r="T1058">
        <v>78.364807547200996</v>
      </c>
      <c r="U1058">
        <v>-1.6230685010620001</v>
      </c>
      <c r="V1058">
        <v>9.9339396281843797</v>
      </c>
    </row>
    <row r="1059" spans="1:22" x14ac:dyDescent="0.25">
      <c r="A1059" t="str">
        <f t="shared" si="16"/>
        <v>Malaysia2010</v>
      </c>
      <c r="B1059" t="s">
        <v>151</v>
      </c>
      <c r="C1059" t="s">
        <v>152</v>
      </c>
      <c r="D1059">
        <v>2010</v>
      </c>
      <c r="E1059">
        <v>8899.3450554467508</v>
      </c>
      <c r="F1059">
        <v>7.4248473832609703</v>
      </c>
      <c r="G1059">
        <v>1.62285235577035</v>
      </c>
      <c r="H1059">
        <v>6</v>
      </c>
      <c r="I1059">
        <v>4.94869856344671</v>
      </c>
      <c r="J1059">
        <v>3.32</v>
      </c>
      <c r="K1059">
        <v>18.231925389014801</v>
      </c>
      <c r="L1059">
        <v>19.4358718043738</v>
      </c>
      <c r="M1059">
        <v>7.2668459338943903</v>
      </c>
      <c r="N1059">
        <v>49.0080301479463</v>
      </c>
      <c r="O1059">
        <v>23.386541097641398</v>
      </c>
      <c r="P1059">
        <v>6.3411520985842396</v>
      </c>
      <c r="Q1059">
        <v>33.466468298852099</v>
      </c>
      <c r="R1059">
        <v>86.930295069354301</v>
      </c>
      <c r="S1059">
        <v>-4.3190704886784799</v>
      </c>
      <c r="T1059">
        <v>51.212213601183002</v>
      </c>
      <c r="U1059">
        <v>-0.112701902432279</v>
      </c>
      <c r="V1059">
        <v>38.881369500309098</v>
      </c>
    </row>
    <row r="1060" spans="1:22" x14ac:dyDescent="0.25">
      <c r="A1060" t="str">
        <f t="shared" si="16"/>
        <v>Malaysia2011</v>
      </c>
      <c r="B1060" t="s">
        <v>151</v>
      </c>
      <c r="C1060" t="s">
        <v>152</v>
      </c>
      <c r="D1060">
        <v>2011</v>
      </c>
      <c r="E1060">
        <v>10217.106858503101</v>
      </c>
      <c r="F1060">
        <v>5.2939128341400297</v>
      </c>
      <c r="G1060">
        <v>3.1744709215131</v>
      </c>
      <c r="H1060">
        <v>6</v>
      </c>
      <c r="I1060">
        <v>5.0942819876209597</v>
      </c>
      <c r="J1060">
        <v>3.05</v>
      </c>
      <c r="K1060">
        <v>19.734779590077402</v>
      </c>
      <c r="L1060">
        <v>20.336984621594301</v>
      </c>
      <c r="M1060">
        <v>5.4124080900796798</v>
      </c>
      <c r="N1060">
        <v>48.146519877069302</v>
      </c>
      <c r="O1060">
        <v>23.188257965873799</v>
      </c>
      <c r="P1060">
        <v>6.9155954386962302</v>
      </c>
      <c r="Q1060">
        <v>34.081802985600802</v>
      </c>
      <c r="R1060">
        <v>85.255442108599794</v>
      </c>
      <c r="S1060">
        <v>-3.5676234305563499</v>
      </c>
      <c r="T1060">
        <v>51.898322131320398</v>
      </c>
      <c r="U1060">
        <v>-4.9274407625208301E-2</v>
      </c>
      <c r="V1060">
        <v>40.097010100119803</v>
      </c>
    </row>
    <row r="1061" spans="1:22" x14ac:dyDescent="0.25">
      <c r="A1061" t="str">
        <f t="shared" si="16"/>
        <v>Malaysia2012</v>
      </c>
      <c r="B1061" t="s">
        <v>151</v>
      </c>
      <c r="C1061" t="s">
        <v>152</v>
      </c>
      <c r="D1061">
        <v>2012</v>
      </c>
      <c r="E1061">
        <v>10600.5744240026</v>
      </c>
      <c r="F1061">
        <v>5.4734541925385303</v>
      </c>
      <c r="G1061">
        <v>1.6635710247920601</v>
      </c>
      <c r="H1061">
        <v>6</v>
      </c>
      <c r="I1061">
        <v>5.23882228233711</v>
      </c>
      <c r="J1061">
        <v>3.04</v>
      </c>
      <c r="K1061">
        <v>20.9798770041143</v>
      </c>
      <c r="L1061">
        <v>21.406596846132601</v>
      </c>
      <c r="M1061">
        <v>0.99993230347088502</v>
      </c>
      <c r="N1061">
        <v>47.517697201041898</v>
      </c>
      <c r="O1061">
        <v>25.748621367060199</v>
      </c>
      <c r="P1061">
        <v>6.9638278200485404</v>
      </c>
      <c r="Q1061">
        <v>30.915349488272199</v>
      </c>
      <c r="R1061">
        <v>79.2999139255312</v>
      </c>
      <c r="S1061">
        <v>-3.1028772424589999</v>
      </c>
      <c r="T1061">
        <v>53.787501941527701</v>
      </c>
      <c r="U1061">
        <v>-7.4514134515447694E-2</v>
      </c>
      <c r="V1061">
        <v>39.613269778525201</v>
      </c>
    </row>
    <row r="1062" spans="1:22" x14ac:dyDescent="0.25">
      <c r="A1062" t="str">
        <f t="shared" si="16"/>
        <v>Malaysia2013</v>
      </c>
      <c r="B1062" t="s">
        <v>151</v>
      </c>
      <c r="C1062" t="s">
        <v>152</v>
      </c>
      <c r="D1062">
        <v>2013</v>
      </c>
      <c r="E1062">
        <v>10713.6407638899</v>
      </c>
      <c r="F1062">
        <v>4.6937225255789299</v>
      </c>
      <c r="G1062">
        <v>2.10501231233612</v>
      </c>
      <c r="H1062">
        <v>6</v>
      </c>
      <c r="I1062">
        <v>5.3885919903698101</v>
      </c>
      <c r="J1062">
        <v>3.14</v>
      </c>
      <c r="K1062">
        <v>20.602120430310201</v>
      </c>
      <c r="L1062">
        <v>20.9471104854243</v>
      </c>
      <c r="M1062">
        <v>0.17447448132144</v>
      </c>
      <c r="N1062">
        <v>46.957501387911599</v>
      </c>
      <c r="O1062">
        <v>25.937106695961401</v>
      </c>
      <c r="P1062">
        <v>6.6672524391091201</v>
      </c>
      <c r="Q1062">
        <v>29.419840114681602</v>
      </c>
      <c r="R1062">
        <v>75.629041030262698</v>
      </c>
      <c r="S1062">
        <v>-3.4782278321725699</v>
      </c>
      <c r="T1062">
        <v>55.656452691307997</v>
      </c>
      <c r="U1062">
        <v>-0.139292204472588</v>
      </c>
      <c r="V1062">
        <v>38.371744284623801</v>
      </c>
    </row>
    <row r="1063" spans="1:22" x14ac:dyDescent="0.25">
      <c r="A1063" t="str">
        <f t="shared" si="16"/>
        <v>Malaysia2014</v>
      </c>
      <c r="B1063" t="s">
        <v>151</v>
      </c>
      <c r="C1063" t="s">
        <v>152</v>
      </c>
      <c r="D1063">
        <v>2014</v>
      </c>
      <c r="E1063">
        <v>11013.310733440299</v>
      </c>
      <c r="F1063">
        <v>6.0067219455820302</v>
      </c>
      <c r="G1063">
        <v>3.14299050879095</v>
      </c>
      <c r="H1063">
        <v>6</v>
      </c>
      <c r="I1063">
        <v>5.5450431033885996</v>
      </c>
      <c r="J1063">
        <v>2.88</v>
      </c>
      <c r="K1063">
        <v>19.683544385024799</v>
      </c>
      <c r="L1063">
        <v>19.940064693798099</v>
      </c>
      <c r="M1063">
        <v>2.46746678366378</v>
      </c>
      <c r="N1063">
        <v>46.452998725793996</v>
      </c>
      <c r="O1063">
        <v>24.9776084262813</v>
      </c>
      <c r="P1063">
        <v>5.6700220201029303</v>
      </c>
      <c r="Q1063">
        <v>29.3665669513565</v>
      </c>
      <c r="R1063">
        <v>73.793498625776493</v>
      </c>
      <c r="S1063">
        <v>-2.6284374697253501</v>
      </c>
      <c r="T1063">
        <v>55.373067884386302</v>
      </c>
      <c r="U1063">
        <v>-0.100599000404043</v>
      </c>
      <c r="V1063">
        <v>39.1133316663351</v>
      </c>
    </row>
    <row r="1064" spans="1:22" x14ac:dyDescent="0.25">
      <c r="A1064" t="str">
        <f t="shared" si="16"/>
        <v>Malaysia2015</v>
      </c>
      <c r="B1064" t="s">
        <v>151</v>
      </c>
      <c r="C1064" t="s">
        <v>152</v>
      </c>
      <c r="D1064">
        <v>2015</v>
      </c>
      <c r="E1064">
        <v>9648.6797937523006</v>
      </c>
      <c r="F1064">
        <v>5.0915324215501103</v>
      </c>
      <c r="G1064">
        <v>2.1043898023835901</v>
      </c>
      <c r="H1064">
        <v>6</v>
      </c>
      <c r="I1064">
        <v>5.7084752014288798</v>
      </c>
      <c r="J1064">
        <v>3.1</v>
      </c>
      <c r="K1064">
        <v>18.291043204013601</v>
      </c>
      <c r="L1064">
        <v>18.615118785880298</v>
      </c>
      <c r="M1064">
        <v>1.2180557335533799</v>
      </c>
      <c r="N1064">
        <v>46.039085591998202</v>
      </c>
      <c r="O1064">
        <v>25.424263277142</v>
      </c>
      <c r="P1064">
        <v>5.50777041074819</v>
      </c>
      <c r="Q1064">
        <v>28.399147642693599</v>
      </c>
      <c r="R1064">
        <v>69.448690897075394</v>
      </c>
      <c r="S1064">
        <v>-2.5458839639535702</v>
      </c>
      <c r="T1064">
        <v>56.970762926223998</v>
      </c>
      <c r="U1064">
        <v>-0.17974469553932401</v>
      </c>
      <c r="V1064">
        <v>37.596438706912103</v>
      </c>
    </row>
    <row r="1065" spans="1:22" x14ac:dyDescent="0.25">
      <c r="A1065" t="str">
        <f t="shared" si="16"/>
        <v>Malaysia2016</v>
      </c>
      <c r="B1065" t="s">
        <v>151</v>
      </c>
      <c r="C1065" t="s">
        <v>152</v>
      </c>
      <c r="D1065">
        <v>2016</v>
      </c>
      <c r="E1065">
        <v>9476.5340980992296</v>
      </c>
      <c r="F1065">
        <v>4.4497813976154097</v>
      </c>
      <c r="G1065">
        <v>2.0905665952574202</v>
      </c>
      <c r="H1065">
        <v>6</v>
      </c>
      <c r="I1065">
        <v>5.8799339175595202</v>
      </c>
      <c r="J1065">
        <v>3.44</v>
      </c>
      <c r="K1065">
        <v>16.7638213141114</v>
      </c>
      <c r="L1065">
        <v>16.997790827323101</v>
      </c>
      <c r="M1065">
        <v>1.65825996642414</v>
      </c>
      <c r="N1065">
        <v>45.734088535871798</v>
      </c>
      <c r="O1065">
        <v>25.995511999400399</v>
      </c>
      <c r="P1065">
        <v>5.6427099782751302</v>
      </c>
      <c r="Q1065">
        <v>28.385001920664902</v>
      </c>
      <c r="R1065">
        <v>66.7754454542508</v>
      </c>
      <c r="S1065">
        <v>-2.6028723107462102</v>
      </c>
      <c r="T1065">
        <v>55.787459907083701</v>
      </c>
      <c r="U1065">
        <v>-0.236817240292337</v>
      </c>
      <c r="V1065">
        <v>36.502596001200502</v>
      </c>
    </row>
    <row r="1066" spans="1:22" x14ac:dyDescent="0.25">
      <c r="A1066" t="str">
        <f t="shared" si="16"/>
        <v>Malaysia2017</v>
      </c>
      <c r="B1066" t="s">
        <v>151</v>
      </c>
      <c r="C1066" t="s">
        <v>152</v>
      </c>
      <c r="D1066">
        <v>2017</v>
      </c>
      <c r="E1066">
        <v>9862.5480661223501</v>
      </c>
      <c r="F1066">
        <v>5.8127224098332801</v>
      </c>
      <c r="G1066">
        <v>3.8712011577423699</v>
      </c>
      <c r="H1066">
        <v>6</v>
      </c>
      <c r="I1066">
        <v>6.06511485190783</v>
      </c>
      <c r="J1066">
        <v>3.41</v>
      </c>
      <c r="K1066">
        <v>15.825819028683499</v>
      </c>
      <c r="L1066">
        <v>16.0609680474948</v>
      </c>
      <c r="M1066">
        <v>3.7789609430645301</v>
      </c>
      <c r="N1066">
        <v>45.495151899446299</v>
      </c>
      <c r="O1066">
        <v>25.547343451518699</v>
      </c>
      <c r="P1066">
        <v>5.5076074113042202</v>
      </c>
      <c r="Q1066">
        <v>28.335987606645901</v>
      </c>
      <c r="R1066">
        <v>70.011742508596996</v>
      </c>
      <c r="S1066">
        <v>-2.4118294602825499</v>
      </c>
      <c r="T1066">
        <v>54.395478591314202</v>
      </c>
      <c r="U1066">
        <v>-0.20346413197292099</v>
      </c>
      <c r="V1066">
        <v>37.141836014168</v>
      </c>
    </row>
    <row r="1067" spans="1:22" x14ac:dyDescent="0.25">
      <c r="A1067" t="str">
        <f t="shared" si="16"/>
        <v>Malaysia2018</v>
      </c>
      <c r="B1067" t="s">
        <v>151</v>
      </c>
      <c r="C1067" t="s">
        <v>152</v>
      </c>
      <c r="D1067">
        <v>2018</v>
      </c>
      <c r="E1067">
        <v>10901.8019954421</v>
      </c>
      <c r="F1067">
        <v>4.8430869763488102</v>
      </c>
      <c r="G1067">
        <v>0.88470916057123505</v>
      </c>
      <c r="H1067">
        <v>6</v>
      </c>
      <c r="I1067">
        <v>6.2667089058793097</v>
      </c>
      <c r="J1067">
        <v>3.3</v>
      </c>
      <c r="K1067">
        <v>15.922057934496801</v>
      </c>
      <c r="L1067">
        <v>16.085650154567301</v>
      </c>
      <c r="M1067">
        <v>0.62467467458664305</v>
      </c>
      <c r="N1067">
        <v>45.227518847802003</v>
      </c>
      <c r="O1067">
        <v>23.897419960876299</v>
      </c>
      <c r="P1067">
        <v>4.9102369155434804</v>
      </c>
      <c r="Q1067">
        <v>26.128324739922601</v>
      </c>
      <c r="R1067">
        <v>68.554971419685998</v>
      </c>
      <c r="S1067">
        <v>-2.64466907663923</v>
      </c>
      <c r="T1067">
        <v>55.645977508733303</v>
      </c>
      <c r="U1067">
        <v>-0.22100489765120701</v>
      </c>
      <c r="V1067">
        <v>36.805652676403398</v>
      </c>
    </row>
    <row r="1068" spans="1:22" x14ac:dyDescent="0.25">
      <c r="A1068" t="str">
        <f t="shared" si="16"/>
        <v>Malaysia2019</v>
      </c>
      <c r="B1068" t="s">
        <v>151</v>
      </c>
      <c r="C1068" t="s">
        <v>152</v>
      </c>
      <c r="D1068">
        <v>2019</v>
      </c>
      <c r="E1068">
        <v>10920.191763972</v>
      </c>
      <c r="F1068">
        <v>4.4131874212958602</v>
      </c>
      <c r="G1068">
        <v>0.66289186576432602</v>
      </c>
      <c r="H1068">
        <v>6</v>
      </c>
      <c r="I1068">
        <v>6.4823217636779198</v>
      </c>
      <c r="J1068">
        <v>3.33</v>
      </c>
      <c r="K1068">
        <v>17.357459805989599</v>
      </c>
      <c r="L1068">
        <v>17.479219710950002</v>
      </c>
      <c r="M1068">
        <v>7.1826909312136394E-2</v>
      </c>
      <c r="N1068">
        <v>44.836087797517202</v>
      </c>
      <c r="O1068">
        <v>21.0482403944815</v>
      </c>
      <c r="P1068">
        <v>5.2657512594377804</v>
      </c>
      <c r="Q1068">
        <v>24.546150625052</v>
      </c>
      <c r="R1068">
        <v>65.277766842857602</v>
      </c>
      <c r="S1068">
        <v>-2.0081471451185502</v>
      </c>
      <c r="T1068">
        <v>57.082531268895998</v>
      </c>
      <c r="U1068">
        <v>-0.15889734684175899</v>
      </c>
      <c r="V1068">
        <v>37.995995453592002</v>
      </c>
    </row>
    <row r="1069" spans="1:22" x14ac:dyDescent="0.25">
      <c r="A1069" t="str">
        <f t="shared" si="16"/>
        <v>Malaysia2020</v>
      </c>
      <c r="B1069" t="s">
        <v>151</v>
      </c>
      <c r="C1069" t="s">
        <v>152</v>
      </c>
      <c r="D1069">
        <v>2020</v>
      </c>
      <c r="E1069">
        <v>9957.5262669761305</v>
      </c>
      <c r="F1069">
        <v>-5.4568465842670104</v>
      </c>
      <c r="G1069">
        <v>-1.1387021539305</v>
      </c>
      <c r="H1069">
        <v>6</v>
      </c>
      <c r="I1069">
        <v>6.7249061388628002</v>
      </c>
      <c r="J1069">
        <v>4.54</v>
      </c>
      <c r="K1069">
        <v>18.471585144526198</v>
      </c>
      <c r="L1069">
        <v>15.8672577102456</v>
      </c>
      <c r="M1069">
        <v>-0.818007729183023</v>
      </c>
      <c r="N1069">
        <v>44.2708649510882</v>
      </c>
      <c r="O1069">
        <v>19.658008228154198</v>
      </c>
      <c r="P1069">
        <v>6.2688099737909102</v>
      </c>
      <c r="Q1069">
        <v>23.821061481929402</v>
      </c>
      <c r="R1069">
        <v>61.577935905434899</v>
      </c>
      <c r="S1069">
        <v>-4.90173635236214</v>
      </c>
      <c r="T1069">
        <v>67.6930668660886</v>
      </c>
      <c r="U1069">
        <v>-0.44977443855306398</v>
      </c>
      <c r="V1069">
        <v>32.421094484939999</v>
      </c>
    </row>
    <row r="1070" spans="1:22" x14ac:dyDescent="0.25">
      <c r="A1070" t="str">
        <f t="shared" si="16"/>
        <v>Malaysia2021</v>
      </c>
      <c r="B1070" t="s">
        <v>151</v>
      </c>
      <c r="C1070" t="s">
        <v>152</v>
      </c>
      <c r="D1070">
        <v>2021</v>
      </c>
      <c r="E1070">
        <v>10903.103748077199</v>
      </c>
      <c r="F1070">
        <v>3.31534954399166</v>
      </c>
      <c r="G1070">
        <v>2.4771024146544698</v>
      </c>
      <c r="H1070">
        <v>6</v>
      </c>
      <c r="I1070">
        <v>6.95860588634135</v>
      </c>
      <c r="J1070">
        <v>4.6399999999999997</v>
      </c>
      <c r="K1070">
        <v>17.254268968730699</v>
      </c>
      <c r="L1070">
        <v>15.0934538926416</v>
      </c>
      <c r="M1070">
        <v>5.6759384876411598</v>
      </c>
      <c r="N1070">
        <v>43.5789018280947</v>
      </c>
      <c r="O1070">
        <v>22.1257083996672</v>
      </c>
      <c r="P1070">
        <v>5.1862060961931302</v>
      </c>
      <c r="Q1070">
        <v>26.0099609240741</v>
      </c>
      <c r="R1070">
        <v>70.633055549333704</v>
      </c>
      <c r="S1070">
        <v>-6.0324182847221897</v>
      </c>
      <c r="T1070">
        <v>69.162100705068994</v>
      </c>
      <c r="U1070">
        <v>-0.39351307448593298</v>
      </c>
      <c r="V1070">
        <v>33.499390239309101</v>
      </c>
    </row>
    <row r="1071" spans="1:22" x14ac:dyDescent="0.25">
      <c r="A1071" t="str">
        <f t="shared" si="16"/>
        <v>Malaysia2022</v>
      </c>
      <c r="B1071" t="s">
        <v>151</v>
      </c>
      <c r="C1071" t="s">
        <v>152</v>
      </c>
      <c r="D1071">
        <v>2022</v>
      </c>
      <c r="E1071">
        <v>11754.5678336248</v>
      </c>
      <c r="F1071">
        <v>9.0317372304445094</v>
      </c>
      <c r="G1071">
        <v>3.3786986254992799</v>
      </c>
      <c r="H1071">
        <v>6</v>
      </c>
      <c r="I1071">
        <v>7.1856393566737902</v>
      </c>
      <c r="J1071">
        <v>3.93</v>
      </c>
      <c r="K1071">
        <v>17.896274315249801</v>
      </c>
      <c r="L1071">
        <v>16.399628113794002</v>
      </c>
      <c r="M1071">
        <v>6.2962995033379903</v>
      </c>
      <c r="N1071">
        <v>42.896562483602899</v>
      </c>
      <c r="O1071">
        <v>23.5862921622175</v>
      </c>
      <c r="P1071">
        <v>4.3286190808794798</v>
      </c>
      <c r="Q1071">
        <v>26.780778950751401</v>
      </c>
      <c r="R1071">
        <v>76.807797482584405</v>
      </c>
      <c r="S1071">
        <v>-4.5593025360011099</v>
      </c>
      <c r="T1071">
        <v>65.464001823287305</v>
      </c>
      <c r="U1071">
        <v>-0.195790224598858</v>
      </c>
      <c r="V1071">
        <v>37.2889128203933</v>
      </c>
    </row>
    <row r="1072" spans="1:22" x14ac:dyDescent="0.25">
      <c r="A1072" t="str">
        <f t="shared" si="16"/>
        <v>Malaysia2023</v>
      </c>
      <c r="B1072" t="s">
        <v>151</v>
      </c>
      <c r="C1072" t="s">
        <v>152</v>
      </c>
      <c r="D1072">
        <v>2023</v>
      </c>
      <c r="E1072">
        <v>11386.039563652799</v>
      </c>
      <c r="F1072">
        <v>3.5370638041057001</v>
      </c>
      <c r="G1072">
        <v>2.4888656012575399</v>
      </c>
      <c r="H1072">
        <v>6</v>
      </c>
      <c r="I1072">
        <v>7.4511737616073299</v>
      </c>
      <c r="J1072">
        <v>3.8580000000000001</v>
      </c>
      <c r="K1072">
        <v>17.008873371536701</v>
      </c>
      <c r="L1072">
        <v>17.267313730199799</v>
      </c>
      <c r="M1072">
        <v>-1.84898373559957</v>
      </c>
      <c r="N1072">
        <v>42.326804302912102</v>
      </c>
      <c r="O1072">
        <v>22.8017590224926</v>
      </c>
      <c r="P1072">
        <v>4.7777404401809296</v>
      </c>
      <c r="Q1072">
        <v>23.858351696916198</v>
      </c>
      <c r="R1072">
        <v>68.678953565316803</v>
      </c>
      <c r="S1072">
        <v>-4.1134130037505399</v>
      </c>
      <c r="T1072">
        <v>69.712376401561201</v>
      </c>
      <c r="U1072">
        <v>-0.27674327081467598</v>
      </c>
      <c r="V1072">
        <v>35.737380476925701</v>
      </c>
    </row>
    <row r="1073" spans="1:22" x14ac:dyDescent="0.25">
      <c r="A1073" t="str">
        <f t="shared" si="16"/>
        <v>Malaysia2024</v>
      </c>
      <c r="B1073" t="s">
        <v>151</v>
      </c>
      <c r="C1073" t="s">
        <v>152</v>
      </c>
      <c r="D1073">
        <v>2024</v>
      </c>
      <c r="E1073">
        <v>11874.4273684245</v>
      </c>
      <c r="F1073">
        <v>5.1054592102404097</v>
      </c>
      <c r="G1073">
        <v>1.834100204499</v>
      </c>
      <c r="H1073">
        <v>6</v>
      </c>
      <c r="I1073">
        <v>7.7378515779442099</v>
      </c>
      <c r="J1073">
        <v>3.8460000000000001</v>
      </c>
      <c r="K1073">
        <v>18.064099852132301</v>
      </c>
      <c r="L1073">
        <v>16.799689675183501</v>
      </c>
      <c r="M1073">
        <v>0.79015755552760003</v>
      </c>
      <c r="N1073">
        <v>41.892765864527703</v>
      </c>
      <c r="O1073">
        <v>21.953883106942602</v>
      </c>
      <c r="P1073">
        <v>4.4505783350303796</v>
      </c>
      <c r="Q1073">
        <v>23.3780820262118</v>
      </c>
      <c r="R1073">
        <v>71.341084982990793</v>
      </c>
      <c r="S1073">
        <v>-3.4470638520816501</v>
      </c>
      <c r="T1073">
        <v>69.838921940979503</v>
      </c>
      <c r="U1073">
        <v>-0.20237761942711399</v>
      </c>
      <c r="V1073">
        <v>37.162659929205198</v>
      </c>
    </row>
    <row r="1074" spans="1:22" x14ac:dyDescent="0.25">
      <c r="A1074" t="str">
        <f t="shared" si="16"/>
        <v>Malaysia2025</v>
      </c>
      <c r="B1074" t="s">
        <v>151</v>
      </c>
      <c r="C1074" t="s">
        <v>152</v>
      </c>
      <c r="D1074">
        <v>2025</v>
      </c>
      <c r="E1074">
        <v>10713.6407638899</v>
      </c>
      <c r="F1074">
        <v>5.0915324215501103</v>
      </c>
      <c r="G1074">
        <v>2.1043898023835901</v>
      </c>
      <c r="H1074">
        <v>6</v>
      </c>
      <c r="I1074">
        <v>6.06511485190783</v>
      </c>
      <c r="J1074">
        <v>3.7639999999999998</v>
      </c>
      <c r="K1074">
        <v>18.064099852132301</v>
      </c>
      <c r="L1074">
        <v>17.267313730199799</v>
      </c>
      <c r="M1074">
        <v>1.2180557335533799</v>
      </c>
      <c r="N1074">
        <v>45.495151899446299</v>
      </c>
      <c r="O1074">
        <v>23.5862921622175</v>
      </c>
      <c r="P1074">
        <v>5.50777041074819</v>
      </c>
      <c r="Q1074">
        <v>28.335987606645901</v>
      </c>
      <c r="R1074">
        <v>70.633055549333704</v>
      </c>
      <c r="S1074">
        <v>-3.5373332331689999</v>
      </c>
      <c r="T1074">
        <v>70.651852414996696</v>
      </c>
      <c r="U1074">
        <v>-0.246483767002455</v>
      </c>
      <c r="V1074">
        <v>36.3173289909912</v>
      </c>
    </row>
    <row r="1075" spans="1:22" x14ac:dyDescent="0.25">
      <c r="A1075" t="str">
        <f t="shared" si="16"/>
        <v>Maldives2010</v>
      </c>
      <c r="B1075" t="s">
        <v>153</v>
      </c>
      <c r="C1075" t="s">
        <v>154</v>
      </c>
      <c r="D1075">
        <v>2010</v>
      </c>
      <c r="E1075">
        <v>7173.5960184469204</v>
      </c>
      <c r="F1075">
        <v>6.7854678229144003</v>
      </c>
      <c r="G1075">
        <v>6.1498853675017298</v>
      </c>
      <c r="H1075">
        <v>7</v>
      </c>
      <c r="I1075">
        <v>4.4438346748264896</v>
      </c>
      <c r="J1075">
        <v>10.875</v>
      </c>
      <c r="K1075">
        <v>25.440514809936399</v>
      </c>
      <c r="L1075">
        <v>19.146869340765701</v>
      </c>
      <c r="M1075">
        <v>3.3437474140352901</v>
      </c>
      <c r="N1075">
        <v>43.0783141130375</v>
      </c>
      <c r="O1075">
        <v>33.050934705517797</v>
      </c>
      <c r="P1075">
        <v>2.0917393291772899</v>
      </c>
      <c r="Q1075">
        <v>16.6830105018174</v>
      </c>
      <c r="R1075">
        <v>74.043769266111596</v>
      </c>
      <c r="S1075">
        <v>-13.579747278943801</v>
      </c>
      <c r="T1075">
        <v>52.7476566950942</v>
      </c>
      <c r="U1075">
        <v>-0.90178801198347103</v>
      </c>
      <c r="V1075">
        <v>23.7578790576415</v>
      </c>
    </row>
    <row r="1076" spans="1:22" x14ac:dyDescent="0.25">
      <c r="A1076" t="str">
        <f t="shared" si="16"/>
        <v>Maldives2011</v>
      </c>
      <c r="B1076" t="s">
        <v>153</v>
      </c>
      <c r="C1076" t="s">
        <v>154</v>
      </c>
      <c r="D1076">
        <v>2011</v>
      </c>
      <c r="E1076">
        <v>7424.5204109710003</v>
      </c>
      <c r="F1076">
        <v>8.8434260049034208</v>
      </c>
      <c r="G1076">
        <v>11.2734146055937</v>
      </c>
      <c r="H1076">
        <v>7</v>
      </c>
      <c r="I1076">
        <v>4.3556683098101496</v>
      </c>
      <c r="J1076">
        <v>10.042999999999999</v>
      </c>
      <c r="K1076">
        <v>22.403111606165702</v>
      </c>
      <c r="L1076">
        <v>21.321776935697098</v>
      </c>
      <c r="M1076">
        <v>12.3486557934904</v>
      </c>
      <c r="N1076">
        <v>41.281489967446703</v>
      </c>
      <c r="O1076">
        <v>33.050934705517797</v>
      </c>
      <c r="P1076">
        <v>1.5480907383057601</v>
      </c>
      <c r="Q1076">
        <v>16.6830105018174</v>
      </c>
      <c r="R1076">
        <v>74.043769266111596</v>
      </c>
      <c r="S1076">
        <v>-8.1300918717524997</v>
      </c>
      <c r="T1076">
        <v>51.863430273230897</v>
      </c>
      <c r="U1076">
        <v>-0.60330166025492404</v>
      </c>
      <c r="V1076">
        <v>29.478617812250899</v>
      </c>
    </row>
    <row r="1077" spans="1:22" x14ac:dyDescent="0.25">
      <c r="A1077" t="str">
        <f t="shared" si="16"/>
        <v>Maldives2012</v>
      </c>
      <c r="B1077" t="s">
        <v>153</v>
      </c>
      <c r="C1077" t="s">
        <v>154</v>
      </c>
      <c r="D1077">
        <v>2012</v>
      </c>
      <c r="E1077">
        <v>7461.2970368630904</v>
      </c>
      <c r="F1077">
        <v>2.3892879796344202</v>
      </c>
      <c r="G1077">
        <v>10.884695658563</v>
      </c>
      <c r="H1077">
        <v>7</v>
      </c>
      <c r="I1077">
        <v>4.2628574678530997</v>
      </c>
      <c r="J1077">
        <v>9.1340000000000003</v>
      </c>
      <c r="K1077">
        <v>25.033123058349901</v>
      </c>
      <c r="L1077">
        <v>25.2170926302731</v>
      </c>
      <c r="M1077">
        <v>6.9105378115108103</v>
      </c>
      <c r="N1077">
        <v>39.933437036501097</v>
      </c>
      <c r="O1077">
        <v>33.050934705517797</v>
      </c>
      <c r="P1077">
        <v>1.5082286570409</v>
      </c>
      <c r="Q1077">
        <v>16.6830105018174</v>
      </c>
      <c r="R1077">
        <v>74.043769266111596</v>
      </c>
      <c r="S1077">
        <v>-6.9051565497881002</v>
      </c>
      <c r="T1077">
        <v>57.123196963267397</v>
      </c>
      <c r="U1077">
        <v>-0.53113847862820496</v>
      </c>
      <c r="V1077">
        <v>30.8616851029232</v>
      </c>
    </row>
    <row r="1078" spans="1:22" x14ac:dyDescent="0.25">
      <c r="A1078" t="str">
        <f t="shared" si="16"/>
        <v>Maldives2013</v>
      </c>
      <c r="B1078" t="s">
        <v>153</v>
      </c>
      <c r="C1078" t="s">
        <v>154</v>
      </c>
      <c r="D1078">
        <v>2013</v>
      </c>
      <c r="E1078">
        <v>8236.0817794412596</v>
      </c>
      <c r="F1078">
        <v>6.9749622641252804</v>
      </c>
      <c r="G1078">
        <v>3.8056300091942998</v>
      </c>
      <c r="H1078">
        <v>7</v>
      </c>
      <c r="I1078">
        <v>4.1757640215911902</v>
      </c>
      <c r="J1078">
        <v>8.2949999999999999</v>
      </c>
      <c r="K1078">
        <v>25.033123058349901</v>
      </c>
      <c r="L1078">
        <v>25.2170926302731</v>
      </c>
      <c r="M1078">
        <v>6.7349090067399402</v>
      </c>
      <c r="N1078">
        <v>38.9411756534302</v>
      </c>
      <c r="O1078">
        <v>33.050934705517797</v>
      </c>
      <c r="P1078">
        <v>1.59704253211411</v>
      </c>
      <c r="Q1078">
        <v>16.6830105018174</v>
      </c>
      <c r="R1078">
        <v>74.043769266111596</v>
      </c>
      <c r="S1078">
        <v>-3.4868410298928501</v>
      </c>
      <c r="T1078">
        <v>55.9486534562297</v>
      </c>
      <c r="U1078">
        <v>-0.29639609714085202</v>
      </c>
      <c r="V1078">
        <v>35.360717743267401</v>
      </c>
    </row>
    <row r="1079" spans="1:22" x14ac:dyDescent="0.25">
      <c r="A1079" t="str">
        <f t="shared" si="16"/>
        <v>Maldives2014</v>
      </c>
      <c r="B1079" t="s">
        <v>153</v>
      </c>
      <c r="C1079" t="s">
        <v>154</v>
      </c>
      <c r="D1079">
        <v>2014</v>
      </c>
      <c r="E1079">
        <v>8939.0741657147191</v>
      </c>
      <c r="F1079">
        <v>7.8606864310807403</v>
      </c>
      <c r="G1079">
        <v>2.1200017571813401</v>
      </c>
      <c r="H1079">
        <v>7</v>
      </c>
      <c r="I1079">
        <v>4.0979940379626596</v>
      </c>
      <c r="J1079">
        <v>7.4610000000000003</v>
      </c>
      <c r="K1079">
        <v>24.652919078270099</v>
      </c>
      <c r="L1079">
        <v>26.091318631513399</v>
      </c>
      <c r="M1079">
        <v>4.1256367301019603</v>
      </c>
      <c r="N1079">
        <v>38.172628512634098</v>
      </c>
      <c r="O1079">
        <v>27.861179819738801</v>
      </c>
      <c r="P1079">
        <v>2.3680672535445599</v>
      </c>
      <c r="Q1079">
        <v>26.541936308677101</v>
      </c>
      <c r="R1079">
        <v>91.294127403613601</v>
      </c>
      <c r="S1079">
        <v>-2.4181895740636299</v>
      </c>
      <c r="T1079">
        <v>55.064997786675598</v>
      </c>
      <c r="U1079">
        <v>1.6601666633390799E-2</v>
      </c>
      <c r="V1079">
        <v>41.3595797580967</v>
      </c>
    </row>
    <row r="1080" spans="1:22" x14ac:dyDescent="0.25">
      <c r="A1080" t="str">
        <f t="shared" si="16"/>
        <v>Maldives2015</v>
      </c>
      <c r="B1080" t="s">
        <v>153</v>
      </c>
      <c r="C1080" t="s">
        <v>154</v>
      </c>
      <c r="D1080">
        <v>2015</v>
      </c>
      <c r="E1080">
        <v>9644.9065502814501</v>
      </c>
      <c r="F1080">
        <v>3.8681353649447501</v>
      </c>
      <c r="G1080">
        <v>0.95320665877760702</v>
      </c>
      <c r="H1080">
        <v>7</v>
      </c>
      <c r="I1080">
        <v>4.0147937424384699</v>
      </c>
      <c r="J1080">
        <v>6.6109999999999998</v>
      </c>
      <c r="K1080">
        <v>26.527550281421799</v>
      </c>
      <c r="L1080">
        <v>26.1603223303538</v>
      </c>
      <c r="M1080">
        <v>7.4304751866445304</v>
      </c>
      <c r="N1080">
        <v>37.409857215755402</v>
      </c>
      <c r="O1080">
        <v>31.9049232315583</v>
      </c>
      <c r="P1080">
        <v>2.1745872538325899</v>
      </c>
      <c r="Q1080">
        <v>24.6308536229777</v>
      </c>
      <c r="R1080">
        <v>76.427788772456097</v>
      </c>
      <c r="S1080">
        <v>-6.5159126843517301</v>
      </c>
      <c r="T1080">
        <v>54.844229379661201</v>
      </c>
      <c r="U1080">
        <v>-0.28644011322975799</v>
      </c>
      <c r="V1080">
        <v>35.551532441060502</v>
      </c>
    </row>
    <row r="1081" spans="1:22" x14ac:dyDescent="0.25">
      <c r="A1081" t="str">
        <f t="shared" si="16"/>
        <v>Maldives2016</v>
      </c>
      <c r="B1081" t="s">
        <v>153</v>
      </c>
      <c r="C1081" t="s">
        <v>154</v>
      </c>
      <c r="D1081">
        <v>2016</v>
      </c>
      <c r="E1081">
        <v>9947.8074473173892</v>
      </c>
      <c r="F1081">
        <v>6.37528306716864</v>
      </c>
      <c r="G1081">
        <v>0.50250941361161205</v>
      </c>
      <c r="H1081">
        <v>7</v>
      </c>
      <c r="I1081">
        <v>3.93214198706091</v>
      </c>
      <c r="J1081">
        <v>5.7709999999999999</v>
      </c>
      <c r="K1081">
        <v>24.2042777622576</v>
      </c>
      <c r="L1081">
        <v>26.9559744615757</v>
      </c>
      <c r="M1081">
        <v>0.40443073649740302</v>
      </c>
      <c r="N1081">
        <v>36.573185496914597</v>
      </c>
      <c r="O1081">
        <v>39.766285340584602</v>
      </c>
      <c r="P1081">
        <v>1.5734155106328001</v>
      </c>
      <c r="Q1081">
        <v>16.351476208781602</v>
      </c>
      <c r="R1081">
        <v>71.613633130119396</v>
      </c>
      <c r="S1081">
        <v>-9.9277166929077705</v>
      </c>
      <c r="T1081">
        <v>61.879800180700201</v>
      </c>
      <c r="U1081">
        <v>-0.58552370921958996</v>
      </c>
      <c r="V1081">
        <v>29.819347004310799</v>
      </c>
    </row>
    <row r="1082" spans="1:22" x14ac:dyDescent="0.25">
      <c r="A1082" t="str">
        <f t="shared" si="16"/>
        <v>Maldives2017</v>
      </c>
      <c r="B1082" t="s">
        <v>153</v>
      </c>
      <c r="C1082" t="s">
        <v>154</v>
      </c>
      <c r="D1082">
        <v>2017</v>
      </c>
      <c r="E1082">
        <v>10509.628805812001</v>
      </c>
      <c r="F1082">
        <v>7.0744286321527499</v>
      </c>
      <c r="G1082">
        <v>2.8174733823450899</v>
      </c>
      <c r="H1082">
        <v>7</v>
      </c>
      <c r="I1082">
        <v>3.8676637129135201</v>
      </c>
      <c r="J1082">
        <v>5.3769999999999998</v>
      </c>
      <c r="K1082">
        <v>20.351747991577099</v>
      </c>
      <c r="L1082">
        <v>26.707769880628401</v>
      </c>
      <c r="M1082">
        <v>2.1246092346460599</v>
      </c>
      <c r="N1082">
        <v>35.7416836237512</v>
      </c>
      <c r="O1082">
        <v>42.819715852479497</v>
      </c>
      <c r="P1082">
        <v>1.8123753786205701</v>
      </c>
      <c r="Q1082">
        <v>21.495116956090801</v>
      </c>
      <c r="R1082">
        <v>69.059448448537793</v>
      </c>
      <c r="S1082">
        <v>-3.0210699475869198</v>
      </c>
      <c r="T1082">
        <v>63.752225392525801</v>
      </c>
      <c r="U1082">
        <v>-0.28892290854125002</v>
      </c>
      <c r="V1082">
        <v>35.503947607529703</v>
      </c>
    </row>
    <row r="1083" spans="1:22" x14ac:dyDescent="0.25">
      <c r="A1083" t="str">
        <f t="shared" si="16"/>
        <v>Maldives2018</v>
      </c>
      <c r="B1083" t="s">
        <v>153</v>
      </c>
      <c r="C1083" t="s">
        <v>154</v>
      </c>
      <c r="D1083">
        <v>2018</v>
      </c>
      <c r="E1083">
        <v>11423.2838427029</v>
      </c>
      <c r="F1083">
        <v>8.5689555834747004</v>
      </c>
      <c r="G1083">
        <v>-0.133373386117595</v>
      </c>
      <c r="H1083">
        <v>7</v>
      </c>
      <c r="I1083">
        <v>3.8316545074651498</v>
      </c>
      <c r="J1083">
        <v>4.9619999999999997</v>
      </c>
      <c r="K1083">
        <v>21.971710553780699</v>
      </c>
      <c r="L1083">
        <v>25.609349133563299</v>
      </c>
      <c r="M1083">
        <v>3.3764425421455302</v>
      </c>
      <c r="N1083">
        <v>34.958294347200997</v>
      </c>
      <c r="O1083">
        <v>48.970177770722998</v>
      </c>
      <c r="P1083">
        <v>1.8523677171250099</v>
      </c>
      <c r="Q1083">
        <v>21.149834587738201</v>
      </c>
      <c r="R1083">
        <v>66.448300648026802</v>
      </c>
      <c r="S1083">
        <v>-5.1688636903161296</v>
      </c>
      <c r="T1083">
        <v>70.652583068887694</v>
      </c>
      <c r="U1083">
        <v>-0.44325355859997501</v>
      </c>
      <c r="V1083">
        <v>32.546072563320301</v>
      </c>
    </row>
    <row r="1084" spans="1:22" x14ac:dyDescent="0.25">
      <c r="A1084" t="str">
        <f t="shared" si="16"/>
        <v>Maldives2019</v>
      </c>
      <c r="B1084" t="s">
        <v>153</v>
      </c>
      <c r="C1084" t="s">
        <v>154</v>
      </c>
      <c r="D1084">
        <v>2019</v>
      </c>
      <c r="E1084">
        <v>11740.2724029785</v>
      </c>
      <c r="F1084">
        <v>6.9230598905009897</v>
      </c>
      <c r="G1084">
        <v>0.22002973106538301</v>
      </c>
      <c r="H1084">
        <v>7</v>
      </c>
      <c r="I1084">
        <v>3.8328504852059799</v>
      </c>
      <c r="J1084">
        <v>4.5620000000000003</v>
      </c>
      <c r="K1084">
        <v>25.413327038429799</v>
      </c>
      <c r="L1084">
        <v>24.824836126982898</v>
      </c>
      <c r="M1084">
        <v>-0.96335698363743905</v>
      </c>
      <c r="N1084">
        <v>34.233949095072397</v>
      </c>
      <c r="O1084">
        <v>43.161162875967001</v>
      </c>
      <c r="P1084">
        <v>1.9402348752068701</v>
      </c>
      <c r="Q1084">
        <v>17.131015367712202</v>
      </c>
      <c r="R1084">
        <v>65.513417940009205</v>
      </c>
      <c r="S1084">
        <v>-6.5428427287553799</v>
      </c>
      <c r="T1084">
        <v>77.202520286747202</v>
      </c>
      <c r="U1084">
        <v>-0.48479404519565999</v>
      </c>
      <c r="V1084">
        <v>31.7499146479682</v>
      </c>
    </row>
    <row r="1085" spans="1:22" x14ac:dyDescent="0.25">
      <c r="A1085" t="str">
        <f t="shared" si="16"/>
        <v>Maldives2020</v>
      </c>
      <c r="B1085" t="s">
        <v>153</v>
      </c>
      <c r="C1085" t="s">
        <v>154</v>
      </c>
      <c r="D1085">
        <v>2020</v>
      </c>
      <c r="E1085">
        <v>7393.8886543933004</v>
      </c>
      <c r="F1085">
        <v>-32.9088287752921</v>
      </c>
      <c r="G1085">
        <v>-1.3697742556981101</v>
      </c>
      <c r="H1085">
        <v>7</v>
      </c>
      <c r="I1085">
        <v>3.86970406388133</v>
      </c>
      <c r="J1085">
        <v>5.42</v>
      </c>
      <c r="K1085">
        <v>35.346128014475099</v>
      </c>
      <c r="L1085">
        <v>24.706243646141601</v>
      </c>
      <c r="M1085">
        <v>-3.3653246165074502</v>
      </c>
      <c r="N1085">
        <v>33.5342081048449</v>
      </c>
      <c r="O1085">
        <v>35.511996600412402</v>
      </c>
      <c r="P1085">
        <v>4.2680065495511297</v>
      </c>
      <c r="Q1085">
        <v>-0.28741984345853999</v>
      </c>
      <c r="R1085">
        <v>48.241199630008602</v>
      </c>
      <c r="S1085">
        <v>-23.6962547463364</v>
      </c>
      <c r="T1085">
        <v>155.665094203047</v>
      </c>
      <c r="U1085">
        <v>-1.948117360968</v>
      </c>
      <c r="V1085">
        <v>3.7041083503476901</v>
      </c>
    </row>
    <row r="1086" spans="1:22" x14ac:dyDescent="0.25">
      <c r="A1086" t="str">
        <f t="shared" si="16"/>
        <v>Maldives2021</v>
      </c>
      <c r="B1086" t="s">
        <v>153</v>
      </c>
      <c r="C1086" t="s">
        <v>154</v>
      </c>
      <c r="D1086">
        <v>2021</v>
      </c>
      <c r="E1086">
        <v>10176.143882547</v>
      </c>
      <c r="F1086">
        <v>37.507870124321002</v>
      </c>
      <c r="G1086">
        <v>0.54314968873701297</v>
      </c>
      <c r="H1086">
        <v>7</v>
      </c>
      <c r="I1086">
        <v>3.92790129292933</v>
      </c>
      <c r="J1086">
        <v>5.016</v>
      </c>
      <c r="K1086">
        <v>29.475529855381001</v>
      </c>
      <c r="L1086">
        <v>24.778669855895899</v>
      </c>
      <c r="M1086">
        <v>2.82866184194621</v>
      </c>
      <c r="N1086">
        <v>32.794253473874903</v>
      </c>
      <c r="O1086">
        <v>25.185662286256498</v>
      </c>
      <c r="P1086">
        <v>2.3992641917885802</v>
      </c>
      <c r="Q1086">
        <v>16.578491212401001</v>
      </c>
      <c r="R1086">
        <v>76.098985162457197</v>
      </c>
      <c r="S1086">
        <v>-14.1838010273029</v>
      </c>
      <c r="T1086">
        <v>123.41701290048201</v>
      </c>
      <c r="U1086">
        <v>-0.36965359328097602</v>
      </c>
      <c r="V1086">
        <v>33.956677006371002</v>
      </c>
    </row>
    <row r="1087" spans="1:22" x14ac:dyDescent="0.25">
      <c r="A1087" t="str">
        <f t="shared" si="16"/>
        <v>Maldives2022</v>
      </c>
      <c r="B1087" t="s">
        <v>153</v>
      </c>
      <c r="C1087" t="s">
        <v>154</v>
      </c>
      <c r="D1087">
        <v>2022</v>
      </c>
      <c r="E1087">
        <v>11786.019149298299</v>
      </c>
      <c r="F1087">
        <v>13.8260895184139</v>
      </c>
      <c r="G1087">
        <v>2.3331433762456699</v>
      </c>
      <c r="H1087">
        <v>12</v>
      </c>
      <c r="I1087">
        <v>4.0816131835800498</v>
      </c>
      <c r="J1087">
        <v>4.3029999999999999</v>
      </c>
      <c r="K1087">
        <v>25.033123058349901</v>
      </c>
      <c r="L1087">
        <v>25.2170926302731</v>
      </c>
      <c r="M1087">
        <v>3.41301393037079</v>
      </c>
      <c r="N1087">
        <v>32.387108507687799</v>
      </c>
      <c r="O1087">
        <v>32.989796317769702</v>
      </c>
      <c r="P1087">
        <v>1.7561190597792</v>
      </c>
      <c r="Q1087">
        <v>16.6830105018174</v>
      </c>
      <c r="R1087">
        <v>82.670855560303494</v>
      </c>
      <c r="S1087">
        <v>-11.1581806300652</v>
      </c>
      <c r="T1087">
        <v>111.62280086601901</v>
      </c>
      <c r="U1087">
        <v>-0.234404762510347</v>
      </c>
      <c r="V1087">
        <v>36.548833140896001</v>
      </c>
    </row>
    <row r="1088" spans="1:22" x14ac:dyDescent="0.25">
      <c r="A1088" t="str">
        <f t="shared" si="16"/>
        <v>Maldives2023</v>
      </c>
      <c r="B1088" t="s">
        <v>153</v>
      </c>
      <c r="C1088" t="s">
        <v>154</v>
      </c>
      <c r="D1088">
        <v>2023</v>
      </c>
      <c r="E1088">
        <v>12587.6126038651</v>
      </c>
      <c r="F1088">
        <v>4.9428630122958301</v>
      </c>
      <c r="G1088">
        <v>2.9274654242503502</v>
      </c>
      <c r="H1088">
        <v>12</v>
      </c>
      <c r="I1088">
        <v>4.3451065981741204</v>
      </c>
      <c r="J1088">
        <v>4.0190000000000001</v>
      </c>
      <c r="K1088">
        <v>25.033123058349901</v>
      </c>
      <c r="L1088">
        <v>25.2170926302731</v>
      </c>
      <c r="M1088">
        <v>2.1385637603854701</v>
      </c>
      <c r="N1088">
        <v>32.264975533215001</v>
      </c>
      <c r="O1088">
        <v>33.050934705517797</v>
      </c>
      <c r="P1088">
        <v>1.2226841103408199</v>
      </c>
      <c r="Q1088">
        <v>12.2212822515966</v>
      </c>
      <c r="R1088">
        <v>74.043769266111596</v>
      </c>
      <c r="S1088">
        <v>-13.1682798650614</v>
      </c>
      <c r="T1088">
        <v>122.39384724793599</v>
      </c>
      <c r="U1088">
        <v>-0.50348768247867404</v>
      </c>
      <c r="V1088">
        <v>31.391635568706299</v>
      </c>
    </row>
    <row r="1089" spans="1:22" x14ac:dyDescent="0.25">
      <c r="A1089" t="str">
        <f t="shared" si="16"/>
        <v>Maldives2024</v>
      </c>
      <c r="B1089" t="s">
        <v>153</v>
      </c>
      <c r="C1089" t="s">
        <v>154</v>
      </c>
      <c r="D1089">
        <v>2024</v>
      </c>
      <c r="E1089">
        <v>13379.3513577224</v>
      </c>
      <c r="F1089">
        <v>3.4944042265428501</v>
      </c>
      <c r="G1089">
        <v>1.3997977967492801</v>
      </c>
      <c r="H1089">
        <v>12</v>
      </c>
      <c r="I1089">
        <v>4.6402134145763796</v>
      </c>
      <c r="J1089">
        <v>4.2779999999999996</v>
      </c>
      <c r="K1089">
        <v>25.033123058349901</v>
      </c>
      <c r="L1089">
        <v>25.2170926302731</v>
      </c>
      <c r="M1089">
        <v>3.0695514150127998</v>
      </c>
      <c r="N1089">
        <v>31.982415647872799</v>
      </c>
      <c r="O1089">
        <v>30.794684394857899</v>
      </c>
      <c r="P1089">
        <v>1.30326255855386</v>
      </c>
      <c r="Q1089">
        <v>11.9849407902687</v>
      </c>
      <c r="R1089">
        <v>78.214216540834997</v>
      </c>
      <c r="S1089">
        <v>-11.5687983544611</v>
      </c>
      <c r="T1089">
        <v>133.31979009838699</v>
      </c>
      <c r="U1089">
        <v>-0.42422835681577697</v>
      </c>
      <c r="V1089">
        <v>32.910706351534898</v>
      </c>
    </row>
    <row r="1090" spans="1:22" x14ac:dyDescent="0.25">
      <c r="A1090" t="str">
        <f t="shared" si="16"/>
        <v>Maldives2025</v>
      </c>
      <c r="B1090" t="s">
        <v>153</v>
      </c>
      <c r="C1090" t="s">
        <v>154</v>
      </c>
      <c r="D1090">
        <v>2025</v>
      </c>
      <c r="E1090">
        <v>9947.8074473173892</v>
      </c>
      <c r="F1090">
        <v>6.9230598905009897</v>
      </c>
      <c r="G1090">
        <v>2.1200017571813401</v>
      </c>
      <c r="H1090">
        <v>12</v>
      </c>
      <c r="I1090">
        <v>4.0816131835800498</v>
      </c>
      <c r="J1090">
        <v>4.5140000000000002</v>
      </c>
      <c r="K1090">
        <v>25.033123058349901</v>
      </c>
      <c r="L1090">
        <v>25.2170926302731</v>
      </c>
      <c r="M1090">
        <v>3.3437474140352901</v>
      </c>
      <c r="N1090">
        <v>35.7416836237512</v>
      </c>
      <c r="O1090">
        <v>33.050934705517797</v>
      </c>
      <c r="P1090">
        <v>1.8123753786205701</v>
      </c>
      <c r="Q1090">
        <v>16.6830105018174</v>
      </c>
      <c r="R1090">
        <v>74.043769266111596</v>
      </c>
      <c r="S1090">
        <v>-2.9428971447314298</v>
      </c>
      <c r="T1090">
        <v>125.41660813184301</v>
      </c>
      <c r="U1090">
        <v>-6.3674356318847103E-2</v>
      </c>
      <c r="V1090">
        <v>39.8210231275864</v>
      </c>
    </row>
    <row r="1091" spans="1:22" x14ac:dyDescent="0.25">
      <c r="A1091" t="str">
        <f t="shared" si="16"/>
        <v>Malta2010</v>
      </c>
      <c r="B1091" t="s">
        <v>155</v>
      </c>
      <c r="C1091" t="s">
        <v>156</v>
      </c>
      <c r="D1091">
        <v>2010</v>
      </c>
      <c r="E1091">
        <v>21946.606963602899</v>
      </c>
      <c r="F1091">
        <v>6.19735041110465</v>
      </c>
      <c r="G1091">
        <v>1.51563513618532</v>
      </c>
      <c r="H1091">
        <v>11</v>
      </c>
      <c r="I1091">
        <v>15.096989119851999</v>
      </c>
      <c r="J1091">
        <v>6.8609999999999998</v>
      </c>
      <c r="K1091">
        <v>39.667837774064203</v>
      </c>
      <c r="L1091">
        <v>37.352180381595801</v>
      </c>
      <c r="M1091">
        <v>2.7656230704742302</v>
      </c>
      <c r="N1091">
        <v>43.463122555636303</v>
      </c>
      <c r="O1091">
        <v>21.864392019093799</v>
      </c>
      <c r="P1091">
        <v>0.28421769151625198</v>
      </c>
      <c r="Q1091">
        <v>18.116794090747099</v>
      </c>
      <c r="R1091">
        <v>89.624128290199096</v>
      </c>
      <c r="S1091">
        <v>-2.2209592095483699</v>
      </c>
      <c r="T1091">
        <v>65.033008350456797</v>
      </c>
      <c r="U1091">
        <v>0.74216834426109601</v>
      </c>
      <c r="V1091">
        <v>55.265667549785</v>
      </c>
    </row>
    <row r="1092" spans="1:22" x14ac:dyDescent="0.25">
      <c r="A1092" t="str">
        <f t="shared" ref="A1092:A1155" si="17">C1092&amp;D1092</f>
        <v>Malta2011</v>
      </c>
      <c r="B1092" t="s">
        <v>155</v>
      </c>
      <c r="C1092" t="s">
        <v>156</v>
      </c>
      <c r="D1092">
        <v>2011</v>
      </c>
      <c r="E1092">
        <v>23516.969123430201</v>
      </c>
      <c r="F1092">
        <v>0.99220191192282003</v>
      </c>
      <c r="G1092">
        <v>2.9629852819288001</v>
      </c>
      <c r="H1092">
        <v>11</v>
      </c>
      <c r="I1092">
        <v>15.8139408918619</v>
      </c>
      <c r="J1092">
        <v>6.3879999999999999</v>
      </c>
      <c r="K1092">
        <v>40.448955401655901</v>
      </c>
      <c r="L1092">
        <v>37.939291595844303</v>
      </c>
      <c r="M1092">
        <v>1.48263352114574</v>
      </c>
      <c r="N1092">
        <v>44.336184687292999</v>
      </c>
      <c r="O1092">
        <v>17.504605316040799</v>
      </c>
      <c r="P1092">
        <v>0.21021913402661699</v>
      </c>
      <c r="Q1092">
        <v>17.680120369240601</v>
      </c>
      <c r="R1092">
        <v>97.441171630263199</v>
      </c>
      <c r="S1092">
        <v>-2.98600841769992</v>
      </c>
      <c r="T1092">
        <v>68.938402912069094</v>
      </c>
      <c r="U1092">
        <v>0.76354016802133495</v>
      </c>
      <c r="V1092">
        <v>55.675276296496001</v>
      </c>
    </row>
    <row r="1093" spans="1:22" x14ac:dyDescent="0.25">
      <c r="A1093" t="str">
        <f t="shared" si="17"/>
        <v>Malta2012</v>
      </c>
      <c r="B1093" t="s">
        <v>155</v>
      </c>
      <c r="C1093" t="s">
        <v>156</v>
      </c>
      <c r="D1093">
        <v>2012</v>
      </c>
      <c r="E1093">
        <v>22878.313086652099</v>
      </c>
      <c r="F1093">
        <v>4.1016739224141201</v>
      </c>
      <c r="G1093">
        <v>2.3758205776038599</v>
      </c>
      <c r="H1093">
        <v>11</v>
      </c>
      <c r="I1093">
        <v>16.5765962159862</v>
      </c>
      <c r="J1093">
        <v>6.2030000000000003</v>
      </c>
      <c r="K1093">
        <v>39.8705041577618</v>
      </c>
      <c r="L1093">
        <v>37.689866611022602</v>
      </c>
      <c r="M1093">
        <v>2.16063887536765</v>
      </c>
      <c r="N1093">
        <v>45.452152894651199</v>
      </c>
      <c r="O1093">
        <v>19.2733853410524</v>
      </c>
      <c r="P1093">
        <v>0.30035200120600197</v>
      </c>
      <c r="Q1093">
        <v>18.5782880511298</v>
      </c>
      <c r="R1093">
        <v>100.799142932179</v>
      </c>
      <c r="S1093">
        <v>-3.3050337589411001</v>
      </c>
      <c r="T1093">
        <v>65.611337656260403</v>
      </c>
      <c r="U1093">
        <v>0.79426421680301795</v>
      </c>
      <c r="V1093">
        <v>56.264128200598201</v>
      </c>
    </row>
    <row r="1094" spans="1:22" x14ac:dyDescent="0.25">
      <c r="A1094" t="str">
        <f t="shared" si="17"/>
        <v>Malta2013</v>
      </c>
      <c r="B1094" t="s">
        <v>155</v>
      </c>
      <c r="C1094" t="s">
        <v>156</v>
      </c>
      <c r="D1094">
        <v>2013</v>
      </c>
      <c r="E1094">
        <v>25415.556686773099</v>
      </c>
      <c r="F1094">
        <v>6.2923337586699803</v>
      </c>
      <c r="G1094">
        <v>1.1802843636655</v>
      </c>
      <c r="H1094">
        <v>11</v>
      </c>
      <c r="I1094">
        <v>17.351981841627701</v>
      </c>
      <c r="J1094">
        <v>6.1150000000000002</v>
      </c>
      <c r="K1094">
        <v>38.860265347850799</v>
      </c>
      <c r="L1094">
        <v>37.2635883062405</v>
      </c>
      <c r="M1094">
        <v>2.2551508648390901</v>
      </c>
      <c r="N1094">
        <v>46.700186824229803</v>
      </c>
      <c r="O1094">
        <v>17.098762790557</v>
      </c>
      <c r="P1094">
        <v>0.244723648007655</v>
      </c>
      <c r="Q1094">
        <v>19.296234294557799</v>
      </c>
      <c r="R1094">
        <v>97.669626586692303</v>
      </c>
      <c r="S1094">
        <v>-2.1858931778483002</v>
      </c>
      <c r="T1094">
        <v>64.944522350973003</v>
      </c>
      <c r="U1094">
        <v>0.89975086413253003</v>
      </c>
      <c r="V1094">
        <v>58.285867378879203</v>
      </c>
    </row>
    <row r="1095" spans="1:22" x14ac:dyDescent="0.25">
      <c r="A1095" t="str">
        <f t="shared" si="17"/>
        <v>Malta2014</v>
      </c>
      <c r="B1095" t="s">
        <v>155</v>
      </c>
      <c r="C1095" t="s">
        <v>156</v>
      </c>
      <c r="D1095">
        <v>2014</v>
      </c>
      <c r="E1095">
        <v>27424.576564669402</v>
      </c>
      <c r="F1095">
        <v>7.6313636084589698</v>
      </c>
      <c r="G1095">
        <v>0.31030647218166502</v>
      </c>
      <c r="H1095">
        <v>11</v>
      </c>
      <c r="I1095">
        <v>17.943563003973701</v>
      </c>
      <c r="J1095">
        <v>5.7370000000000001</v>
      </c>
      <c r="K1095">
        <v>37.739474815539801</v>
      </c>
      <c r="L1095">
        <v>37.531617709866602</v>
      </c>
      <c r="M1095">
        <v>2.2707908505207799</v>
      </c>
      <c r="N1095">
        <v>47.679608078275301</v>
      </c>
      <c r="O1095">
        <v>15.907861341092801</v>
      </c>
      <c r="P1095">
        <v>0.25054484276183903</v>
      </c>
      <c r="Q1095">
        <v>23.296341711204501</v>
      </c>
      <c r="R1095">
        <v>96.929816762786501</v>
      </c>
      <c r="S1095">
        <v>-1.4851651114711899</v>
      </c>
      <c r="T1095">
        <v>60.745376320053602</v>
      </c>
      <c r="U1095">
        <v>1.0229754440642</v>
      </c>
      <c r="V1095">
        <v>60.647568762722202</v>
      </c>
    </row>
    <row r="1096" spans="1:22" x14ac:dyDescent="0.25">
      <c r="A1096" t="str">
        <f t="shared" si="17"/>
        <v>Malta2015</v>
      </c>
      <c r="B1096" t="s">
        <v>155</v>
      </c>
      <c r="C1096" t="s">
        <v>156</v>
      </c>
      <c r="D1096">
        <v>2015</v>
      </c>
      <c r="E1096">
        <v>25529.681333771699</v>
      </c>
      <c r="F1096">
        <v>9.6207031576496291</v>
      </c>
      <c r="G1096">
        <v>1.10054826378929</v>
      </c>
      <c r="H1096">
        <v>11</v>
      </c>
      <c r="I1096">
        <v>18.327319961211799</v>
      </c>
      <c r="J1096">
        <v>5.3890000000000002</v>
      </c>
      <c r="K1096">
        <v>35.356167746762999</v>
      </c>
      <c r="L1096">
        <v>36.476365097825401</v>
      </c>
      <c r="M1096">
        <v>4.2006176389338101</v>
      </c>
      <c r="N1096">
        <v>48.274826180852003</v>
      </c>
      <c r="O1096">
        <v>23.454925599466002</v>
      </c>
      <c r="P1096">
        <v>0.25138158805020899</v>
      </c>
      <c r="Q1096">
        <v>25.898189117821001</v>
      </c>
      <c r="R1096">
        <v>108.73258373556401</v>
      </c>
      <c r="S1096">
        <v>-0.83843700471559601</v>
      </c>
      <c r="T1096">
        <v>55.048232140411201</v>
      </c>
      <c r="U1096">
        <v>1.0460036411171401</v>
      </c>
      <c r="V1096">
        <v>61.088923278822001</v>
      </c>
    </row>
    <row r="1097" spans="1:22" x14ac:dyDescent="0.25">
      <c r="A1097" t="str">
        <f t="shared" si="17"/>
        <v>Malta2016</v>
      </c>
      <c r="B1097" t="s">
        <v>155</v>
      </c>
      <c r="C1097" t="s">
        <v>156</v>
      </c>
      <c r="D1097">
        <v>2016</v>
      </c>
      <c r="E1097">
        <v>26459.077092998799</v>
      </c>
      <c r="F1097">
        <v>4.0780035593219601</v>
      </c>
      <c r="G1097">
        <v>0.64270277152730404</v>
      </c>
      <c r="H1097">
        <v>11</v>
      </c>
      <c r="I1097">
        <v>18.655564073108401</v>
      </c>
      <c r="J1097">
        <v>4.694</v>
      </c>
      <c r="K1097">
        <v>34.458589862824901</v>
      </c>
      <c r="L1097">
        <v>36.105260730271397</v>
      </c>
      <c r="M1097">
        <v>2.1253693425471898</v>
      </c>
      <c r="N1097">
        <v>48.833249284493299</v>
      </c>
      <c r="O1097">
        <v>21.940176303717202</v>
      </c>
      <c r="P1097">
        <v>0.29438344617085399</v>
      </c>
      <c r="Q1097">
        <v>22.5132243784285</v>
      </c>
      <c r="R1097">
        <v>113.16626174707901</v>
      </c>
      <c r="S1097">
        <v>1.0953305781320399</v>
      </c>
      <c r="T1097">
        <v>53.149305523595601</v>
      </c>
      <c r="U1097">
        <v>1.0993382827617999</v>
      </c>
      <c r="V1097">
        <v>62.111125967999797</v>
      </c>
    </row>
    <row r="1098" spans="1:22" x14ac:dyDescent="0.25">
      <c r="A1098" t="str">
        <f t="shared" si="17"/>
        <v>Malta2017</v>
      </c>
      <c r="B1098" t="s">
        <v>155</v>
      </c>
      <c r="C1098" t="s">
        <v>156</v>
      </c>
      <c r="D1098">
        <v>2017</v>
      </c>
      <c r="E1098">
        <v>30317.244317554301</v>
      </c>
      <c r="F1098">
        <v>12.971342496245899</v>
      </c>
      <c r="G1098">
        <v>1.3643544815070801</v>
      </c>
      <c r="H1098">
        <v>11</v>
      </c>
      <c r="I1098">
        <v>18.813107431569598</v>
      </c>
      <c r="J1098">
        <v>4.008</v>
      </c>
      <c r="K1098">
        <v>31.815466833558101</v>
      </c>
      <c r="L1098">
        <v>35.644522842411</v>
      </c>
      <c r="M1098">
        <v>2.1357283395429199</v>
      </c>
      <c r="N1098">
        <v>48.904983837752702</v>
      </c>
      <c r="O1098">
        <v>19.159416046441699</v>
      </c>
      <c r="P1098">
        <v>0.26497747385870701</v>
      </c>
      <c r="Q1098">
        <v>33.321913437105103</v>
      </c>
      <c r="R1098">
        <v>116.62649747353299</v>
      </c>
      <c r="S1098">
        <v>3.4038785229384798</v>
      </c>
      <c r="T1098">
        <v>45.557886675654302</v>
      </c>
      <c r="U1098">
        <v>1.4689133841170099</v>
      </c>
      <c r="V1098">
        <v>69.194339631933602</v>
      </c>
    </row>
    <row r="1099" spans="1:22" x14ac:dyDescent="0.25">
      <c r="A1099" t="str">
        <f t="shared" si="17"/>
        <v>Malta2018</v>
      </c>
      <c r="B1099" t="s">
        <v>155</v>
      </c>
      <c r="C1099" t="s">
        <v>156</v>
      </c>
      <c r="D1099">
        <v>2018</v>
      </c>
      <c r="E1099">
        <v>33382.267749926701</v>
      </c>
      <c r="F1099">
        <v>7.1892147960379598</v>
      </c>
      <c r="G1099">
        <v>1.1578236245151701</v>
      </c>
      <c r="H1099">
        <v>11</v>
      </c>
      <c r="I1099">
        <v>18.7496839900321</v>
      </c>
      <c r="J1099">
        <v>3.956</v>
      </c>
      <c r="K1099">
        <v>32.5918230270374</v>
      </c>
      <c r="L1099">
        <v>35.7785563119537</v>
      </c>
      <c r="M1099">
        <v>1.79830446552162</v>
      </c>
      <c r="N1099">
        <v>48.251416176736399</v>
      </c>
      <c r="O1099">
        <v>19.653411285854101</v>
      </c>
      <c r="P1099">
        <v>0.27458611361291602</v>
      </c>
      <c r="Q1099">
        <v>29.714870662445701</v>
      </c>
      <c r="R1099">
        <v>123.349303710255</v>
      </c>
      <c r="S1099">
        <v>1.8576462503472499</v>
      </c>
      <c r="T1099">
        <v>41.442837717310198</v>
      </c>
      <c r="U1099">
        <v>1.38344984839249</v>
      </c>
      <c r="V1099">
        <v>67.556360012115704</v>
      </c>
    </row>
    <row r="1100" spans="1:22" x14ac:dyDescent="0.25">
      <c r="A1100" t="str">
        <f t="shared" si="17"/>
        <v>Malta2019</v>
      </c>
      <c r="B1100" t="s">
        <v>155</v>
      </c>
      <c r="C1100" t="s">
        <v>156</v>
      </c>
      <c r="D1100">
        <v>2019</v>
      </c>
      <c r="E1100">
        <v>32421.917975226199</v>
      </c>
      <c r="F1100">
        <v>4.08505582134097</v>
      </c>
      <c r="G1100">
        <v>1.6420600176894</v>
      </c>
      <c r="H1100">
        <v>11</v>
      </c>
      <c r="I1100">
        <v>18.581571400085899</v>
      </c>
      <c r="J1100">
        <v>4.08</v>
      </c>
      <c r="K1100">
        <v>32.703494923967497</v>
      </c>
      <c r="L1100">
        <v>34.9804332752988</v>
      </c>
      <c r="M1100">
        <v>2.5060591050927901</v>
      </c>
      <c r="N1100">
        <v>47.3547541904016</v>
      </c>
      <c r="O1100">
        <v>20.969631212943899</v>
      </c>
      <c r="P1100">
        <v>0.214999856487534</v>
      </c>
      <c r="Q1100">
        <v>27.600333141768601</v>
      </c>
      <c r="R1100">
        <v>124.52003989438199</v>
      </c>
      <c r="S1100">
        <v>0.71535267435008398</v>
      </c>
      <c r="T1100">
        <v>39.249153773416801</v>
      </c>
      <c r="U1100">
        <v>1.2629107208158401</v>
      </c>
      <c r="V1100">
        <v>65.246127552302397</v>
      </c>
    </row>
    <row r="1101" spans="1:22" x14ac:dyDescent="0.25">
      <c r="A1101" t="str">
        <f t="shared" si="17"/>
        <v>Malta2020</v>
      </c>
      <c r="B1101" t="s">
        <v>155</v>
      </c>
      <c r="C1101" t="s">
        <v>156</v>
      </c>
      <c r="D1101">
        <v>2020</v>
      </c>
      <c r="E1101">
        <v>31823.436393450502</v>
      </c>
      <c r="F1101">
        <v>-3.4572827629471199</v>
      </c>
      <c r="G1101">
        <v>0.63854495677671197</v>
      </c>
      <c r="H1101">
        <v>11</v>
      </c>
      <c r="I1101">
        <v>18.499767949649399</v>
      </c>
      <c r="J1101">
        <v>4.8559999999999999</v>
      </c>
      <c r="K1101">
        <v>39.853419617703601</v>
      </c>
      <c r="L1101">
        <v>32.846224959645802</v>
      </c>
      <c r="M1101">
        <v>1.93606358834215</v>
      </c>
      <c r="N1101">
        <v>46.697458138396598</v>
      </c>
      <c r="O1101">
        <v>20.1169020286086</v>
      </c>
      <c r="P1101">
        <v>0.19855962659100199</v>
      </c>
      <c r="Q1101">
        <v>22.293749173478702</v>
      </c>
      <c r="R1101">
        <v>129.95411785948701</v>
      </c>
      <c r="S1101">
        <v>-8.7136640557005993</v>
      </c>
      <c r="T1101">
        <v>48.610617928633502</v>
      </c>
      <c r="U1101">
        <v>0.73737746923533398</v>
      </c>
      <c r="V1101">
        <v>55.173846452204998</v>
      </c>
    </row>
    <row r="1102" spans="1:22" x14ac:dyDescent="0.25">
      <c r="A1102" t="str">
        <f t="shared" si="17"/>
        <v>Malta2021</v>
      </c>
      <c r="B1102" t="s">
        <v>155</v>
      </c>
      <c r="C1102" t="s">
        <v>156</v>
      </c>
      <c r="D1102">
        <v>2021</v>
      </c>
      <c r="E1102">
        <v>38096.836073511899</v>
      </c>
      <c r="F1102">
        <v>13.4117042939322</v>
      </c>
      <c r="G1102">
        <v>1.4978921793472399</v>
      </c>
      <c r="H1102">
        <v>11</v>
      </c>
      <c r="I1102">
        <v>18.772103631646299</v>
      </c>
      <c r="J1102">
        <v>3.754</v>
      </c>
      <c r="K1102">
        <v>37.152905437840197</v>
      </c>
      <c r="L1102">
        <v>31.9983052978302</v>
      </c>
      <c r="M1102">
        <v>2.46383793392783</v>
      </c>
      <c r="N1102">
        <v>47.055067248283699</v>
      </c>
      <c r="O1102">
        <v>23.068727489021001</v>
      </c>
      <c r="P1102">
        <v>0.34176352156080098</v>
      </c>
      <c r="Q1102">
        <v>26.7875531380454</v>
      </c>
      <c r="R1102">
        <v>118.75556368056699</v>
      </c>
      <c r="S1102">
        <v>-6.9572827872291896</v>
      </c>
      <c r="T1102">
        <v>49.585776115287302</v>
      </c>
      <c r="U1102">
        <v>0.99380028069266702</v>
      </c>
      <c r="V1102">
        <v>60.088402533495803</v>
      </c>
    </row>
    <row r="1103" spans="1:22" x14ac:dyDescent="0.25">
      <c r="A1103" t="str">
        <f t="shared" si="17"/>
        <v>Malta2022</v>
      </c>
      <c r="B1103" t="s">
        <v>155</v>
      </c>
      <c r="C1103" t="s">
        <v>156</v>
      </c>
      <c r="D1103">
        <v>2022</v>
      </c>
      <c r="E1103">
        <v>35638.886945740604</v>
      </c>
      <c r="F1103">
        <v>2.48309993837792</v>
      </c>
      <c r="G1103">
        <v>6.1537562193303703</v>
      </c>
      <c r="H1103">
        <v>11</v>
      </c>
      <c r="I1103">
        <v>19.284370077547599</v>
      </c>
      <c r="J1103">
        <v>3.4710000000000001</v>
      </c>
      <c r="K1103">
        <v>36.491198525109297</v>
      </c>
      <c r="L1103">
        <v>32.524522017547</v>
      </c>
      <c r="M1103">
        <v>5.0885864711204496</v>
      </c>
      <c r="N1103">
        <v>48.139170987635403</v>
      </c>
      <c r="O1103">
        <v>26.3781498400487</v>
      </c>
      <c r="P1103">
        <v>0.281664360999208</v>
      </c>
      <c r="Q1103">
        <v>28.275513146507301</v>
      </c>
      <c r="R1103">
        <v>128.46009061112201</v>
      </c>
      <c r="S1103">
        <v>-5.3339190098360199</v>
      </c>
      <c r="T1103">
        <v>50.096469816345902</v>
      </c>
      <c r="U1103">
        <v>0.95976927962286196</v>
      </c>
      <c r="V1103">
        <v>59.436170143134298</v>
      </c>
    </row>
    <row r="1104" spans="1:22" x14ac:dyDescent="0.25">
      <c r="A1104" t="str">
        <f t="shared" si="17"/>
        <v>Malta2023</v>
      </c>
      <c r="B1104" t="s">
        <v>155</v>
      </c>
      <c r="C1104" t="s">
        <v>156</v>
      </c>
      <c r="D1104">
        <v>2023</v>
      </c>
      <c r="E1104">
        <v>40905.805958505698</v>
      </c>
      <c r="F1104">
        <v>10.621518502261599</v>
      </c>
      <c r="G1104">
        <v>5.0939675897888304</v>
      </c>
      <c r="H1104">
        <v>11</v>
      </c>
      <c r="I1104">
        <v>19.800039778142999</v>
      </c>
      <c r="J1104">
        <v>3.4790000000000001</v>
      </c>
      <c r="K1104">
        <v>33.693505234534697</v>
      </c>
      <c r="L1104">
        <v>30.769228235667601</v>
      </c>
      <c r="M1104">
        <v>5.1660571012007503</v>
      </c>
      <c r="N1104">
        <v>49.146532975720802</v>
      </c>
      <c r="O1104">
        <v>19.838129805230999</v>
      </c>
      <c r="P1104">
        <v>0.24390535665329599</v>
      </c>
      <c r="Q1104">
        <v>25.815573460136001</v>
      </c>
      <c r="R1104">
        <v>119.558228831642</v>
      </c>
      <c r="S1104">
        <v>-4.4296931377749704</v>
      </c>
      <c r="T1104">
        <v>46.788245470663803</v>
      </c>
      <c r="U1104">
        <v>1.10412820256569</v>
      </c>
      <c r="V1104">
        <v>62.202928757959597</v>
      </c>
    </row>
    <row r="1105" spans="1:22" x14ac:dyDescent="0.25">
      <c r="A1105" t="str">
        <f t="shared" si="17"/>
        <v>Malta2024</v>
      </c>
      <c r="B1105" t="s">
        <v>155</v>
      </c>
      <c r="C1105" t="s">
        <v>156</v>
      </c>
      <c r="D1105">
        <v>2024</v>
      </c>
      <c r="E1105">
        <v>43898.578180859702</v>
      </c>
      <c r="F1105">
        <v>6.7999030022440099</v>
      </c>
      <c r="G1105">
        <v>1.6507946928310899</v>
      </c>
      <c r="H1105">
        <v>11</v>
      </c>
      <c r="I1105">
        <v>20.212302657304299</v>
      </c>
      <c r="J1105">
        <v>3.1</v>
      </c>
      <c r="K1105">
        <v>36.822051981474701</v>
      </c>
      <c r="L1105">
        <v>33.312400886217098</v>
      </c>
      <c r="M1105">
        <v>3.3040578780803398</v>
      </c>
      <c r="N1105">
        <v>49.7967062194204</v>
      </c>
      <c r="O1105">
        <v>18.971090630414398</v>
      </c>
      <c r="P1105">
        <v>0.24612476699432201</v>
      </c>
      <c r="Q1105">
        <v>25.668584077013598</v>
      </c>
      <c r="R1105">
        <v>118.486117223807</v>
      </c>
      <c r="S1105">
        <v>-3.50871126824482</v>
      </c>
      <c r="T1105">
        <v>46.042434746528201</v>
      </c>
      <c r="U1105">
        <v>1.2039027714030299</v>
      </c>
      <c r="V1105">
        <v>64.115191209380697</v>
      </c>
    </row>
    <row r="1106" spans="1:22" x14ac:dyDescent="0.25">
      <c r="A1106" t="str">
        <f t="shared" si="17"/>
        <v>Malta2025</v>
      </c>
      <c r="B1106" t="s">
        <v>155</v>
      </c>
      <c r="C1106" t="s">
        <v>156</v>
      </c>
      <c r="D1106">
        <v>2025</v>
      </c>
      <c r="E1106">
        <v>30317.244317554301</v>
      </c>
      <c r="F1106">
        <v>6.2923337586699803</v>
      </c>
      <c r="G1106">
        <v>1.4978921793472399</v>
      </c>
      <c r="H1106">
        <v>11</v>
      </c>
      <c r="I1106">
        <v>18.581571400085899</v>
      </c>
      <c r="J1106">
        <v>2.8959999999999999</v>
      </c>
      <c r="K1106">
        <v>36.822051981474701</v>
      </c>
      <c r="L1106">
        <v>35.7785563119537</v>
      </c>
      <c r="M1106">
        <v>2.2707908505207799</v>
      </c>
      <c r="N1106">
        <v>47.679608078275301</v>
      </c>
      <c r="O1106">
        <v>19.838129805230999</v>
      </c>
      <c r="P1106">
        <v>0.25138158805020899</v>
      </c>
      <c r="Q1106">
        <v>25.668584077013598</v>
      </c>
      <c r="R1106">
        <v>116.62649747353299</v>
      </c>
      <c r="S1106">
        <v>-3.10183829679946</v>
      </c>
      <c r="T1106">
        <v>46.771758669829602</v>
      </c>
      <c r="U1106">
        <v>1.1037892987117499</v>
      </c>
      <c r="V1106">
        <v>62.196433384217698</v>
      </c>
    </row>
    <row r="1107" spans="1:22" x14ac:dyDescent="0.25">
      <c r="A1107" t="str">
        <f t="shared" si="17"/>
        <v>Mauritius2010</v>
      </c>
      <c r="B1107" t="s">
        <v>157</v>
      </c>
      <c r="C1107" t="s">
        <v>158</v>
      </c>
      <c r="D1107">
        <v>2010</v>
      </c>
      <c r="E1107">
        <v>8113.17670740212</v>
      </c>
      <c r="F1107">
        <v>4.3772032234429297</v>
      </c>
      <c r="G1107">
        <v>2.9323630136985699</v>
      </c>
      <c r="H1107">
        <v>11</v>
      </c>
      <c r="I1107">
        <v>7.1882214952021499</v>
      </c>
      <c r="J1107">
        <v>7.6539999999999999</v>
      </c>
      <c r="K1107">
        <v>21.712301352229801</v>
      </c>
      <c r="L1107">
        <v>21.8047896406969</v>
      </c>
      <c r="M1107">
        <v>1.05045289116109</v>
      </c>
      <c r="N1107">
        <v>39.436655842417998</v>
      </c>
      <c r="O1107">
        <v>26.7282315985642</v>
      </c>
      <c r="P1107">
        <v>2.7618732898743499</v>
      </c>
      <c r="Q1107">
        <v>15.228582380855901</v>
      </c>
      <c r="R1107">
        <v>50.281300932759997</v>
      </c>
      <c r="S1107">
        <v>-2.9571581623408099</v>
      </c>
      <c r="T1107">
        <v>54.391529540123102</v>
      </c>
      <c r="U1107">
        <v>-0.116658148501499</v>
      </c>
      <c r="V1107">
        <v>38.805544759647098</v>
      </c>
    </row>
    <row r="1108" spans="1:22" x14ac:dyDescent="0.25">
      <c r="A1108" t="str">
        <f t="shared" si="17"/>
        <v>Mauritius2011</v>
      </c>
      <c r="B1108" t="s">
        <v>157</v>
      </c>
      <c r="C1108" t="s">
        <v>158</v>
      </c>
      <c r="D1108">
        <v>2011</v>
      </c>
      <c r="E1108">
        <v>9324.2423231049597</v>
      </c>
      <c r="F1108">
        <v>4.0775380661033296</v>
      </c>
      <c r="G1108">
        <v>6.5224925486934104</v>
      </c>
      <c r="H1108">
        <v>11</v>
      </c>
      <c r="I1108">
        <v>7.4244694142040499</v>
      </c>
      <c r="J1108">
        <v>7.4470000000000001</v>
      </c>
      <c r="K1108">
        <v>20.121711115088601</v>
      </c>
      <c r="L1108">
        <v>21.6164906628483</v>
      </c>
      <c r="M1108">
        <v>3.1341082069998301</v>
      </c>
      <c r="N1108">
        <v>38.868388138344599</v>
      </c>
      <c r="O1108">
        <v>23.620010739215999</v>
      </c>
      <c r="P1108">
        <v>3.8440241413896898</v>
      </c>
      <c r="Q1108">
        <v>13.617955225727</v>
      </c>
      <c r="R1108">
        <v>51.4751506473361</v>
      </c>
      <c r="S1108">
        <v>-2.9971729693056299</v>
      </c>
      <c r="T1108">
        <v>54.864671697209602</v>
      </c>
      <c r="U1108">
        <v>-7.8426742082614007E-2</v>
      </c>
      <c r="V1108">
        <v>39.538281405986801</v>
      </c>
    </row>
    <row r="1109" spans="1:22" x14ac:dyDescent="0.25">
      <c r="A1109" t="str">
        <f t="shared" si="17"/>
        <v>Mauritius2012</v>
      </c>
      <c r="B1109" t="s">
        <v>157</v>
      </c>
      <c r="C1109" t="s">
        <v>158</v>
      </c>
      <c r="D1109">
        <v>2012</v>
      </c>
      <c r="E1109">
        <v>9421.5251409822504</v>
      </c>
      <c r="F1109">
        <v>3.4961183647086602</v>
      </c>
      <c r="G1109">
        <v>3.85216033315983</v>
      </c>
      <c r="H1109">
        <v>11</v>
      </c>
      <c r="I1109">
        <v>7.69584306181497</v>
      </c>
      <c r="J1109">
        <v>7.4720000000000004</v>
      </c>
      <c r="K1109">
        <v>20.0748113544511</v>
      </c>
      <c r="L1109">
        <v>22.258037298803899</v>
      </c>
      <c r="M1109">
        <v>2.48495986952824</v>
      </c>
      <c r="N1109">
        <v>38.5139017716225</v>
      </c>
      <c r="O1109">
        <v>24.043413085237098</v>
      </c>
      <c r="P1109">
        <v>4.0629211034988097</v>
      </c>
      <c r="Q1109">
        <v>18.439992815288399</v>
      </c>
      <c r="R1109">
        <v>52.783629250677102</v>
      </c>
      <c r="S1109">
        <v>-1.73095161571533</v>
      </c>
      <c r="T1109">
        <v>54.1839167435039</v>
      </c>
      <c r="U1109">
        <v>3.5017603583472001E-2</v>
      </c>
      <c r="V1109">
        <v>41.712536479912202</v>
      </c>
    </row>
    <row r="1110" spans="1:22" x14ac:dyDescent="0.25">
      <c r="A1110" t="str">
        <f t="shared" si="17"/>
        <v>Mauritius2013</v>
      </c>
      <c r="B1110" t="s">
        <v>157</v>
      </c>
      <c r="C1110" t="s">
        <v>158</v>
      </c>
      <c r="D1110">
        <v>2013</v>
      </c>
      <c r="E1110">
        <v>9877.1386595883396</v>
      </c>
      <c r="F1110">
        <v>3.3604060997413301</v>
      </c>
      <c r="G1110">
        <v>3.5432957393483901</v>
      </c>
      <c r="H1110">
        <v>11</v>
      </c>
      <c r="I1110">
        <v>8.0257803449850496</v>
      </c>
      <c r="J1110">
        <v>7.3220000000000001</v>
      </c>
      <c r="K1110">
        <v>21.339654598843801</v>
      </c>
      <c r="L1110">
        <v>21.842864215382001</v>
      </c>
      <c r="M1110">
        <v>3.87737309463341</v>
      </c>
      <c r="N1110">
        <v>38.438860138952698</v>
      </c>
      <c r="O1110">
        <v>21.2822749430924</v>
      </c>
      <c r="P1110">
        <v>3.2406672880731802</v>
      </c>
      <c r="Q1110">
        <v>16.815264454711201</v>
      </c>
      <c r="R1110">
        <v>64.235813693979694</v>
      </c>
      <c r="S1110">
        <v>-3.2974971777998898</v>
      </c>
      <c r="T1110">
        <v>56.475991370110599</v>
      </c>
      <c r="U1110">
        <v>3.3963261628150603E-2</v>
      </c>
      <c r="V1110">
        <v>41.692329140951799</v>
      </c>
    </row>
    <row r="1111" spans="1:22" x14ac:dyDescent="0.25">
      <c r="A1111" t="str">
        <f t="shared" si="17"/>
        <v>Mauritius2014</v>
      </c>
      <c r="B1111" t="s">
        <v>157</v>
      </c>
      <c r="C1111" t="s">
        <v>158</v>
      </c>
      <c r="D1111">
        <v>2014</v>
      </c>
      <c r="E1111">
        <v>10490.331556385299</v>
      </c>
      <c r="F1111">
        <v>3.8269698200933702</v>
      </c>
      <c r="G1111">
        <v>3.2176919199468399</v>
      </c>
      <c r="H1111">
        <v>11</v>
      </c>
      <c r="I1111">
        <v>8.4197462160542003</v>
      </c>
      <c r="J1111">
        <v>7.4669999999999996</v>
      </c>
      <c r="K1111">
        <v>21.567955689282002</v>
      </c>
      <c r="L1111">
        <v>22.192852329694301</v>
      </c>
      <c r="M1111">
        <v>2.2126358700665198</v>
      </c>
      <c r="N1111">
        <v>38.406710021794602</v>
      </c>
      <c r="O1111">
        <v>18.8434092990307</v>
      </c>
      <c r="P1111">
        <v>3.1944410519653599</v>
      </c>
      <c r="Q1111">
        <v>15.2041565600084</v>
      </c>
      <c r="R1111">
        <v>64.816272933486999</v>
      </c>
      <c r="S1111">
        <v>-3.0537485677966401</v>
      </c>
      <c r="T1111">
        <v>59.129001189596302</v>
      </c>
      <c r="U1111">
        <v>7.43180244861638E-2</v>
      </c>
      <c r="V1111">
        <v>42.4657616764027</v>
      </c>
    </row>
    <row r="1112" spans="1:22" x14ac:dyDescent="0.25">
      <c r="A1112" t="str">
        <f t="shared" si="17"/>
        <v>Mauritius2015</v>
      </c>
      <c r="B1112" t="s">
        <v>157</v>
      </c>
      <c r="C1112" t="s">
        <v>158</v>
      </c>
      <c r="D1112">
        <v>2015</v>
      </c>
      <c r="E1112">
        <v>9630.5437837506997</v>
      </c>
      <c r="F1112">
        <v>3.69055690369433</v>
      </c>
      <c r="G1112">
        <v>1.28654970760232</v>
      </c>
      <c r="H1112">
        <v>11</v>
      </c>
      <c r="I1112">
        <v>8.8799176336624797</v>
      </c>
      <c r="J1112">
        <v>7.41</v>
      </c>
      <c r="K1112">
        <v>11.246168676281201</v>
      </c>
      <c r="L1112">
        <v>11.0188100861464</v>
      </c>
      <c r="M1112">
        <v>1.49398972580686</v>
      </c>
      <c r="N1112">
        <v>38.392348356667597</v>
      </c>
      <c r="O1112">
        <v>17.2696292161448</v>
      </c>
      <c r="P1112">
        <v>3.8824689472460401</v>
      </c>
      <c r="Q1112">
        <v>16.182274895930298</v>
      </c>
      <c r="R1112">
        <v>64.565268888070605</v>
      </c>
      <c r="S1112">
        <v>-3.4798530035149899</v>
      </c>
      <c r="T1112">
        <v>63.020582044751798</v>
      </c>
      <c r="U1112">
        <v>-0.14442039764643899</v>
      </c>
      <c r="V1112">
        <v>38.273458204671201</v>
      </c>
    </row>
    <row r="1113" spans="1:22" x14ac:dyDescent="0.25">
      <c r="A1113" t="str">
        <f t="shared" si="17"/>
        <v>Mauritius2016</v>
      </c>
      <c r="B1113" t="s">
        <v>157</v>
      </c>
      <c r="C1113" t="s">
        <v>158</v>
      </c>
      <c r="D1113">
        <v>2016</v>
      </c>
      <c r="E1113">
        <v>10095.1225574156</v>
      </c>
      <c r="F1113">
        <v>3.8624682633999998</v>
      </c>
      <c r="G1113">
        <v>0.97767513471896506</v>
      </c>
      <c r="H1113">
        <v>11</v>
      </c>
      <c r="I1113">
        <v>9.3809159055537492</v>
      </c>
      <c r="J1113">
        <v>6.8140000000000001</v>
      </c>
      <c r="K1113">
        <v>22.771453713015401</v>
      </c>
      <c r="L1113">
        <v>21.9084045678294</v>
      </c>
      <c r="M1113">
        <v>2.39292354905567</v>
      </c>
      <c r="N1113">
        <v>38.4624739783061</v>
      </c>
      <c r="O1113">
        <v>17.051509377370799</v>
      </c>
      <c r="P1113">
        <v>4.1974821531633504</v>
      </c>
      <c r="Q1113">
        <v>16.6141996314777</v>
      </c>
      <c r="R1113">
        <v>61.047522009915497</v>
      </c>
      <c r="S1113">
        <v>-2.7356772474583901</v>
      </c>
      <c r="T1113">
        <v>62.5959269095192</v>
      </c>
      <c r="U1113">
        <v>0.14017898473853399</v>
      </c>
      <c r="V1113">
        <v>43.728041661901599</v>
      </c>
    </row>
    <row r="1114" spans="1:22" x14ac:dyDescent="0.25">
      <c r="A1114" t="str">
        <f t="shared" si="17"/>
        <v>Mauritius2017</v>
      </c>
      <c r="B1114" t="s">
        <v>157</v>
      </c>
      <c r="C1114" t="s">
        <v>158</v>
      </c>
      <c r="D1114">
        <v>2017</v>
      </c>
      <c r="E1114">
        <v>10986.7034093005</v>
      </c>
      <c r="F1114">
        <v>3.9379838063235302</v>
      </c>
      <c r="G1114">
        <v>3.6669970267592502</v>
      </c>
      <c r="H1114">
        <v>11</v>
      </c>
      <c r="I1114">
        <v>9.8913729850347298</v>
      </c>
      <c r="J1114">
        <v>6.7519999999999998</v>
      </c>
      <c r="K1114">
        <v>21.928460562495601</v>
      </c>
      <c r="L1114">
        <v>21.266247815462101</v>
      </c>
      <c r="M1114">
        <v>1.6758160504608799</v>
      </c>
      <c r="N1114">
        <v>38.510739647724201</v>
      </c>
      <c r="O1114">
        <v>17.434983492839901</v>
      </c>
      <c r="P1114">
        <v>4.0791756265752896</v>
      </c>
      <c r="Q1114">
        <v>18.279138506148399</v>
      </c>
      <c r="R1114">
        <v>60.344208720621999</v>
      </c>
      <c r="S1114">
        <v>-1.6150039608646001</v>
      </c>
      <c r="T1114">
        <v>61.336848386333401</v>
      </c>
      <c r="U1114">
        <v>0.203050061704561</v>
      </c>
      <c r="V1114">
        <v>44.933018051812603</v>
      </c>
    </row>
    <row r="1115" spans="1:22" x14ac:dyDescent="0.25">
      <c r="A1115" t="str">
        <f t="shared" si="17"/>
        <v>Mauritius2018</v>
      </c>
      <c r="B1115" t="s">
        <v>157</v>
      </c>
      <c r="C1115" t="s">
        <v>158</v>
      </c>
      <c r="D1115">
        <v>2018</v>
      </c>
      <c r="E1115">
        <v>11818.748061927199</v>
      </c>
      <c r="F1115">
        <v>4.0067405719854898</v>
      </c>
      <c r="G1115">
        <v>3.2160538314456999</v>
      </c>
      <c r="H1115">
        <v>11</v>
      </c>
      <c r="I1115">
        <v>10.396649373251099</v>
      </c>
      <c r="J1115">
        <v>6.4260000000000002</v>
      </c>
      <c r="K1115">
        <v>22.2413273632468</v>
      </c>
      <c r="L1115">
        <v>21.563410970595498</v>
      </c>
      <c r="M1115">
        <v>1.8438047856241899</v>
      </c>
      <c r="N1115">
        <v>38.493180815894597</v>
      </c>
      <c r="O1115">
        <v>18.592917302861601</v>
      </c>
      <c r="P1115">
        <v>5.0205590998206704</v>
      </c>
      <c r="Q1115">
        <v>17.353319696017799</v>
      </c>
      <c r="R1115">
        <v>58.567502339555702</v>
      </c>
      <c r="S1115">
        <v>-2.1542624422982999</v>
      </c>
      <c r="T1115">
        <v>63.147814818899299</v>
      </c>
      <c r="U1115">
        <v>0.189043387966114</v>
      </c>
      <c r="V1115">
        <v>44.6645685203192</v>
      </c>
    </row>
    <row r="1116" spans="1:22" x14ac:dyDescent="0.25">
      <c r="A1116" t="str">
        <f t="shared" si="17"/>
        <v>Mauritius2019</v>
      </c>
      <c r="B1116" t="s">
        <v>157</v>
      </c>
      <c r="C1116" t="s">
        <v>158</v>
      </c>
      <c r="D1116">
        <v>2019</v>
      </c>
      <c r="E1116">
        <v>11568.253339982401</v>
      </c>
      <c r="F1116">
        <v>2.8912849934651601</v>
      </c>
      <c r="G1116">
        <v>0.40565519030955299</v>
      </c>
      <c r="H1116">
        <v>11</v>
      </c>
      <c r="I1116">
        <v>10.894757710278601</v>
      </c>
      <c r="J1116">
        <v>6.3310000000000004</v>
      </c>
      <c r="K1116">
        <v>22.516203609942298</v>
      </c>
      <c r="L1116">
        <v>22.021355949168299</v>
      </c>
      <c r="M1116">
        <v>-0.52320488357999295</v>
      </c>
      <c r="N1116">
        <v>38.441021894936704</v>
      </c>
      <c r="O1116">
        <v>19.158720198337701</v>
      </c>
      <c r="P1116">
        <v>5.3167420504572798</v>
      </c>
      <c r="Q1116">
        <v>15.9875335134751</v>
      </c>
      <c r="R1116">
        <v>60.345936040714697</v>
      </c>
      <c r="S1116">
        <v>-8.1918538037523607</v>
      </c>
      <c r="T1116">
        <v>81.068295127357899</v>
      </c>
      <c r="U1116">
        <v>-0.119531898899514</v>
      </c>
      <c r="V1116">
        <v>38.750466947285503</v>
      </c>
    </row>
    <row r="1117" spans="1:22" x14ac:dyDescent="0.25">
      <c r="A1117" t="str">
        <f t="shared" si="17"/>
        <v>Mauritius2020</v>
      </c>
      <c r="B1117" t="s">
        <v>157</v>
      </c>
      <c r="C1117" t="s">
        <v>158</v>
      </c>
      <c r="D1117">
        <v>2020</v>
      </c>
      <c r="E1117">
        <v>9135.8477375106195</v>
      </c>
      <c r="F1117">
        <v>-14.5465381490166</v>
      </c>
      <c r="G1117">
        <v>2.5808007718282999</v>
      </c>
      <c r="H1117">
        <v>11</v>
      </c>
      <c r="I1117">
        <v>11.401175010111301</v>
      </c>
      <c r="J1117">
        <v>8.6259999999999994</v>
      </c>
      <c r="K1117">
        <v>31.254307289970601</v>
      </c>
      <c r="L1117">
        <v>23.9102789112507</v>
      </c>
      <c r="M1117">
        <v>2.5104136878042702</v>
      </c>
      <c r="N1117">
        <v>38.419410881665698</v>
      </c>
      <c r="O1117">
        <v>17.966077114247501</v>
      </c>
      <c r="P1117">
        <v>6.8268844686136596</v>
      </c>
      <c r="Q1117">
        <v>13.3624322160547</v>
      </c>
      <c r="R1117">
        <v>55.361015708946098</v>
      </c>
      <c r="S1117">
        <v>-10.4503943323085</v>
      </c>
      <c r="T1117">
        <v>91.895731481501699</v>
      </c>
      <c r="U1117">
        <v>-0.41330866523985998</v>
      </c>
      <c r="V1117">
        <v>33.1199913068602</v>
      </c>
    </row>
    <row r="1118" spans="1:22" x14ac:dyDescent="0.25">
      <c r="A1118" t="str">
        <f t="shared" si="17"/>
        <v>Mauritius2021</v>
      </c>
      <c r="B1118" t="s">
        <v>157</v>
      </c>
      <c r="C1118" t="s">
        <v>158</v>
      </c>
      <c r="D1118">
        <v>2021</v>
      </c>
      <c r="E1118">
        <v>9177.7119597301298</v>
      </c>
      <c r="F1118">
        <v>3.4037986617766198</v>
      </c>
      <c r="G1118">
        <v>4.0285288815737603</v>
      </c>
      <c r="H1118">
        <v>11</v>
      </c>
      <c r="I1118">
        <v>11.9015085296574</v>
      </c>
      <c r="J1118">
        <v>7.7190000000000003</v>
      </c>
      <c r="K1118">
        <v>32.546705383161203</v>
      </c>
      <c r="L1118">
        <v>21.266055375318899</v>
      </c>
      <c r="M1118">
        <v>2.9679496863085899</v>
      </c>
      <c r="N1118">
        <v>38.472826681246602</v>
      </c>
      <c r="O1118">
        <v>19.5586402172747</v>
      </c>
      <c r="P1118">
        <v>6.9014250257608696</v>
      </c>
      <c r="Q1118">
        <v>12.1435967115599</v>
      </c>
      <c r="R1118">
        <v>60.767354317838503</v>
      </c>
      <c r="S1118">
        <v>-4.0839974465451201</v>
      </c>
      <c r="T1118">
        <v>86.133618979151606</v>
      </c>
      <c r="U1118">
        <v>6.7988903364195996E-2</v>
      </c>
      <c r="V1118">
        <v>42.344458815232102</v>
      </c>
    </row>
    <row r="1119" spans="1:22" x14ac:dyDescent="0.25">
      <c r="A1119" t="str">
        <f t="shared" si="17"/>
        <v>Mauritius2022</v>
      </c>
      <c r="B1119" t="s">
        <v>157</v>
      </c>
      <c r="C1119" t="s">
        <v>158</v>
      </c>
      <c r="D1119">
        <v>2022</v>
      </c>
      <c r="E1119">
        <v>10246.501745555301</v>
      </c>
      <c r="F1119">
        <v>8.6930667526406609</v>
      </c>
      <c r="G1119">
        <v>10.773751224289899</v>
      </c>
      <c r="H1119">
        <v>12</v>
      </c>
      <c r="I1119">
        <v>12.3957639095405</v>
      </c>
      <c r="J1119">
        <v>6.3220000000000001</v>
      </c>
      <c r="K1119">
        <v>28.1928825774011</v>
      </c>
      <c r="L1119">
        <v>23.840755325700499</v>
      </c>
      <c r="M1119">
        <v>8.5248660449088298</v>
      </c>
      <c r="N1119">
        <v>38.641023191356403</v>
      </c>
      <c r="O1119">
        <v>20.411044705091999</v>
      </c>
      <c r="P1119">
        <v>4.4028160846790598</v>
      </c>
      <c r="Q1119">
        <v>17.109448168131699</v>
      </c>
      <c r="R1119">
        <v>67.029294852056097</v>
      </c>
      <c r="S1119">
        <v>-3.1461231165338601</v>
      </c>
      <c r="T1119">
        <v>81.803824370789599</v>
      </c>
      <c r="U1119">
        <v>0.31344774128036001</v>
      </c>
      <c r="V1119">
        <v>47.048881240567603</v>
      </c>
    </row>
    <row r="1120" spans="1:22" x14ac:dyDescent="0.25">
      <c r="A1120" t="str">
        <f t="shared" si="17"/>
        <v>Mauritius2023</v>
      </c>
      <c r="B1120" t="s">
        <v>157</v>
      </c>
      <c r="C1120" t="s">
        <v>158</v>
      </c>
      <c r="D1120">
        <v>2023</v>
      </c>
      <c r="E1120">
        <v>11269.968446213899</v>
      </c>
      <c r="F1120">
        <v>5.0079190086813101</v>
      </c>
      <c r="G1120">
        <v>7.0529823845473603</v>
      </c>
      <c r="H1120">
        <v>12</v>
      </c>
      <c r="I1120">
        <v>12.9415870752551</v>
      </c>
      <c r="J1120">
        <v>5.5709999999999997</v>
      </c>
      <c r="K1120">
        <v>29.142403134446901</v>
      </c>
      <c r="L1120">
        <v>24.653830048004</v>
      </c>
      <c r="M1120">
        <v>6.1344300128897098</v>
      </c>
      <c r="N1120">
        <v>39.015969646093801</v>
      </c>
      <c r="O1120">
        <v>19.923235114048399</v>
      </c>
      <c r="P1120">
        <v>3.7851313369492998</v>
      </c>
      <c r="Q1120">
        <v>20.7276958348248</v>
      </c>
      <c r="R1120">
        <v>69.041145350936404</v>
      </c>
      <c r="S1120">
        <v>-4.4788701518258902</v>
      </c>
      <c r="T1120">
        <v>81.451257378579598</v>
      </c>
      <c r="U1120">
        <v>0.30667831845292098</v>
      </c>
      <c r="V1120">
        <v>46.919139631643098</v>
      </c>
    </row>
    <row r="1121" spans="1:22" x14ac:dyDescent="0.25">
      <c r="A1121" t="str">
        <f t="shared" si="17"/>
        <v>Mauritius2024</v>
      </c>
      <c r="B1121" t="s">
        <v>157</v>
      </c>
      <c r="C1121" t="s">
        <v>158</v>
      </c>
      <c r="D1121">
        <v>2024</v>
      </c>
      <c r="E1121">
        <v>11990.7798944837</v>
      </c>
      <c r="F1121">
        <v>4.9251230486429396</v>
      </c>
      <c r="G1121">
        <v>3.6045220384796002</v>
      </c>
      <c r="H1121">
        <v>12</v>
      </c>
      <c r="I1121">
        <v>13.5258962419631</v>
      </c>
      <c r="J1121">
        <v>5.548</v>
      </c>
      <c r="K1121">
        <v>22.084893962871199</v>
      </c>
      <c r="L1121">
        <v>24.707565007730199</v>
      </c>
      <c r="M1121">
        <v>3.7332568330595399</v>
      </c>
      <c r="N1121">
        <v>39.541604406977903</v>
      </c>
      <c r="O1121">
        <v>21.210206883819701</v>
      </c>
      <c r="P1121">
        <v>5.1613334349789399</v>
      </c>
      <c r="Q1121">
        <v>21.106166933234299</v>
      </c>
      <c r="R1121">
        <v>67.111761108611105</v>
      </c>
      <c r="S1121">
        <v>-6.8397927469766202</v>
      </c>
      <c r="T1121">
        <v>86.070544022824905</v>
      </c>
      <c r="U1121">
        <v>0.153652696712853</v>
      </c>
      <c r="V1121">
        <v>43.986276538684301</v>
      </c>
    </row>
    <row r="1122" spans="1:22" x14ac:dyDescent="0.25">
      <c r="A1122" t="str">
        <f t="shared" si="17"/>
        <v>Mauritius2025</v>
      </c>
      <c r="B1122" t="s">
        <v>157</v>
      </c>
      <c r="C1122" t="s">
        <v>158</v>
      </c>
      <c r="D1122">
        <v>2025</v>
      </c>
      <c r="E1122">
        <v>10095.1225574156</v>
      </c>
      <c r="F1122">
        <v>3.8624682633999998</v>
      </c>
      <c r="G1122">
        <v>3.5432957393483901</v>
      </c>
      <c r="H1122">
        <v>12</v>
      </c>
      <c r="I1122">
        <v>9.8913729850347298</v>
      </c>
      <c r="J1122">
        <v>5.6349999999999998</v>
      </c>
      <c r="K1122">
        <v>22.084893962871199</v>
      </c>
      <c r="L1122">
        <v>21.9084045678294</v>
      </c>
      <c r="M1122">
        <v>2.48495986952824</v>
      </c>
      <c r="N1122">
        <v>38.493180815894597</v>
      </c>
      <c r="O1122">
        <v>19.5586402172747</v>
      </c>
      <c r="P1122">
        <v>4.0791756265752896</v>
      </c>
      <c r="Q1122">
        <v>16.6141996314777</v>
      </c>
      <c r="R1122">
        <v>60.767354317838503</v>
      </c>
      <c r="S1122">
        <v>-3.6914914373242498</v>
      </c>
      <c r="T1122">
        <v>86.4630657484701</v>
      </c>
      <c r="U1122">
        <v>9.2681801122017696E-2</v>
      </c>
      <c r="V1122">
        <v>42.817718702489003</v>
      </c>
    </row>
    <row r="1123" spans="1:22" x14ac:dyDescent="0.25">
      <c r="A1123" t="str">
        <f t="shared" si="17"/>
        <v>Mexico2010</v>
      </c>
      <c r="B1123" t="s">
        <v>159</v>
      </c>
      <c r="C1123" t="s">
        <v>160</v>
      </c>
      <c r="D1123">
        <v>2010</v>
      </c>
      <c r="E1123">
        <v>9728.8007837708192</v>
      </c>
      <c r="F1123">
        <v>4.9713345832194999</v>
      </c>
      <c r="G1123">
        <v>4.1567272268017401</v>
      </c>
      <c r="H1123">
        <v>11</v>
      </c>
      <c r="I1123">
        <v>6.0975013222350798</v>
      </c>
      <c r="J1123">
        <v>5.3029999999999999</v>
      </c>
      <c r="K1123">
        <v>20.4815497532032</v>
      </c>
      <c r="L1123">
        <v>17.2660921763343</v>
      </c>
      <c r="M1123">
        <v>4.3729644004923403</v>
      </c>
      <c r="N1123">
        <v>55.932126863688403</v>
      </c>
      <c r="O1123">
        <v>23.331489410250398</v>
      </c>
      <c r="P1123">
        <v>4.0536449957036496</v>
      </c>
      <c r="Q1123">
        <v>19.123080133366301</v>
      </c>
      <c r="R1123">
        <v>29.017460115499301</v>
      </c>
      <c r="S1123">
        <v>-3.8038036123482799</v>
      </c>
      <c r="T1123">
        <v>40.155215619371702</v>
      </c>
      <c r="U1123">
        <v>-0.29560498912162197</v>
      </c>
      <c r="V1123">
        <v>35.375879985287803</v>
      </c>
    </row>
    <row r="1124" spans="1:22" x14ac:dyDescent="0.25">
      <c r="A1124" t="str">
        <f t="shared" si="17"/>
        <v>Mexico2011</v>
      </c>
      <c r="B1124" t="s">
        <v>159</v>
      </c>
      <c r="C1124" t="s">
        <v>160</v>
      </c>
      <c r="D1124">
        <v>2011</v>
      </c>
      <c r="E1124">
        <v>10664.4944032313</v>
      </c>
      <c r="F1124">
        <v>3.4440450579441801</v>
      </c>
      <c r="G1124">
        <v>3.4073782460574198</v>
      </c>
      <c r="H1124">
        <v>11</v>
      </c>
      <c r="I1124">
        <v>6.1832982194957298</v>
      </c>
      <c r="J1124">
        <v>5.1749999999999998</v>
      </c>
      <c r="K1124">
        <v>20.8740737970003</v>
      </c>
      <c r="L1124">
        <v>18.169056271212899</v>
      </c>
      <c r="M1124">
        <v>5.6696336737526796</v>
      </c>
      <c r="N1124">
        <v>55.179432073743499</v>
      </c>
      <c r="O1124">
        <v>24.2517581318792</v>
      </c>
      <c r="P1124">
        <v>4.2763085309334903</v>
      </c>
      <c r="Q1124">
        <v>19.252909756763302</v>
      </c>
      <c r="R1124">
        <v>30.4429662274867</v>
      </c>
      <c r="S1124">
        <v>-3.2041277145058999</v>
      </c>
      <c r="T1124">
        <v>41.166780709645202</v>
      </c>
      <c r="U1124">
        <v>-0.25344736889117597</v>
      </c>
      <c r="V1124">
        <v>36.183865779136497</v>
      </c>
    </row>
    <row r="1125" spans="1:22" x14ac:dyDescent="0.25">
      <c r="A1125" t="str">
        <f t="shared" si="17"/>
        <v>Mexico2012</v>
      </c>
      <c r="B1125" t="s">
        <v>159</v>
      </c>
      <c r="C1125" t="s">
        <v>160</v>
      </c>
      <c r="D1125">
        <v>2012</v>
      </c>
      <c r="E1125">
        <v>10744.1335242686</v>
      </c>
      <c r="F1125">
        <v>3.5532107599352698</v>
      </c>
      <c r="G1125">
        <v>4.1115098107028896</v>
      </c>
      <c r="H1125">
        <v>14</v>
      </c>
      <c r="I1125">
        <v>6.2832405104038198</v>
      </c>
      <c r="J1125">
        <v>4.8920000000000003</v>
      </c>
      <c r="K1125">
        <v>20.932432601797998</v>
      </c>
      <c r="L1125">
        <v>17.938116584603499</v>
      </c>
      <c r="M1125">
        <v>4.5422149377690504</v>
      </c>
      <c r="N1125">
        <v>54.563214155487302</v>
      </c>
      <c r="O1125">
        <v>24.3777390617044</v>
      </c>
      <c r="P1125">
        <v>4.4847171763998697</v>
      </c>
      <c r="Q1125">
        <v>19.160950499307301</v>
      </c>
      <c r="R1125">
        <v>31.539450391412998</v>
      </c>
      <c r="S1125">
        <v>-3.5659581231524999</v>
      </c>
      <c r="T1125">
        <v>40.814554004170802</v>
      </c>
      <c r="U1125">
        <v>-9.2615275902421995E-2</v>
      </c>
      <c r="V1125">
        <v>39.266346375041401</v>
      </c>
    </row>
    <row r="1126" spans="1:22" x14ac:dyDescent="0.25">
      <c r="A1126" t="str">
        <f t="shared" si="17"/>
        <v>Mexico2013</v>
      </c>
      <c r="B1126" t="s">
        <v>159</v>
      </c>
      <c r="C1126" t="s">
        <v>160</v>
      </c>
      <c r="D1126">
        <v>2013</v>
      </c>
      <c r="E1126">
        <v>11216.800850542801</v>
      </c>
      <c r="F1126">
        <v>0.85210155941062704</v>
      </c>
      <c r="G1126">
        <v>3.8063906974720401</v>
      </c>
      <c r="H1126">
        <v>14</v>
      </c>
      <c r="I1126">
        <v>6.3936589948995399</v>
      </c>
      <c r="J1126">
        <v>4.9210000000000003</v>
      </c>
      <c r="K1126">
        <v>20.6909750853576</v>
      </c>
      <c r="L1126">
        <v>18.053840416120099</v>
      </c>
      <c r="M1126">
        <v>1.70388278647849</v>
      </c>
      <c r="N1126">
        <v>54.027488950612003</v>
      </c>
      <c r="O1126">
        <v>22.680731607493499</v>
      </c>
      <c r="P1126">
        <v>4.5658776197185</v>
      </c>
      <c r="Q1126">
        <v>16.364456802763801</v>
      </c>
      <c r="R1126">
        <v>30.755800584349</v>
      </c>
      <c r="S1126">
        <v>-3.5590621121809498</v>
      </c>
      <c r="T1126">
        <v>44.066478810668301</v>
      </c>
      <c r="U1126">
        <v>-0.12678312938137601</v>
      </c>
      <c r="V1126">
        <v>38.611491094634403</v>
      </c>
    </row>
    <row r="1127" spans="1:22" x14ac:dyDescent="0.25">
      <c r="A1127" t="str">
        <f t="shared" si="17"/>
        <v>Mexico2014</v>
      </c>
      <c r="B1127" t="s">
        <v>159</v>
      </c>
      <c r="C1127" t="s">
        <v>160</v>
      </c>
      <c r="D1127">
        <v>2014</v>
      </c>
      <c r="E1127">
        <v>11391.3773497683</v>
      </c>
      <c r="F1127">
        <v>2.5037635028866401</v>
      </c>
      <c r="G1127">
        <v>4.0186160807867903</v>
      </c>
      <c r="H1127">
        <v>14</v>
      </c>
      <c r="I1127">
        <v>6.5144639494833099</v>
      </c>
      <c r="J1127">
        <v>4.819</v>
      </c>
      <c r="K1127">
        <v>20.997176364331601</v>
      </c>
      <c r="L1127">
        <v>17.688599109241402</v>
      </c>
      <c r="M1127">
        <v>4.3683689131246402</v>
      </c>
      <c r="N1127">
        <v>53.513139465275998</v>
      </c>
      <c r="O1127">
        <v>22.2932759800089</v>
      </c>
      <c r="P1127">
        <v>4.8052922601245598</v>
      </c>
      <c r="Q1127">
        <v>16.8470848723247</v>
      </c>
      <c r="R1127">
        <v>31.462992199988001</v>
      </c>
      <c r="S1127">
        <v>-4.3712952254946398</v>
      </c>
      <c r="T1127">
        <v>47.092789721067803</v>
      </c>
      <c r="U1127">
        <v>-0.13169159834513899</v>
      </c>
      <c r="V1127">
        <v>38.517416211598103</v>
      </c>
    </row>
    <row r="1128" spans="1:22" x14ac:dyDescent="0.25">
      <c r="A1128" t="str">
        <f t="shared" si="17"/>
        <v>Mexico2015</v>
      </c>
      <c r="B1128" t="s">
        <v>159</v>
      </c>
      <c r="C1128" t="s">
        <v>160</v>
      </c>
      <c r="D1128">
        <v>2015</v>
      </c>
      <c r="E1128">
        <v>10021.2386118827</v>
      </c>
      <c r="F1128">
        <v>2.7023234255064601</v>
      </c>
      <c r="G1128">
        <v>2.72064064964023</v>
      </c>
      <c r="H1128">
        <v>14</v>
      </c>
      <c r="I1128">
        <v>6.65084837815842</v>
      </c>
      <c r="J1128">
        <v>4.3109999999999999</v>
      </c>
      <c r="K1128">
        <v>20.868951151725401</v>
      </c>
      <c r="L1128">
        <v>18.368196871464701</v>
      </c>
      <c r="M1128">
        <v>3.2254289269251499</v>
      </c>
      <c r="N1128">
        <v>52.972098885789997</v>
      </c>
      <c r="O1128">
        <v>23.736129744028801</v>
      </c>
      <c r="P1128">
        <v>4.4600773830729601</v>
      </c>
      <c r="Q1128">
        <v>18.515549162380701</v>
      </c>
      <c r="R1128">
        <v>34.162772687323802</v>
      </c>
      <c r="S1128">
        <v>-3.85879072279866</v>
      </c>
      <c r="T1128">
        <v>50.972958347072101</v>
      </c>
      <c r="U1128">
        <v>-9.4160549845177299E-2</v>
      </c>
      <c r="V1128">
        <v>39.236729916936703</v>
      </c>
    </row>
    <row r="1129" spans="1:22" x14ac:dyDescent="0.25">
      <c r="A1129" t="str">
        <f t="shared" si="17"/>
        <v>Mexico2016</v>
      </c>
      <c r="B1129" t="s">
        <v>159</v>
      </c>
      <c r="C1129" t="s">
        <v>160</v>
      </c>
      <c r="D1129">
        <v>2016</v>
      </c>
      <c r="E1129">
        <v>9097.9239767476902</v>
      </c>
      <c r="F1129">
        <v>1.77249323845399</v>
      </c>
      <c r="G1129">
        <v>2.8217078474766</v>
      </c>
      <c r="H1129">
        <v>14</v>
      </c>
      <c r="I1129">
        <v>6.8015894842813998</v>
      </c>
      <c r="J1129">
        <v>3.8530000000000002</v>
      </c>
      <c r="K1129">
        <v>20.328199416259601</v>
      </c>
      <c r="L1129">
        <v>19.191588878539299</v>
      </c>
      <c r="M1129">
        <v>6.0775878230386304</v>
      </c>
      <c r="N1129">
        <v>52.396851876097898</v>
      </c>
      <c r="O1129">
        <v>24.343392335595802</v>
      </c>
      <c r="P1129">
        <v>4.5479400708550397</v>
      </c>
      <c r="Q1129">
        <v>19.384966743581</v>
      </c>
      <c r="R1129">
        <v>36.8156772514808</v>
      </c>
      <c r="S1129">
        <v>-2.6814091482866802</v>
      </c>
      <c r="T1129">
        <v>55.003310224886</v>
      </c>
      <c r="U1129">
        <v>-3.08849171257627E-2</v>
      </c>
      <c r="V1129">
        <v>40.449459953751202</v>
      </c>
    </row>
    <row r="1130" spans="1:22" x14ac:dyDescent="0.25">
      <c r="A1130" t="str">
        <f t="shared" si="17"/>
        <v>Mexico2017</v>
      </c>
      <c r="B1130" t="s">
        <v>159</v>
      </c>
      <c r="C1130" t="s">
        <v>160</v>
      </c>
      <c r="D1130">
        <v>2017</v>
      </c>
      <c r="E1130">
        <v>9649.27816772402</v>
      </c>
      <c r="F1130">
        <v>1.87172853327193</v>
      </c>
      <c r="G1130">
        <v>6.0414572401898603</v>
      </c>
      <c r="H1130">
        <v>14</v>
      </c>
      <c r="I1130">
        <v>6.9659201739026804</v>
      </c>
      <c r="J1130">
        <v>3.419</v>
      </c>
      <c r="K1130">
        <v>19.866492092819701</v>
      </c>
      <c r="L1130">
        <v>19.446905846251202</v>
      </c>
      <c r="M1130">
        <v>6.56759492961866</v>
      </c>
      <c r="N1130">
        <v>51.818257783198099</v>
      </c>
      <c r="O1130">
        <v>23.892350709527399</v>
      </c>
      <c r="P1130">
        <v>4.1212073669242102</v>
      </c>
      <c r="Q1130">
        <v>20.616172433274901</v>
      </c>
      <c r="R1130">
        <v>37.514088619887403</v>
      </c>
      <c r="S1130">
        <v>-1.0340478560784601</v>
      </c>
      <c r="T1130">
        <v>52.521184159790103</v>
      </c>
      <c r="U1130">
        <v>8.3642932004206499E-2</v>
      </c>
      <c r="V1130">
        <v>42.644481271160402</v>
      </c>
    </row>
    <row r="1131" spans="1:22" x14ac:dyDescent="0.25">
      <c r="A1131" t="str">
        <f t="shared" si="17"/>
        <v>Mexico2018</v>
      </c>
      <c r="B1131" t="s">
        <v>159</v>
      </c>
      <c r="C1131" t="s">
        <v>160</v>
      </c>
      <c r="D1131">
        <v>2018</v>
      </c>
      <c r="E1131">
        <v>10084.7937562021</v>
      </c>
      <c r="F1131">
        <v>1.9720820940563499</v>
      </c>
      <c r="G1131">
        <v>4.8993501535655097</v>
      </c>
      <c r="H1131">
        <v>14</v>
      </c>
      <c r="I1131">
        <v>7.1442240329502598</v>
      </c>
      <c r="J1131">
        <v>3.2749999999999999</v>
      </c>
      <c r="K1131">
        <v>19.869709709883502</v>
      </c>
      <c r="L1131">
        <v>18.3342427407296</v>
      </c>
      <c r="M1131">
        <v>5.2044999788184496</v>
      </c>
      <c r="N1131">
        <v>51.269001896458697</v>
      </c>
      <c r="O1131">
        <v>23.477493063330002</v>
      </c>
      <c r="P1131">
        <v>3.7461136142175202</v>
      </c>
      <c r="Q1131">
        <v>21.495058055155699</v>
      </c>
      <c r="R1131">
        <v>39.043930441933099</v>
      </c>
      <c r="S1131">
        <v>-2.1385864681264999</v>
      </c>
      <c r="T1131">
        <v>52.201770469427601</v>
      </c>
      <c r="U1131">
        <v>5.1475252917588803E-2</v>
      </c>
      <c r="V1131">
        <v>42.027960993663697</v>
      </c>
    </row>
    <row r="1132" spans="1:22" x14ac:dyDescent="0.25">
      <c r="A1132" t="str">
        <f t="shared" si="17"/>
        <v>Mexico2019</v>
      </c>
      <c r="B1132" t="s">
        <v>159</v>
      </c>
      <c r="C1132" t="s">
        <v>160</v>
      </c>
      <c r="D1132">
        <v>2019</v>
      </c>
      <c r="E1132">
        <v>10369.555358527101</v>
      </c>
      <c r="F1132">
        <v>-0.39269050506682401</v>
      </c>
      <c r="G1132">
        <v>3.6359614212704598</v>
      </c>
      <c r="H1132">
        <v>14</v>
      </c>
      <c r="I1132">
        <v>7.3346415746779901</v>
      </c>
      <c r="J1132">
        <v>3.4769999999999999</v>
      </c>
      <c r="K1132">
        <v>19.8103353511537</v>
      </c>
      <c r="L1132">
        <v>18.519167062525899</v>
      </c>
      <c r="M1132">
        <v>4.3190102279892697</v>
      </c>
      <c r="N1132">
        <v>50.787294601245101</v>
      </c>
      <c r="O1132">
        <v>22.1485426373991</v>
      </c>
      <c r="P1132">
        <v>3.9154153935276699</v>
      </c>
      <c r="Q1132">
        <v>21.8054202681822</v>
      </c>
      <c r="R1132">
        <v>38.529650792000901</v>
      </c>
      <c r="S1132">
        <v>-2.26598425755778</v>
      </c>
      <c r="T1132">
        <v>51.868637600173003</v>
      </c>
      <c r="U1132">
        <v>4.6825869746593599E-2</v>
      </c>
      <c r="V1132">
        <v>41.938851704956498</v>
      </c>
    </row>
    <row r="1133" spans="1:22" x14ac:dyDescent="0.25">
      <c r="A1133" t="str">
        <f t="shared" si="17"/>
        <v>Mexico2020</v>
      </c>
      <c r="B1133" t="s">
        <v>159</v>
      </c>
      <c r="C1133" t="s">
        <v>160</v>
      </c>
      <c r="D1133">
        <v>2020</v>
      </c>
      <c r="E1133">
        <v>8841.2707503986803</v>
      </c>
      <c r="F1133">
        <v>-8.3540345816799508</v>
      </c>
      <c r="G1133">
        <v>3.3968341557000601</v>
      </c>
      <c r="H1133">
        <v>14</v>
      </c>
      <c r="I1133">
        <v>7.4860798745151502</v>
      </c>
      <c r="J1133">
        <v>4.4400000000000004</v>
      </c>
      <c r="K1133">
        <v>21.6980704238964</v>
      </c>
      <c r="L1133">
        <v>18.644532829800301</v>
      </c>
      <c r="M1133">
        <v>4.6197901329266404</v>
      </c>
      <c r="N1133">
        <v>50.308977344142903</v>
      </c>
      <c r="O1133">
        <v>20.236659350690701</v>
      </c>
      <c r="P1133">
        <v>5.0790282872665902</v>
      </c>
      <c r="Q1133">
        <v>22.192798182255</v>
      </c>
      <c r="R1133">
        <v>39.235372090411502</v>
      </c>
      <c r="S1133">
        <v>-4.2900943614623204</v>
      </c>
      <c r="T1133">
        <v>58.456336725738097</v>
      </c>
      <c r="U1133">
        <v>-0.11425794607100501</v>
      </c>
      <c r="V1133">
        <v>38.851546632039302</v>
      </c>
    </row>
    <row r="1134" spans="1:22" x14ac:dyDescent="0.25">
      <c r="A1134" t="str">
        <f t="shared" si="17"/>
        <v>Mexico2021</v>
      </c>
      <c r="B1134" t="s">
        <v>159</v>
      </c>
      <c r="C1134" t="s">
        <v>160</v>
      </c>
      <c r="D1134">
        <v>2021</v>
      </c>
      <c r="E1134">
        <v>10314.050672211501</v>
      </c>
      <c r="F1134">
        <v>6.0484834621254997</v>
      </c>
      <c r="G1134">
        <v>5.6892084768375302</v>
      </c>
      <c r="H1134">
        <v>14</v>
      </c>
      <c r="I1134">
        <v>7.5857587357466398</v>
      </c>
      <c r="J1134">
        <v>4.0190000000000001</v>
      </c>
      <c r="K1134">
        <v>20.892383662683301</v>
      </c>
      <c r="L1134">
        <v>18.343088648688902</v>
      </c>
      <c r="M1134">
        <v>4.4879727273950696</v>
      </c>
      <c r="N1134">
        <v>49.806036802613697</v>
      </c>
      <c r="O1134">
        <v>21.707493934375599</v>
      </c>
      <c r="P1134">
        <v>4.1239811477868402</v>
      </c>
      <c r="Q1134">
        <v>21.679724090760399</v>
      </c>
      <c r="R1134">
        <v>40.569193201019402</v>
      </c>
      <c r="S1134">
        <v>-3.7466924390404799</v>
      </c>
      <c r="T1134">
        <v>56.6946812811032</v>
      </c>
      <c r="U1134">
        <v>5.7253818839434097E-2</v>
      </c>
      <c r="V1134">
        <v>42.138712007315497</v>
      </c>
    </row>
    <row r="1135" spans="1:22" x14ac:dyDescent="0.25">
      <c r="A1135" t="str">
        <f t="shared" si="17"/>
        <v>Mexico2022</v>
      </c>
      <c r="B1135" t="s">
        <v>159</v>
      </c>
      <c r="C1135" t="s">
        <v>160</v>
      </c>
      <c r="D1135">
        <v>2022</v>
      </c>
      <c r="E1135">
        <v>11405.794047375901</v>
      </c>
      <c r="F1135">
        <v>3.7097570916362299</v>
      </c>
      <c r="G1135">
        <v>7.8962761916854998</v>
      </c>
      <c r="H1135">
        <v>14</v>
      </c>
      <c r="I1135">
        <v>7.7452698399912396</v>
      </c>
      <c r="J1135">
        <v>3.2559999999999998</v>
      </c>
      <c r="K1135">
        <v>22.3057833165138</v>
      </c>
      <c r="L1135">
        <v>19.271161144944099</v>
      </c>
      <c r="M1135">
        <v>6.6666494746866896</v>
      </c>
      <c r="N1135">
        <v>49.3799037503831</v>
      </c>
      <c r="O1135">
        <v>22.770194890945401</v>
      </c>
      <c r="P1135">
        <v>3.3219068128132299</v>
      </c>
      <c r="Q1135">
        <v>20.012608799287001</v>
      </c>
      <c r="R1135">
        <v>42.932290213370202</v>
      </c>
      <c r="S1135">
        <v>-4.3224232356112999</v>
      </c>
      <c r="T1135">
        <v>53.802725652046199</v>
      </c>
      <c r="U1135">
        <v>4.6294569142917602E-2</v>
      </c>
      <c r="V1135">
        <v>41.928668887765099</v>
      </c>
    </row>
    <row r="1136" spans="1:22" x14ac:dyDescent="0.25">
      <c r="A1136" t="str">
        <f t="shared" si="17"/>
        <v>Mexico2023</v>
      </c>
      <c r="B1136" t="s">
        <v>159</v>
      </c>
      <c r="C1136" t="s">
        <v>160</v>
      </c>
      <c r="D1136">
        <v>2023</v>
      </c>
      <c r="E1136">
        <v>13860.959780932601</v>
      </c>
      <c r="F1136">
        <v>3.3535414065276798</v>
      </c>
      <c r="G1136">
        <v>5.5279608731438898</v>
      </c>
      <c r="H1136">
        <v>14</v>
      </c>
      <c r="I1136">
        <v>7.98664578990007</v>
      </c>
      <c r="J1136">
        <v>2.7650000000000001</v>
      </c>
      <c r="K1136">
        <v>22.4106159687135</v>
      </c>
      <c r="L1136">
        <v>19.0449981034342</v>
      </c>
      <c r="M1136">
        <v>4.6538540616829502</v>
      </c>
      <c r="N1136">
        <v>49.041553848047201</v>
      </c>
      <c r="O1136">
        <v>23.8945184286558</v>
      </c>
      <c r="P1136">
        <v>3.4425474198193902</v>
      </c>
      <c r="Q1136">
        <v>20.127735296574301</v>
      </c>
      <c r="R1136">
        <v>36.0693951643755</v>
      </c>
      <c r="S1136">
        <v>-4.2977561841981897</v>
      </c>
      <c r="T1136">
        <v>52.7528036184152</v>
      </c>
      <c r="U1136">
        <v>4.3899592049624903E-2</v>
      </c>
      <c r="V1136">
        <v>41.882767163298702</v>
      </c>
    </row>
    <row r="1137" spans="1:22" x14ac:dyDescent="0.25">
      <c r="A1137" t="str">
        <f t="shared" si="17"/>
        <v>Mexico2024</v>
      </c>
      <c r="B1137" t="s">
        <v>159</v>
      </c>
      <c r="C1137" t="s">
        <v>160</v>
      </c>
      <c r="D1137">
        <v>2024</v>
      </c>
      <c r="E1137">
        <v>14185.781224852901</v>
      </c>
      <c r="F1137">
        <v>1.4274276908046599</v>
      </c>
      <c r="G1137">
        <v>4.7222558845293197</v>
      </c>
      <c r="H1137">
        <v>14</v>
      </c>
      <c r="I1137">
        <v>8.2485701795035098</v>
      </c>
      <c r="J1137">
        <v>2.6779999999999999</v>
      </c>
      <c r="K1137">
        <v>20.871512474362799</v>
      </c>
      <c r="L1137">
        <v>19.1627563559157</v>
      </c>
      <c r="M1137">
        <v>4.9050733641935</v>
      </c>
      <c r="N1137">
        <v>48.716715089195901</v>
      </c>
      <c r="O1137">
        <v>24.123513555962301</v>
      </c>
      <c r="P1137">
        <v>3.54735732153754</v>
      </c>
      <c r="Q1137">
        <v>19.283745772811699</v>
      </c>
      <c r="R1137">
        <v>36.703368816517703</v>
      </c>
      <c r="S1137">
        <v>-5.7772437320085697</v>
      </c>
      <c r="T1137">
        <v>59.134851811146</v>
      </c>
      <c r="U1137">
        <v>-5.8377322651815201E-2</v>
      </c>
      <c r="V1137">
        <v>39.922545175773799</v>
      </c>
    </row>
    <row r="1138" spans="1:22" x14ac:dyDescent="0.25">
      <c r="A1138" t="str">
        <f t="shared" si="17"/>
        <v>Mexico2025</v>
      </c>
      <c r="B1138" t="s">
        <v>159</v>
      </c>
      <c r="C1138" t="s">
        <v>160</v>
      </c>
      <c r="D1138">
        <v>2025</v>
      </c>
      <c r="E1138">
        <v>10369.555358527101</v>
      </c>
      <c r="F1138">
        <v>2.5037635028866401</v>
      </c>
      <c r="G1138">
        <v>4.1115098107028896</v>
      </c>
      <c r="H1138">
        <v>14</v>
      </c>
      <c r="I1138">
        <v>6.9659201739026804</v>
      </c>
      <c r="J1138">
        <v>2.673</v>
      </c>
      <c r="K1138">
        <v>20.871512474362799</v>
      </c>
      <c r="L1138">
        <v>18.368196871464701</v>
      </c>
      <c r="M1138">
        <v>4.6197901329266404</v>
      </c>
      <c r="N1138">
        <v>51.818257783198099</v>
      </c>
      <c r="O1138">
        <v>23.477493063330002</v>
      </c>
      <c r="P1138">
        <v>4.1239811477868402</v>
      </c>
      <c r="Q1138">
        <v>19.384966743581</v>
      </c>
      <c r="R1138">
        <v>36.703368816517703</v>
      </c>
      <c r="S1138">
        <v>-4.8587568045180296</v>
      </c>
      <c r="T1138">
        <v>61.750875213950998</v>
      </c>
      <c r="U1138">
        <v>-9.7021542825175097E-2</v>
      </c>
      <c r="V1138">
        <v>39.181896611083502</v>
      </c>
    </row>
    <row r="1139" spans="1:22" x14ac:dyDescent="0.25">
      <c r="A1139" t="str">
        <f t="shared" si="17"/>
        <v>Moldova2010</v>
      </c>
      <c r="B1139" t="s">
        <v>161</v>
      </c>
      <c r="C1139" t="s">
        <v>162</v>
      </c>
      <c r="D1139">
        <v>2010</v>
      </c>
      <c r="E1139">
        <v>2436.79935102421</v>
      </c>
      <c r="F1139">
        <v>7.10000010705836</v>
      </c>
      <c r="G1139">
        <v>7.4838508635085104</v>
      </c>
      <c r="H1139">
        <v>9</v>
      </c>
      <c r="I1139">
        <v>10.6813851298936</v>
      </c>
      <c r="J1139">
        <v>2.972</v>
      </c>
      <c r="K1139">
        <v>29.1436569247624</v>
      </c>
      <c r="L1139">
        <v>26.331614748752202</v>
      </c>
      <c r="M1139">
        <v>33.3049320977984</v>
      </c>
      <c r="N1139">
        <v>39.227610936625197</v>
      </c>
      <c r="O1139">
        <v>23.851786593285901</v>
      </c>
      <c r="P1139">
        <v>4.61295925564509</v>
      </c>
      <c r="Q1139">
        <v>17.005610941448101</v>
      </c>
      <c r="R1139">
        <v>27.8296130640861</v>
      </c>
      <c r="S1139">
        <v>-2.1782542786813202</v>
      </c>
      <c r="T1139">
        <v>25.474631689528799</v>
      </c>
      <c r="U1139">
        <v>0.122474347959384</v>
      </c>
      <c r="V1139">
        <v>43.388717598431903</v>
      </c>
    </row>
    <row r="1140" spans="1:22" x14ac:dyDescent="0.25">
      <c r="A1140" t="str">
        <f t="shared" si="17"/>
        <v>Moldova2011</v>
      </c>
      <c r="B1140" t="s">
        <v>161</v>
      </c>
      <c r="C1140" t="s">
        <v>162</v>
      </c>
      <c r="D1140">
        <v>2011</v>
      </c>
      <c r="E1140">
        <v>2941.3622406602099</v>
      </c>
      <c r="F1140">
        <v>5.81816614684824</v>
      </c>
      <c r="G1140">
        <v>7.6872510335618998</v>
      </c>
      <c r="H1140">
        <v>9</v>
      </c>
      <c r="I1140">
        <v>10.5443759336524</v>
      </c>
      <c r="J1140">
        <v>2.677</v>
      </c>
      <c r="K1140">
        <v>27.359957679690901</v>
      </c>
      <c r="L1140">
        <v>25.606135006363701</v>
      </c>
      <c r="M1140">
        <v>8.1907985986224201</v>
      </c>
      <c r="N1140">
        <v>38.702171564663097</v>
      </c>
      <c r="O1140">
        <v>24.0486714251096</v>
      </c>
      <c r="P1140">
        <v>3.98244273726807</v>
      </c>
      <c r="Q1140">
        <v>13.965616861156199</v>
      </c>
      <c r="R1140">
        <v>32.540457569794299</v>
      </c>
      <c r="S1140">
        <v>-2.0496450654277001</v>
      </c>
      <c r="T1140">
        <v>24.2007261264825</v>
      </c>
      <c r="U1140">
        <v>9.0902531301966197E-2</v>
      </c>
      <c r="V1140">
        <v>42.783617519116497</v>
      </c>
    </row>
    <row r="1141" spans="1:22" x14ac:dyDescent="0.25">
      <c r="A1141" t="str">
        <f t="shared" si="17"/>
        <v>Moldova2012</v>
      </c>
      <c r="B1141" t="s">
        <v>161</v>
      </c>
      <c r="C1141" t="s">
        <v>162</v>
      </c>
      <c r="D1141">
        <v>2012</v>
      </c>
      <c r="E1141">
        <v>3044.8084324814999</v>
      </c>
      <c r="F1141">
        <v>-0.58973395476257895</v>
      </c>
      <c r="G1141">
        <v>4.5463342735530201</v>
      </c>
      <c r="H1141">
        <v>9</v>
      </c>
      <c r="I1141">
        <v>10.485419553317</v>
      </c>
      <c r="J1141">
        <v>2.1890000000000001</v>
      </c>
      <c r="K1141">
        <v>27.854426218913702</v>
      </c>
      <c r="L1141">
        <v>26.127087554309799</v>
      </c>
      <c r="M1141">
        <v>7.42422201997522</v>
      </c>
      <c r="N1141">
        <v>38.536819738970003</v>
      </c>
      <c r="O1141">
        <v>24.1985192443336</v>
      </c>
      <c r="P1141">
        <v>5.1113376339899501</v>
      </c>
      <c r="Q1141">
        <v>16.7550567583434</v>
      </c>
      <c r="R1141">
        <v>31.1328505372467</v>
      </c>
      <c r="S1141">
        <v>-1.93073999804971</v>
      </c>
      <c r="T1141">
        <v>31.3329565204129</v>
      </c>
      <c r="U1141">
        <v>6.0700977747635998E-2</v>
      </c>
      <c r="V1141">
        <v>42.2047796698577</v>
      </c>
    </row>
    <row r="1142" spans="1:22" x14ac:dyDescent="0.25">
      <c r="A1142" t="str">
        <f t="shared" si="17"/>
        <v>Moldova2013</v>
      </c>
      <c r="B1142" t="s">
        <v>161</v>
      </c>
      <c r="C1142" t="s">
        <v>162</v>
      </c>
      <c r="D1142">
        <v>2013</v>
      </c>
      <c r="E1142">
        <v>3321.0439779571898</v>
      </c>
      <c r="F1142">
        <v>9.0438656074181001</v>
      </c>
      <c r="G1142">
        <v>4.5978789736312704</v>
      </c>
      <c r="H1142">
        <v>9</v>
      </c>
      <c r="I1142">
        <v>10.615763167448399</v>
      </c>
      <c r="J1142">
        <v>1.8939999999999999</v>
      </c>
      <c r="K1142">
        <v>27.128270081779299</v>
      </c>
      <c r="L1142">
        <v>25.0976989210718</v>
      </c>
      <c r="M1142">
        <v>3.9238512218232602</v>
      </c>
      <c r="N1142">
        <v>38.9863509860321</v>
      </c>
      <c r="O1142">
        <v>24.9382002000225</v>
      </c>
      <c r="P1142">
        <v>5.37730601945169</v>
      </c>
      <c r="Q1142">
        <v>19.7223712050613</v>
      </c>
      <c r="R1142">
        <v>32.092613166028499</v>
      </c>
      <c r="S1142">
        <v>-1.5651761634638299</v>
      </c>
      <c r="T1142">
        <v>29.974303724019101</v>
      </c>
      <c r="U1142">
        <v>0.19175376155485599</v>
      </c>
      <c r="V1142">
        <v>44.716515080484498</v>
      </c>
    </row>
    <row r="1143" spans="1:22" x14ac:dyDescent="0.25">
      <c r="A1143" t="str">
        <f t="shared" si="17"/>
        <v>Moldova2014</v>
      </c>
      <c r="B1143" t="s">
        <v>161</v>
      </c>
      <c r="C1143" t="s">
        <v>162</v>
      </c>
      <c r="D1143">
        <v>2014</v>
      </c>
      <c r="E1143">
        <v>3289.95758568777</v>
      </c>
      <c r="F1143">
        <v>4.9996258540765597</v>
      </c>
      <c r="G1143">
        <v>5.0887855462586904</v>
      </c>
      <c r="H1143">
        <v>9</v>
      </c>
      <c r="I1143">
        <v>11.082268902258599</v>
      </c>
      <c r="J1143">
        <v>1.45</v>
      </c>
      <c r="K1143">
        <v>29.367421504791299</v>
      </c>
      <c r="L1143">
        <v>26.249986488765799</v>
      </c>
      <c r="M1143">
        <v>5.1432072170292296</v>
      </c>
      <c r="N1143">
        <v>40.517825481100701</v>
      </c>
      <c r="O1143">
        <v>23.782570660056798</v>
      </c>
      <c r="P1143">
        <v>4.1978177839486204</v>
      </c>
      <c r="Q1143">
        <v>17.5542339090658</v>
      </c>
      <c r="R1143">
        <v>31.5279635595633</v>
      </c>
      <c r="S1143">
        <v>-1.60323714319675</v>
      </c>
      <c r="T1143">
        <v>35.3631169939393</v>
      </c>
      <c r="U1143">
        <v>0.15232611861161799</v>
      </c>
      <c r="V1143">
        <v>43.9608515679585</v>
      </c>
    </row>
    <row r="1144" spans="1:22" x14ac:dyDescent="0.25">
      <c r="A1144" t="str">
        <f t="shared" si="17"/>
        <v>Moldova2015</v>
      </c>
      <c r="B1144" t="s">
        <v>161</v>
      </c>
      <c r="C1144" t="s">
        <v>162</v>
      </c>
      <c r="D1144">
        <v>2015</v>
      </c>
      <c r="E1144">
        <v>2749.55137054338</v>
      </c>
      <c r="F1144">
        <v>-0.33823562238720201</v>
      </c>
      <c r="G1144">
        <v>9.6762403310185903</v>
      </c>
      <c r="H1144">
        <v>9</v>
      </c>
      <c r="I1144">
        <v>11.709179750511399</v>
      </c>
      <c r="J1144">
        <v>1.7809999999999999</v>
      </c>
      <c r="K1144">
        <v>28.330068056903599</v>
      </c>
      <c r="L1144">
        <v>26.193230374465902</v>
      </c>
      <c r="M1144">
        <v>11.5743149591168</v>
      </c>
      <c r="N1144">
        <v>42.736967349420397</v>
      </c>
      <c r="O1144">
        <v>24.062090789552698</v>
      </c>
      <c r="P1144">
        <v>4.34970231526564</v>
      </c>
      <c r="Q1144">
        <v>18.313074167283499</v>
      </c>
      <c r="R1144">
        <v>31.806921788330701</v>
      </c>
      <c r="S1144">
        <v>-1.9297369797186801</v>
      </c>
      <c r="T1144">
        <v>42.096207146845302</v>
      </c>
      <c r="U1144">
        <v>4.7372494879382998E-2</v>
      </c>
      <c r="V1144">
        <v>41.949328229471902</v>
      </c>
    </row>
    <row r="1145" spans="1:22" x14ac:dyDescent="0.25">
      <c r="A1145" t="str">
        <f t="shared" si="17"/>
        <v>Moldova2016</v>
      </c>
      <c r="B1145" t="s">
        <v>161</v>
      </c>
      <c r="C1145" t="s">
        <v>162</v>
      </c>
      <c r="D1145">
        <v>2016</v>
      </c>
      <c r="E1145">
        <v>2847.0879477047902</v>
      </c>
      <c r="F1145">
        <v>4.64601436259409</v>
      </c>
      <c r="G1145">
        <v>6.3593089803793097</v>
      </c>
      <c r="H1145">
        <v>9</v>
      </c>
      <c r="I1145">
        <v>12.299083882421201</v>
      </c>
      <c r="J1145">
        <v>1.591</v>
      </c>
      <c r="K1145">
        <v>26.6745413540011</v>
      </c>
      <c r="L1145">
        <v>25.714415590770599</v>
      </c>
      <c r="M1145">
        <v>3.5508738308871002</v>
      </c>
      <c r="N1145">
        <v>44.961760649435497</v>
      </c>
      <c r="O1145">
        <v>21.986885323541699</v>
      </c>
      <c r="P1145">
        <v>5.5333785303572904</v>
      </c>
      <c r="Q1145">
        <v>18.383114595463599</v>
      </c>
      <c r="R1145">
        <v>32.866498934974501</v>
      </c>
      <c r="S1145">
        <v>-1.56411134291772</v>
      </c>
      <c r="T1145">
        <v>39.677551657438798</v>
      </c>
      <c r="U1145">
        <v>0.14132634350804299</v>
      </c>
      <c r="V1145">
        <v>43.750031745334702</v>
      </c>
    </row>
    <row r="1146" spans="1:22" x14ac:dyDescent="0.25">
      <c r="A1146" t="str">
        <f t="shared" si="17"/>
        <v>Moldova2017</v>
      </c>
      <c r="B1146" t="s">
        <v>161</v>
      </c>
      <c r="C1146" t="s">
        <v>162</v>
      </c>
      <c r="D1146">
        <v>2017</v>
      </c>
      <c r="E1146">
        <v>3453.26727720294</v>
      </c>
      <c r="F1146">
        <v>4.1756120510627897</v>
      </c>
      <c r="G1146">
        <v>6.5702299745561099</v>
      </c>
      <c r="H1146">
        <v>13</v>
      </c>
      <c r="I1146">
        <v>12.8296483714172</v>
      </c>
      <c r="J1146">
        <v>1.6220000000000001</v>
      </c>
      <c r="K1146">
        <v>27.2406325954008</v>
      </c>
      <c r="L1146">
        <v>27.5460176684531</v>
      </c>
      <c r="M1146">
        <v>6.2524664914329797</v>
      </c>
      <c r="N1146">
        <v>47.007940018472098</v>
      </c>
      <c r="O1146">
        <v>21.938954212504701</v>
      </c>
      <c r="P1146">
        <v>5.9040941906583804</v>
      </c>
      <c r="Q1146">
        <v>16.2401792082503</v>
      </c>
      <c r="R1146">
        <v>32.532846597744602</v>
      </c>
      <c r="S1146">
        <v>-0.65037077753363304</v>
      </c>
      <c r="T1146">
        <v>34.860447992268803</v>
      </c>
      <c r="U1146">
        <v>0.41501435981916401</v>
      </c>
      <c r="V1146">
        <v>48.995489812399299</v>
      </c>
    </row>
    <row r="1147" spans="1:22" x14ac:dyDescent="0.25">
      <c r="A1147" t="str">
        <f t="shared" si="17"/>
        <v>Moldova2018</v>
      </c>
      <c r="B1147" t="s">
        <v>161</v>
      </c>
      <c r="C1147" t="s">
        <v>162</v>
      </c>
      <c r="D1147">
        <v>2018</v>
      </c>
      <c r="E1147">
        <v>4156.4498195664601</v>
      </c>
      <c r="F1147">
        <v>4.0755954658503404</v>
      </c>
      <c r="G1147">
        <v>3.04505397337071</v>
      </c>
      <c r="H1147">
        <v>13</v>
      </c>
      <c r="I1147">
        <v>13.307409886507401</v>
      </c>
      <c r="J1147">
        <v>1.2390000000000001</v>
      </c>
      <c r="K1147">
        <v>27.783597821609199</v>
      </c>
      <c r="L1147">
        <v>28.213296705837099</v>
      </c>
      <c r="M1147">
        <v>3.2110321322372801</v>
      </c>
      <c r="N1147">
        <v>48.815692914056697</v>
      </c>
      <c r="O1147">
        <v>26.591810670347101</v>
      </c>
      <c r="P1147">
        <v>5.2457463642046296</v>
      </c>
      <c r="Q1147">
        <v>15.8780206468653</v>
      </c>
      <c r="R1147">
        <v>30.696369943019398</v>
      </c>
      <c r="S1147">
        <v>-0.85315645169788101</v>
      </c>
      <c r="T1147">
        <v>31.799547915286499</v>
      </c>
      <c r="U1147">
        <v>0.37068325618798098</v>
      </c>
      <c r="V1147">
        <v>48.145847404601199</v>
      </c>
    </row>
    <row r="1148" spans="1:22" x14ac:dyDescent="0.25">
      <c r="A1148" t="str">
        <f t="shared" si="17"/>
        <v>Moldova2019</v>
      </c>
      <c r="B1148" t="s">
        <v>161</v>
      </c>
      <c r="C1148" t="s">
        <v>162</v>
      </c>
      <c r="D1148">
        <v>2019</v>
      </c>
      <c r="E1148">
        <v>4405.3341816215498</v>
      </c>
      <c r="F1148">
        <v>3.5523140853476001</v>
      </c>
      <c r="G1148">
        <v>4.8377835142872803</v>
      </c>
      <c r="H1148">
        <v>13</v>
      </c>
      <c r="I1148">
        <v>13.801460019109699</v>
      </c>
      <c r="J1148">
        <v>1.502</v>
      </c>
      <c r="K1148">
        <v>28.271805122683499</v>
      </c>
      <c r="L1148">
        <v>27.6442061685764</v>
      </c>
      <c r="M1148">
        <v>5.3517120034664902</v>
      </c>
      <c r="N1148">
        <v>50.559067426029401</v>
      </c>
      <c r="O1148">
        <v>25.103661882340798</v>
      </c>
      <c r="P1148">
        <v>5.2332604617585101</v>
      </c>
      <c r="Q1148">
        <v>15.5340225373313</v>
      </c>
      <c r="R1148">
        <v>31.191084957976901</v>
      </c>
      <c r="S1148">
        <v>-1.4655071840032901</v>
      </c>
      <c r="T1148">
        <v>28.7920711195667</v>
      </c>
      <c r="U1148">
        <v>0.348886504326894</v>
      </c>
      <c r="V1148">
        <v>47.728094558033099</v>
      </c>
    </row>
    <row r="1149" spans="1:22" x14ac:dyDescent="0.25">
      <c r="A1149" t="str">
        <f t="shared" si="17"/>
        <v>Moldova2020</v>
      </c>
      <c r="B1149" t="s">
        <v>161</v>
      </c>
      <c r="C1149" t="s">
        <v>162</v>
      </c>
      <c r="D1149">
        <v>2020</v>
      </c>
      <c r="E1149">
        <v>4375.7788930524002</v>
      </c>
      <c r="F1149">
        <v>-8.2759783197694894</v>
      </c>
      <c r="G1149">
        <v>3.7659712224535098</v>
      </c>
      <c r="H1149">
        <v>13</v>
      </c>
      <c r="I1149">
        <v>14.2911788385703</v>
      </c>
      <c r="J1149">
        <v>1.206</v>
      </c>
      <c r="K1149">
        <v>32.722272372529197</v>
      </c>
      <c r="L1149">
        <v>28.730607144958</v>
      </c>
      <c r="M1149">
        <v>5.5750094009650697</v>
      </c>
      <c r="N1149">
        <v>52.168891629911201</v>
      </c>
      <c r="O1149">
        <v>23.864444352607698</v>
      </c>
      <c r="P1149">
        <v>7.1115009075336202</v>
      </c>
      <c r="Q1149">
        <v>16.1196147334662</v>
      </c>
      <c r="R1149">
        <v>27.914336263753601</v>
      </c>
      <c r="S1149">
        <v>-5.3168798508718202</v>
      </c>
      <c r="T1149">
        <v>36.633371837342402</v>
      </c>
      <c r="U1149">
        <v>0.10803840941874999</v>
      </c>
      <c r="V1149">
        <v>43.112040850599698</v>
      </c>
    </row>
    <row r="1150" spans="1:22" x14ac:dyDescent="0.25">
      <c r="A1150" t="str">
        <f t="shared" si="17"/>
        <v>Moldova2021</v>
      </c>
      <c r="B1150" t="s">
        <v>161</v>
      </c>
      <c r="C1150" t="s">
        <v>162</v>
      </c>
      <c r="D1150">
        <v>2021</v>
      </c>
      <c r="E1150">
        <v>5274.6058219535198</v>
      </c>
      <c r="F1150">
        <v>13.9299997889786</v>
      </c>
      <c r="G1150">
        <v>5.1064112900283503</v>
      </c>
      <c r="H1150">
        <v>10</v>
      </c>
      <c r="I1150">
        <v>14.6975547316048</v>
      </c>
      <c r="J1150">
        <v>0.79400000000000004</v>
      </c>
      <c r="K1150">
        <v>29.955432373173299</v>
      </c>
      <c r="L1150">
        <v>28.6306561988997</v>
      </c>
      <c r="M1150">
        <v>6.3817285513401902</v>
      </c>
      <c r="N1150">
        <v>53.477050350226698</v>
      </c>
      <c r="O1150">
        <v>26.8561258664432</v>
      </c>
      <c r="P1150">
        <v>5.4710423760392999</v>
      </c>
      <c r="Q1150">
        <v>14.425944131540801</v>
      </c>
      <c r="R1150">
        <v>30.648787712689799</v>
      </c>
      <c r="S1150">
        <v>-2.6170009414585702</v>
      </c>
      <c r="T1150">
        <v>33.638624601943597</v>
      </c>
      <c r="U1150">
        <v>0.25004260611172502</v>
      </c>
      <c r="V1150">
        <v>45.833669181792096</v>
      </c>
    </row>
    <row r="1151" spans="1:22" x14ac:dyDescent="0.25">
      <c r="A1151" t="str">
        <f t="shared" si="17"/>
        <v>Moldova2022</v>
      </c>
      <c r="B1151" t="s">
        <v>161</v>
      </c>
      <c r="C1151" t="s">
        <v>162</v>
      </c>
      <c r="D1151">
        <v>2022</v>
      </c>
      <c r="E1151">
        <v>5744.29618434435</v>
      </c>
      <c r="F1151">
        <v>-4.6000000255323004</v>
      </c>
      <c r="G1151">
        <v>28.737297676623498</v>
      </c>
      <c r="H1151">
        <v>10</v>
      </c>
      <c r="I1151">
        <v>15.117001418921699</v>
      </c>
      <c r="J1151">
        <v>0.90900000000000003</v>
      </c>
      <c r="K1151">
        <v>32.2453730893208</v>
      </c>
      <c r="L1151">
        <v>29.3139159206351</v>
      </c>
      <c r="M1151">
        <v>18.855323059100801</v>
      </c>
      <c r="N1151">
        <v>54.470543964441902</v>
      </c>
      <c r="O1151">
        <v>27.3104295249444</v>
      </c>
      <c r="P1151">
        <v>4.8355513421515397</v>
      </c>
      <c r="Q1151">
        <v>10.051722481279601</v>
      </c>
      <c r="R1151">
        <v>41.226459454449902</v>
      </c>
      <c r="S1151">
        <v>-3.2397401558405798</v>
      </c>
      <c r="T1151">
        <v>35.042262714319001</v>
      </c>
      <c r="U1151">
        <v>4.6247547169194998E-2</v>
      </c>
      <c r="V1151">
        <v>41.927767672597803</v>
      </c>
    </row>
    <row r="1152" spans="1:22" x14ac:dyDescent="0.25">
      <c r="A1152" t="str">
        <f t="shared" si="17"/>
        <v>Moldova2023</v>
      </c>
      <c r="B1152" t="s">
        <v>161</v>
      </c>
      <c r="C1152" t="s">
        <v>162</v>
      </c>
      <c r="D1152">
        <v>2023</v>
      </c>
      <c r="E1152">
        <v>6799.5859464457599</v>
      </c>
      <c r="F1152">
        <v>1.2000000493378</v>
      </c>
      <c r="G1152">
        <v>13.4170104381299</v>
      </c>
      <c r="H1152">
        <v>10</v>
      </c>
      <c r="I1152">
        <v>15.6147071961188</v>
      </c>
      <c r="J1152">
        <v>1.57</v>
      </c>
      <c r="K1152">
        <v>34.472544226211198</v>
      </c>
      <c r="L1152">
        <v>29.4018819805652</v>
      </c>
      <c r="M1152">
        <v>9.2778241717988301</v>
      </c>
      <c r="N1152">
        <v>55.296207228166601</v>
      </c>
      <c r="O1152">
        <v>20.084591001223998</v>
      </c>
      <c r="P1152">
        <v>6.1384577491194001</v>
      </c>
      <c r="Q1152">
        <v>8.7823241615044605</v>
      </c>
      <c r="R1152">
        <v>35.112585786126203</v>
      </c>
      <c r="S1152">
        <v>-5.12982798799072</v>
      </c>
      <c r="T1152">
        <v>34.944770384566198</v>
      </c>
      <c r="U1152">
        <v>9.4358134741425598E-2</v>
      </c>
      <c r="V1152">
        <v>42.849847028111498</v>
      </c>
    </row>
    <row r="1153" spans="1:22" x14ac:dyDescent="0.25">
      <c r="A1153" t="str">
        <f t="shared" si="17"/>
        <v>Moldova2024</v>
      </c>
      <c r="B1153" t="s">
        <v>161</v>
      </c>
      <c r="C1153" t="s">
        <v>162</v>
      </c>
      <c r="D1153">
        <v>2024</v>
      </c>
      <c r="E1153">
        <v>7576.1958941332596</v>
      </c>
      <c r="F1153">
        <v>0.103059364371205</v>
      </c>
      <c r="G1153">
        <v>4.6777351600705197</v>
      </c>
      <c r="H1153">
        <v>10</v>
      </c>
      <c r="I1153">
        <v>16.211512472732299</v>
      </c>
      <c r="J1153">
        <v>1.427</v>
      </c>
      <c r="K1153">
        <v>28.300936589793501</v>
      </c>
      <c r="L1153">
        <v>26.938816208602599</v>
      </c>
      <c r="M1153">
        <v>6.56535704471057</v>
      </c>
      <c r="N1153">
        <v>56.250593507515603</v>
      </c>
      <c r="O1153">
        <v>21.131228597151299</v>
      </c>
      <c r="P1153">
        <v>5.7360621974167696</v>
      </c>
      <c r="Q1153">
        <v>4.4751395406737604</v>
      </c>
      <c r="R1153">
        <v>31.413547115249902</v>
      </c>
      <c r="S1153">
        <v>-4.0164325126997902</v>
      </c>
      <c r="T1153">
        <v>38.776855669100698</v>
      </c>
      <c r="U1153">
        <v>-2.06625007659407E-3</v>
      </c>
      <c r="V1153">
        <v>41.001793634971897</v>
      </c>
    </row>
    <row r="1154" spans="1:22" x14ac:dyDescent="0.25">
      <c r="A1154" t="str">
        <f t="shared" si="17"/>
        <v>Moldova2025</v>
      </c>
      <c r="B1154" t="s">
        <v>161</v>
      </c>
      <c r="C1154" t="s">
        <v>162</v>
      </c>
      <c r="D1154">
        <v>2025</v>
      </c>
      <c r="E1154">
        <v>3453.26727720294</v>
      </c>
      <c r="F1154">
        <v>4.0755954658503404</v>
      </c>
      <c r="G1154">
        <v>5.1064112900283503</v>
      </c>
      <c r="H1154">
        <v>10</v>
      </c>
      <c r="I1154">
        <v>12.8296483714172</v>
      </c>
      <c r="J1154">
        <v>1.5049999999999999</v>
      </c>
      <c r="K1154">
        <v>28.300936589793501</v>
      </c>
      <c r="L1154">
        <v>26.938816208602599</v>
      </c>
      <c r="M1154">
        <v>6.3817285513401902</v>
      </c>
      <c r="N1154">
        <v>47.007940018472098</v>
      </c>
      <c r="O1154">
        <v>24.0486714251096</v>
      </c>
      <c r="P1154">
        <v>5.2457463642046296</v>
      </c>
      <c r="Q1154">
        <v>16.1196147334662</v>
      </c>
      <c r="R1154">
        <v>31.5279635595633</v>
      </c>
      <c r="S1154">
        <v>-3.8711867270349698</v>
      </c>
      <c r="T1154">
        <v>36.630035040917697</v>
      </c>
      <c r="U1154">
        <v>7.6658055354927396E-2</v>
      </c>
      <c r="V1154">
        <v>42.510610310855803</v>
      </c>
    </row>
    <row r="1155" spans="1:22" x14ac:dyDescent="0.25">
      <c r="A1155" t="str">
        <f t="shared" si="17"/>
        <v>Mongolia2010</v>
      </c>
      <c r="B1155" t="s">
        <v>163</v>
      </c>
      <c r="C1155" t="s">
        <v>164</v>
      </c>
      <c r="D1155">
        <v>2010</v>
      </c>
      <c r="E1155">
        <v>2625.2188140243302</v>
      </c>
      <c r="F1155">
        <v>6.3651616786311003</v>
      </c>
      <c r="G1155">
        <v>10.0462065881651</v>
      </c>
      <c r="H1155">
        <v>12</v>
      </c>
      <c r="I1155">
        <v>3.7994701176874699</v>
      </c>
      <c r="J1155">
        <v>6.5490000000000004</v>
      </c>
      <c r="K1155">
        <v>22.905796196445099</v>
      </c>
      <c r="L1155">
        <v>29.0280155715086</v>
      </c>
      <c r="M1155">
        <v>39.178187970374097</v>
      </c>
      <c r="N1155">
        <v>46.494871169424698</v>
      </c>
      <c r="O1155">
        <v>42.086954288242801</v>
      </c>
      <c r="P1155">
        <v>6.1065779715757396</v>
      </c>
      <c r="Q1155">
        <v>26.6304483551374</v>
      </c>
      <c r="R1155">
        <v>46.678982583707203</v>
      </c>
      <c r="S1155">
        <v>0.42542746020230299</v>
      </c>
      <c r="T1155">
        <v>30.975084664687301</v>
      </c>
      <c r="U1155">
        <v>6.9881190897103401E-2</v>
      </c>
      <c r="V1155">
        <v>42.380726076906498</v>
      </c>
    </row>
    <row r="1156" spans="1:22" x14ac:dyDescent="0.25">
      <c r="A1156" t="str">
        <f t="shared" ref="A1156:A1219" si="18">C1156&amp;D1156</f>
        <v>Mongolia2011</v>
      </c>
      <c r="B1156" t="s">
        <v>163</v>
      </c>
      <c r="C1156" t="s">
        <v>164</v>
      </c>
      <c r="D1156">
        <v>2011</v>
      </c>
      <c r="E1156">
        <v>3736.0420145507701</v>
      </c>
      <c r="F1156">
        <v>17.2907775869555</v>
      </c>
      <c r="G1156">
        <v>8.4112149532710099</v>
      </c>
      <c r="H1156">
        <v>12</v>
      </c>
      <c r="I1156">
        <v>3.7968541594988001</v>
      </c>
      <c r="J1156">
        <v>4.7690000000000001</v>
      </c>
      <c r="K1156">
        <v>24.430690141543302</v>
      </c>
      <c r="L1156">
        <v>28.593024040559701</v>
      </c>
      <c r="M1156">
        <v>15.1192654880847</v>
      </c>
      <c r="N1156">
        <v>46.6487262591356</v>
      </c>
      <c r="O1156">
        <v>58.150724795922798</v>
      </c>
      <c r="P1156">
        <v>3.1313006552670402</v>
      </c>
      <c r="Q1156">
        <v>30.403588523709001</v>
      </c>
      <c r="R1156">
        <v>52.553555045629601</v>
      </c>
      <c r="S1156">
        <v>-4.0138078920718101</v>
      </c>
      <c r="T1156">
        <v>32.652582704551101</v>
      </c>
      <c r="U1156">
        <v>-0.108516951984083</v>
      </c>
      <c r="V1156">
        <v>38.961577550280097</v>
      </c>
    </row>
    <row r="1157" spans="1:22" x14ac:dyDescent="0.25">
      <c r="A1157" t="str">
        <f t="shared" si="18"/>
        <v>Mongolia2012</v>
      </c>
      <c r="B1157" t="s">
        <v>163</v>
      </c>
      <c r="C1157" t="s">
        <v>164</v>
      </c>
      <c r="D1157">
        <v>2012</v>
      </c>
      <c r="E1157">
        <v>4328.89001905655</v>
      </c>
      <c r="F1157">
        <v>12.319819849403199</v>
      </c>
      <c r="G1157">
        <v>14.3303348325838</v>
      </c>
      <c r="H1157">
        <v>12</v>
      </c>
      <c r="I1157">
        <v>3.7900216028924101</v>
      </c>
      <c r="J1157">
        <v>3.9049999999999998</v>
      </c>
      <c r="K1157">
        <v>27.074826601060298</v>
      </c>
      <c r="L1157">
        <v>25.617416127778501</v>
      </c>
      <c r="M1157">
        <v>12.784378857359499</v>
      </c>
      <c r="N1157">
        <v>46.894083019297398</v>
      </c>
      <c r="O1157">
        <v>55.898619218043699</v>
      </c>
      <c r="P1157">
        <v>4.8852467283869503</v>
      </c>
      <c r="Q1157">
        <v>27.698275104461</v>
      </c>
      <c r="R1157">
        <v>43.572151194252001</v>
      </c>
      <c r="S1157">
        <v>-6.2436839819893004</v>
      </c>
      <c r="T1157">
        <v>43.692015493438902</v>
      </c>
      <c r="U1157">
        <v>-0.31181018321373499</v>
      </c>
      <c r="V1157">
        <v>35.065293985854801</v>
      </c>
    </row>
    <row r="1158" spans="1:22" x14ac:dyDescent="0.25">
      <c r="A1158" t="str">
        <f t="shared" si="18"/>
        <v>Mongolia2013</v>
      </c>
      <c r="B1158" t="s">
        <v>163</v>
      </c>
      <c r="C1158" t="s">
        <v>164</v>
      </c>
      <c r="D1158">
        <v>2013</v>
      </c>
      <c r="E1158">
        <v>4340.1431054444902</v>
      </c>
      <c r="F1158">
        <v>11.6489161878925</v>
      </c>
      <c r="G1158">
        <v>10.4906567588241</v>
      </c>
      <c r="H1158">
        <v>12</v>
      </c>
      <c r="I1158">
        <v>3.79262034296318</v>
      </c>
      <c r="J1158">
        <v>4.2309999999999999</v>
      </c>
      <c r="K1158">
        <v>23.668819594913401</v>
      </c>
      <c r="L1158">
        <v>27.687127456814299</v>
      </c>
      <c r="M1158">
        <v>2.9078483378354498</v>
      </c>
      <c r="N1158">
        <v>47.586068213115702</v>
      </c>
      <c r="O1158">
        <v>53.275708402823298</v>
      </c>
      <c r="P1158">
        <v>2.8662524461896299</v>
      </c>
      <c r="Q1158">
        <v>26.280052017443001</v>
      </c>
      <c r="R1158">
        <v>38.890237481919598</v>
      </c>
      <c r="S1158">
        <v>-0.92707762799865501</v>
      </c>
      <c r="T1158">
        <v>49.4234475698849</v>
      </c>
      <c r="U1158">
        <v>-0.13127444314637399</v>
      </c>
      <c r="V1158">
        <v>38.525411337333203</v>
      </c>
    </row>
    <row r="1159" spans="1:22" x14ac:dyDescent="0.25">
      <c r="A1159" t="str">
        <f t="shared" si="18"/>
        <v>Mongolia2014</v>
      </c>
      <c r="B1159" t="s">
        <v>163</v>
      </c>
      <c r="C1159" t="s">
        <v>164</v>
      </c>
      <c r="D1159">
        <v>2014</v>
      </c>
      <c r="E1159">
        <v>4126.2397580052402</v>
      </c>
      <c r="F1159">
        <v>7.8852254820476197</v>
      </c>
      <c r="G1159">
        <v>12.2539808129759</v>
      </c>
      <c r="H1159">
        <v>12</v>
      </c>
      <c r="I1159">
        <v>3.8077594923651001</v>
      </c>
      <c r="J1159">
        <v>4.798</v>
      </c>
      <c r="K1159">
        <v>23.733223661495401</v>
      </c>
      <c r="L1159">
        <v>25.155191062282</v>
      </c>
      <c r="M1159">
        <v>7.4488365950656297</v>
      </c>
      <c r="N1159">
        <v>48.680417533685102</v>
      </c>
      <c r="O1159">
        <v>35.175297643407497</v>
      </c>
      <c r="P1159">
        <v>2.4116685673665699</v>
      </c>
      <c r="Q1159">
        <v>23.445575523213702</v>
      </c>
      <c r="R1159">
        <v>52.248998694227701</v>
      </c>
      <c r="S1159">
        <v>-3.7253941851598298</v>
      </c>
      <c r="T1159">
        <v>43.962784803202602</v>
      </c>
      <c r="U1159">
        <v>-0.119656270417845</v>
      </c>
      <c r="V1159">
        <v>38.748083263875003</v>
      </c>
    </row>
    <row r="1160" spans="1:22" x14ac:dyDescent="0.25">
      <c r="A1160" t="str">
        <f t="shared" si="18"/>
        <v>Mongolia2015</v>
      </c>
      <c r="B1160" t="s">
        <v>163</v>
      </c>
      <c r="C1160" t="s">
        <v>164</v>
      </c>
      <c r="D1160">
        <v>2015</v>
      </c>
      <c r="E1160">
        <v>3838.9212698998399</v>
      </c>
      <c r="F1160">
        <v>2.3798358073172201</v>
      </c>
      <c r="G1160">
        <v>5.7356828193832703</v>
      </c>
      <c r="H1160">
        <v>12</v>
      </c>
      <c r="I1160">
        <v>3.83803196041828</v>
      </c>
      <c r="J1160">
        <v>4.8609999999999998</v>
      </c>
      <c r="K1160">
        <v>24.313084296183</v>
      </c>
      <c r="L1160">
        <v>22.8150159606259</v>
      </c>
      <c r="M1160">
        <v>0.60976921772335402</v>
      </c>
      <c r="N1160">
        <v>50.0825069416898</v>
      </c>
      <c r="O1160">
        <v>24.513848519101799</v>
      </c>
      <c r="P1160">
        <v>2.5124177884718302</v>
      </c>
      <c r="Q1160">
        <v>16.4005594093878</v>
      </c>
      <c r="R1160">
        <v>44.1840502346828</v>
      </c>
      <c r="S1160">
        <v>-5.0429658636410997</v>
      </c>
      <c r="T1160">
        <v>50.546886413507004</v>
      </c>
      <c r="U1160">
        <v>-0.27489492970877999</v>
      </c>
      <c r="V1160">
        <v>35.772805468839003</v>
      </c>
    </row>
    <row r="1161" spans="1:22" x14ac:dyDescent="0.25">
      <c r="A1161" t="str">
        <f t="shared" si="18"/>
        <v>Mongolia2016</v>
      </c>
      <c r="B1161" t="s">
        <v>163</v>
      </c>
      <c r="C1161" t="s">
        <v>164</v>
      </c>
      <c r="D1161">
        <v>2016</v>
      </c>
      <c r="E1161">
        <v>3619.9002638379202</v>
      </c>
      <c r="F1161">
        <v>1.4897844867957699</v>
      </c>
      <c r="G1161">
        <v>0.73327222731439701</v>
      </c>
      <c r="H1161">
        <v>12</v>
      </c>
      <c r="I1161">
        <v>3.8851300244803002</v>
      </c>
      <c r="J1161">
        <v>7.2350000000000003</v>
      </c>
      <c r="K1161">
        <v>27.398561968537798</v>
      </c>
      <c r="L1161">
        <v>21.145692123760199</v>
      </c>
      <c r="M1161">
        <v>2.9931267605767702</v>
      </c>
      <c r="N1161">
        <v>51.726292459799801</v>
      </c>
      <c r="O1161">
        <v>22.629409943743202</v>
      </c>
      <c r="P1161">
        <v>2.37644141766578</v>
      </c>
      <c r="Q1161">
        <v>16.976093238103498</v>
      </c>
      <c r="R1161">
        <v>50.872194055813999</v>
      </c>
      <c r="S1161">
        <v>-15.2949604395147</v>
      </c>
      <c r="T1161">
        <v>78.677806671786101</v>
      </c>
      <c r="U1161">
        <v>-0.81697270789215604</v>
      </c>
      <c r="V1161">
        <v>25.3834347800031</v>
      </c>
    </row>
    <row r="1162" spans="1:22" x14ac:dyDescent="0.25">
      <c r="A1162" t="str">
        <f t="shared" si="18"/>
        <v>Mongolia2017</v>
      </c>
      <c r="B1162" t="s">
        <v>163</v>
      </c>
      <c r="C1162" t="s">
        <v>164</v>
      </c>
      <c r="D1162">
        <v>2017</v>
      </c>
      <c r="E1162">
        <v>3645.9670866955098</v>
      </c>
      <c r="F1162">
        <v>5.6368763869477201</v>
      </c>
      <c r="G1162">
        <v>4.3014310530234203</v>
      </c>
      <c r="H1162">
        <v>12</v>
      </c>
      <c r="I1162">
        <v>3.9539822005409202</v>
      </c>
      <c r="J1162">
        <v>6.359</v>
      </c>
      <c r="K1162">
        <v>23.7015119822005</v>
      </c>
      <c r="L1162">
        <v>24.821424702232601</v>
      </c>
      <c r="M1162">
        <v>10.800446411748201</v>
      </c>
      <c r="N1162">
        <v>53.5127010854887</v>
      </c>
      <c r="O1162">
        <v>27.406254296590799</v>
      </c>
      <c r="P1162">
        <v>4.4082071175009503</v>
      </c>
      <c r="Q1162">
        <v>17.358321189065499</v>
      </c>
      <c r="R1162">
        <v>59.166679267025302</v>
      </c>
      <c r="S1162">
        <v>-3.7160473689144</v>
      </c>
      <c r="T1162">
        <v>86.897829071447802</v>
      </c>
      <c r="U1162">
        <v>-0.24460086936286801</v>
      </c>
      <c r="V1162">
        <v>36.353416287564002</v>
      </c>
    </row>
    <row r="1163" spans="1:22" x14ac:dyDescent="0.25">
      <c r="A1163" t="str">
        <f t="shared" si="18"/>
        <v>Mongolia2018</v>
      </c>
      <c r="B1163" t="s">
        <v>163</v>
      </c>
      <c r="C1163" t="s">
        <v>164</v>
      </c>
      <c r="D1163">
        <v>2018</v>
      </c>
      <c r="E1163">
        <v>4107.6428852846802</v>
      </c>
      <c r="F1163">
        <v>7.7448806202488099</v>
      </c>
      <c r="G1163">
        <v>6.8242479014552204</v>
      </c>
      <c r="H1163">
        <v>12</v>
      </c>
      <c r="I1163">
        <v>4.0495708882074304</v>
      </c>
      <c r="J1163">
        <v>5.3769999999999998</v>
      </c>
      <c r="K1163">
        <v>22.500629131070099</v>
      </c>
      <c r="L1163">
        <v>28.506963137543501</v>
      </c>
      <c r="M1163">
        <v>7.9606158647099896</v>
      </c>
      <c r="N1163">
        <v>55.412096336259403</v>
      </c>
      <c r="O1163">
        <v>39.377927513210203</v>
      </c>
      <c r="P1163">
        <v>4.2069503863240998</v>
      </c>
      <c r="Q1163">
        <v>22.140894480847201</v>
      </c>
      <c r="R1163">
        <v>58.164782276926402</v>
      </c>
      <c r="S1163">
        <v>2.8542853396966898</v>
      </c>
      <c r="T1163">
        <v>76.5389414188583</v>
      </c>
      <c r="U1163">
        <v>5.3775912490915401E-2</v>
      </c>
      <c r="V1163">
        <v>42.072055044551</v>
      </c>
    </row>
    <row r="1164" spans="1:22" x14ac:dyDescent="0.25">
      <c r="A1164" t="str">
        <f t="shared" si="18"/>
        <v>Mongolia2019</v>
      </c>
      <c r="B1164" t="s">
        <v>163</v>
      </c>
      <c r="C1164" t="s">
        <v>164</v>
      </c>
      <c r="D1164">
        <v>2019</v>
      </c>
      <c r="E1164">
        <v>4347.5461031487303</v>
      </c>
      <c r="F1164">
        <v>5.6022442206425502</v>
      </c>
      <c r="G1164">
        <v>7.3010695355072901</v>
      </c>
      <c r="H1164">
        <v>12</v>
      </c>
      <c r="I1164">
        <v>4.1741572503564601</v>
      </c>
      <c r="J1164">
        <v>9.0239999999999991</v>
      </c>
      <c r="K1164">
        <v>25.616246568821701</v>
      </c>
      <c r="L1164">
        <v>30.7123689903759</v>
      </c>
      <c r="M1164">
        <v>9.9722132566641495</v>
      </c>
      <c r="N1164">
        <v>57.428825944245901</v>
      </c>
      <c r="O1164">
        <v>35.591845156927</v>
      </c>
      <c r="P1164">
        <v>4.6702019727245503</v>
      </c>
      <c r="Q1164">
        <v>20.258626658086801</v>
      </c>
      <c r="R1164">
        <v>59.217233180653899</v>
      </c>
      <c r="S1164">
        <v>1.0027082993525001</v>
      </c>
      <c r="T1164">
        <v>66.8369635555039</v>
      </c>
      <c r="U1164">
        <v>-2.7944020710576899E-2</v>
      </c>
      <c r="V1164">
        <v>40.505824675280998</v>
      </c>
    </row>
    <row r="1165" spans="1:22" x14ac:dyDescent="0.25">
      <c r="A1165" t="str">
        <f t="shared" si="18"/>
        <v>Mongolia2020</v>
      </c>
      <c r="B1165" t="s">
        <v>163</v>
      </c>
      <c r="C1165" t="s">
        <v>164</v>
      </c>
      <c r="D1165">
        <v>2020</v>
      </c>
      <c r="E1165">
        <v>4001.2519307770299</v>
      </c>
      <c r="F1165">
        <v>-4.5577519758343099</v>
      </c>
      <c r="G1165">
        <v>3.7237230614026</v>
      </c>
      <c r="H1165">
        <v>12</v>
      </c>
      <c r="I1165">
        <v>4.3063578589367202</v>
      </c>
      <c r="J1165">
        <v>6.4130000000000003</v>
      </c>
      <c r="K1165">
        <v>33.178993542121802</v>
      </c>
      <c r="L1165">
        <v>29.228067743776698</v>
      </c>
      <c r="M1165">
        <v>3.70672176955705</v>
      </c>
      <c r="N1165">
        <v>58.912146600959602</v>
      </c>
      <c r="O1165">
        <v>22.383597664775099</v>
      </c>
      <c r="P1165">
        <v>6.10446612083887</v>
      </c>
      <c r="Q1165">
        <v>16.306966497640499</v>
      </c>
      <c r="R1165">
        <v>57.660349734099498</v>
      </c>
      <c r="S1165">
        <v>-9.2404189334855804</v>
      </c>
      <c r="T1165">
        <v>83.391501455052094</v>
      </c>
      <c r="U1165">
        <v>-0.44206676349789997</v>
      </c>
      <c r="V1165">
        <v>32.568818476809803</v>
      </c>
    </row>
    <row r="1166" spans="1:22" x14ac:dyDescent="0.25">
      <c r="A1166" t="str">
        <f t="shared" si="18"/>
        <v>Mongolia2021</v>
      </c>
      <c r="B1166" t="s">
        <v>163</v>
      </c>
      <c r="C1166" t="s">
        <v>164</v>
      </c>
      <c r="D1166">
        <v>2021</v>
      </c>
      <c r="E1166">
        <v>4517.6157801878499</v>
      </c>
      <c r="F1166">
        <v>1.63676957736662</v>
      </c>
      <c r="G1166">
        <v>7.3589465788815502</v>
      </c>
      <c r="H1166">
        <v>12</v>
      </c>
      <c r="I1166">
        <v>4.43492388778066</v>
      </c>
      <c r="J1166">
        <v>7.8710000000000004</v>
      </c>
      <c r="K1166">
        <v>31.696648678055201</v>
      </c>
      <c r="L1166">
        <v>28.990216650732201</v>
      </c>
      <c r="M1166">
        <v>14.4200654807454</v>
      </c>
      <c r="N1166">
        <v>59.631385451198497</v>
      </c>
      <c r="O1166">
        <v>36.719029572839901</v>
      </c>
      <c r="P1166">
        <v>4.4621325651236603</v>
      </c>
      <c r="Q1166">
        <v>20.2923343683258</v>
      </c>
      <c r="R1166">
        <v>58.548863954091601</v>
      </c>
      <c r="S1166">
        <v>-3.0454359850208901</v>
      </c>
      <c r="T1166">
        <v>67.323085876944305</v>
      </c>
      <c r="U1166">
        <v>-0.233412649116474</v>
      </c>
      <c r="V1166">
        <v>36.567847817809799</v>
      </c>
    </row>
    <row r="1167" spans="1:22" x14ac:dyDescent="0.25">
      <c r="A1167" t="str">
        <f t="shared" si="18"/>
        <v>Mongolia2022</v>
      </c>
      <c r="B1167" t="s">
        <v>163</v>
      </c>
      <c r="C1167" t="s">
        <v>164</v>
      </c>
      <c r="D1167">
        <v>2022</v>
      </c>
      <c r="E1167">
        <v>4993.5148746349496</v>
      </c>
      <c r="F1167">
        <v>5.0327096366527</v>
      </c>
      <c r="G1167">
        <v>15.150972820080501</v>
      </c>
      <c r="H1167">
        <v>12</v>
      </c>
      <c r="I1167">
        <v>4.6163410380639203</v>
      </c>
      <c r="J1167">
        <v>5.9539999999999997</v>
      </c>
      <c r="K1167">
        <v>24.371887218863101</v>
      </c>
      <c r="L1167">
        <v>29.842143353088101</v>
      </c>
      <c r="M1167">
        <v>17.7147124177501</v>
      </c>
      <c r="N1167">
        <v>60.002870384435802</v>
      </c>
      <c r="O1167">
        <v>42.3321000384678</v>
      </c>
      <c r="P1167">
        <v>2.8982235761862598</v>
      </c>
      <c r="Q1167">
        <v>27.1790641247681</v>
      </c>
      <c r="R1167">
        <v>65.061351155861502</v>
      </c>
      <c r="S1167">
        <v>0.67201264710766595</v>
      </c>
      <c r="T1167">
        <v>64.536006669029106</v>
      </c>
      <c r="U1167">
        <v>-1.2712168369042201E-2</v>
      </c>
      <c r="V1167">
        <v>40.797755771929502</v>
      </c>
    </row>
    <row r="1168" spans="1:22" x14ac:dyDescent="0.25">
      <c r="A1168" t="str">
        <f t="shared" si="18"/>
        <v>Mongolia2023</v>
      </c>
      <c r="B1168" t="s">
        <v>163</v>
      </c>
      <c r="C1168" t="s">
        <v>164</v>
      </c>
      <c r="D1168">
        <v>2023</v>
      </c>
      <c r="E1168">
        <v>5838.6310808390199</v>
      </c>
      <c r="F1168">
        <v>7.4221127615025004</v>
      </c>
      <c r="G1168">
        <v>10.347583131434</v>
      </c>
      <c r="H1168">
        <v>12</v>
      </c>
      <c r="I1168">
        <v>4.8636009012415</v>
      </c>
      <c r="J1168">
        <v>5.1779999999999999</v>
      </c>
      <c r="K1168">
        <v>24.371887218863101</v>
      </c>
      <c r="L1168">
        <v>28.933391527154001</v>
      </c>
      <c r="M1168">
        <v>21.769028016102698</v>
      </c>
      <c r="N1168">
        <v>60.002766953565697</v>
      </c>
      <c r="O1168">
        <v>33.900373159521699</v>
      </c>
      <c r="P1168">
        <v>3.6339024877819401</v>
      </c>
      <c r="Q1168">
        <v>33.460500450124798</v>
      </c>
      <c r="R1168">
        <v>76.2571171270924</v>
      </c>
      <c r="S1168">
        <v>2.7329915032927299</v>
      </c>
      <c r="T1168">
        <v>46.704547896155503</v>
      </c>
      <c r="U1168">
        <v>0.36079228782411499</v>
      </c>
      <c r="V1168">
        <v>47.956278783751003</v>
      </c>
    </row>
    <row r="1169" spans="1:22" x14ac:dyDescent="0.25">
      <c r="A1169" t="str">
        <f t="shared" si="18"/>
        <v>Mongolia2024</v>
      </c>
      <c r="B1169" t="s">
        <v>163</v>
      </c>
      <c r="C1169" t="s">
        <v>164</v>
      </c>
      <c r="D1169">
        <v>2024</v>
      </c>
      <c r="E1169">
        <v>6750.6301157724001</v>
      </c>
      <c r="F1169">
        <v>5.1220453912266102</v>
      </c>
      <c r="G1169">
        <v>6.1977990165841996</v>
      </c>
      <c r="H1169">
        <v>12</v>
      </c>
      <c r="I1169">
        <v>5.1376476748936897</v>
      </c>
      <c r="J1169">
        <v>5.1580000000000004</v>
      </c>
      <c r="K1169">
        <v>24.371887218863101</v>
      </c>
      <c r="L1169">
        <v>31.608901001717602</v>
      </c>
      <c r="M1169">
        <v>8.9311651997685306</v>
      </c>
      <c r="N1169">
        <v>59.568410526082303</v>
      </c>
      <c r="O1169">
        <v>35.545263932823602</v>
      </c>
      <c r="P1169">
        <v>3.3348503356273</v>
      </c>
      <c r="Q1169">
        <v>25.644836509203</v>
      </c>
      <c r="R1169">
        <v>68.716562714056806</v>
      </c>
      <c r="S1169">
        <v>1.38976692098257</v>
      </c>
      <c r="T1169">
        <v>44.090503688406699</v>
      </c>
      <c r="U1169">
        <v>0.22141155947625499</v>
      </c>
      <c r="V1169">
        <v>45.2849314015752</v>
      </c>
    </row>
    <row r="1170" spans="1:22" x14ac:dyDescent="0.25">
      <c r="A1170" t="str">
        <f t="shared" si="18"/>
        <v>Mongolia2025</v>
      </c>
      <c r="B1170" t="s">
        <v>163</v>
      </c>
      <c r="C1170" t="s">
        <v>164</v>
      </c>
      <c r="D1170">
        <v>2025</v>
      </c>
      <c r="E1170">
        <v>4126.2397580052402</v>
      </c>
      <c r="F1170">
        <v>5.6368763869477201</v>
      </c>
      <c r="G1170">
        <v>7.3589465788815502</v>
      </c>
      <c r="H1170">
        <v>12</v>
      </c>
      <c r="I1170">
        <v>3.9539822005409202</v>
      </c>
      <c r="J1170">
        <v>5.2329999999999997</v>
      </c>
      <c r="K1170">
        <v>24.371887218863101</v>
      </c>
      <c r="L1170">
        <v>28.593024040559701</v>
      </c>
      <c r="M1170">
        <v>9.9722132566641495</v>
      </c>
      <c r="N1170">
        <v>53.5127010854887</v>
      </c>
      <c r="O1170">
        <v>35.591845156927</v>
      </c>
      <c r="P1170">
        <v>3.6339024877819401</v>
      </c>
      <c r="Q1170">
        <v>23.445575523213702</v>
      </c>
      <c r="R1170">
        <v>57.660349734099498</v>
      </c>
      <c r="S1170">
        <v>1.70191163868245</v>
      </c>
      <c r="T1170">
        <v>45.112672035852597</v>
      </c>
      <c r="U1170">
        <v>0.132761215771451</v>
      </c>
      <c r="V1170">
        <v>43.585873960909602</v>
      </c>
    </row>
    <row r="1171" spans="1:22" x14ac:dyDescent="0.25">
      <c r="A1171" t="str">
        <f t="shared" si="18"/>
        <v>Morocco2010</v>
      </c>
      <c r="B1171" t="s">
        <v>165</v>
      </c>
      <c r="C1171" t="s">
        <v>166</v>
      </c>
      <c r="D1171">
        <v>2010</v>
      </c>
      <c r="E1171">
        <v>3067.9853515625</v>
      </c>
      <c r="F1171">
        <v>3.4995570940321601</v>
      </c>
      <c r="G1171">
        <v>0.99355740122639202</v>
      </c>
      <c r="H1171">
        <v>9</v>
      </c>
      <c r="I1171">
        <v>5.162106754161</v>
      </c>
      <c r="J1171">
        <v>9.09</v>
      </c>
      <c r="K1171">
        <v>25.028144803024201</v>
      </c>
      <c r="L1171">
        <v>24.560756520108502</v>
      </c>
      <c r="M1171">
        <v>0.64750104746296699</v>
      </c>
      <c r="N1171">
        <v>52.362189999269297</v>
      </c>
      <c r="O1171">
        <v>31.490716637477401</v>
      </c>
      <c r="P1171">
        <v>7.27489844884877</v>
      </c>
      <c r="Q1171">
        <v>35.044102995241502</v>
      </c>
      <c r="R1171">
        <v>29.788948680228401</v>
      </c>
      <c r="S1171">
        <v>-3.9322696122225098</v>
      </c>
      <c r="T1171">
        <v>45.2755172941716</v>
      </c>
      <c r="U1171">
        <v>-0.34585624121486003</v>
      </c>
      <c r="V1171">
        <v>34.412773016903301</v>
      </c>
    </row>
    <row r="1172" spans="1:22" x14ac:dyDescent="0.25">
      <c r="A1172" t="str">
        <f t="shared" si="18"/>
        <v>Morocco2011</v>
      </c>
      <c r="B1172" t="s">
        <v>165</v>
      </c>
      <c r="C1172" t="s">
        <v>166</v>
      </c>
      <c r="D1172">
        <v>2011</v>
      </c>
      <c r="E1172">
        <v>3301.98876953125</v>
      </c>
      <c r="F1172">
        <v>5.5246452331984699</v>
      </c>
      <c r="G1172">
        <v>0.90692490969179995</v>
      </c>
      <c r="H1172">
        <v>9</v>
      </c>
      <c r="I1172">
        <v>5.26097499930688</v>
      </c>
      <c r="J1172">
        <v>8.91</v>
      </c>
      <c r="K1172">
        <v>27.063999229754199</v>
      </c>
      <c r="L1172">
        <v>24.899028027924299</v>
      </c>
      <c r="M1172">
        <v>-0.59884490717114103</v>
      </c>
      <c r="N1172">
        <v>52.061043619468698</v>
      </c>
      <c r="O1172">
        <v>32.946243692269398</v>
      </c>
      <c r="P1172">
        <v>4.9628990319259003</v>
      </c>
      <c r="Q1172">
        <v>33.7600402979309</v>
      </c>
      <c r="R1172">
        <v>31.954484264697602</v>
      </c>
      <c r="S1172">
        <v>-6.0753401134424996</v>
      </c>
      <c r="T1172">
        <v>48.554829419333899</v>
      </c>
      <c r="U1172">
        <v>-0.43761561802279197</v>
      </c>
      <c r="V1172">
        <v>32.654128375484902</v>
      </c>
    </row>
    <row r="1173" spans="1:22" x14ac:dyDescent="0.25">
      <c r="A1173" t="str">
        <f t="shared" si="18"/>
        <v>Morocco2012</v>
      </c>
      <c r="B1173" t="s">
        <v>165</v>
      </c>
      <c r="C1173" t="s">
        <v>166</v>
      </c>
      <c r="D1173">
        <v>2012</v>
      </c>
      <c r="E1173">
        <v>3164.17724609375</v>
      </c>
      <c r="F1173">
        <v>3.0623436850299699</v>
      </c>
      <c r="G1173">
        <v>1.28712240079219</v>
      </c>
      <c r="H1173">
        <v>9</v>
      </c>
      <c r="I1173">
        <v>5.3739200179378104</v>
      </c>
      <c r="J1173">
        <v>8.99</v>
      </c>
      <c r="K1173">
        <v>27.368720415520599</v>
      </c>
      <c r="L1173">
        <v>25.716076470804602</v>
      </c>
      <c r="M1173">
        <v>0.53317246192638401</v>
      </c>
      <c r="N1173">
        <v>51.7973785639985</v>
      </c>
      <c r="O1173">
        <v>32.179354430215803</v>
      </c>
      <c r="P1173">
        <v>4.1203743521604004</v>
      </c>
      <c r="Q1173">
        <v>31.312863881476499</v>
      </c>
      <c r="R1173">
        <v>32.097096145113603</v>
      </c>
      <c r="S1173">
        <v>-6.6317595696543501</v>
      </c>
      <c r="T1173">
        <v>52.282033984751301</v>
      </c>
      <c r="U1173">
        <v>-0.50176274815778699</v>
      </c>
      <c r="V1173">
        <v>31.424695367124201</v>
      </c>
    </row>
    <row r="1174" spans="1:22" x14ac:dyDescent="0.25">
      <c r="A1174" t="str">
        <f t="shared" si="18"/>
        <v>Morocco2013</v>
      </c>
      <c r="B1174" t="s">
        <v>165</v>
      </c>
      <c r="C1174" t="s">
        <v>166</v>
      </c>
      <c r="D1174">
        <v>2013</v>
      </c>
      <c r="E1174">
        <v>3379.7431640625</v>
      </c>
      <c r="F1174">
        <v>4.1222128686094397</v>
      </c>
      <c r="G1174">
        <v>1.8806546672408599</v>
      </c>
      <c r="H1174">
        <v>9</v>
      </c>
      <c r="I1174">
        <v>5.49610979729795</v>
      </c>
      <c r="J1174">
        <v>9.23</v>
      </c>
      <c r="K1174">
        <v>25.698716149995299</v>
      </c>
      <c r="L1174">
        <v>25.071893254490899</v>
      </c>
      <c r="M1174">
        <v>1.2602624825603499</v>
      </c>
      <c r="N1174">
        <v>51.533626962241399</v>
      </c>
      <c r="O1174">
        <v>32.004620092372299</v>
      </c>
      <c r="P1174">
        <v>4.5416841671133197</v>
      </c>
      <c r="Q1174">
        <v>32.645821242644203</v>
      </c>
      <c r="R1174">
        <v>30.2532656391617</v>
      </c>
      <c r="S1174">
        <v>-4.7017527249975304</v>
      </c>
      <c r="T1174">
        <v>57.076092057167301</v>
      </c>
      <c r="U1174">
        <v>-0.427504054793588</v>
      </c>
      <c r="V1174">
        <v>32.847924880082203</v>
      </c>
    </row>
    <row r="1175" spans="1:22" x14ac:dyDescent="0.25">
      <c r="A1175" t="str">
        <f t="shared" si="18"/>
        <v>Morocco2014</v>
      </c>
      <c r="B1175" t="s">
        <v>165</v>
      </c>
      <c r="C1175" t="s">
        <v>166</v>
      </c>
      <c r="D1175">
        <v>2014</v>
      </c>
      <c r="E1175">
        <v>3435.40698242188</v>
      </c>
      <c r="F1175">
        <v>2.7192440802029001</v>
      </c>
      <c r="G1175">
        <v>0.442310053557048</v>
      </c>
      <c r="H1175">
        <v>9</v>
      </c>
      <c r="I1175">
        <v>5.6354360413953799</v>
      </c>
      <c r="J1175">
        <v>9.6999999999999993</v>
      </c>
      <c r="K1175">
        <v>25.4170336330975</v>
      </c>
      <c r="L1175">
        <v>24.515167446532701</v>
      </c>
      <c r="M1175">
        <v>0.21543776242867799</v>
      </c>
      <c r="N1175">
        <v>51.332274597847501</v>
      </c>
      <c r="O1175">
        <v>30.774254234343299</v>
      </c>
      <c r="P1175">
        <v>4.5775526883533404</v>
      </c>
      <c r="Q1175">
        <v>25.317806903448702</v>
      </c>
      <c r="R1175">
        <v>30.132986637429202</v>
      </c>
      <c r="S1175">
        <v>-4.7796503883353596</v>
      </c>
      <c r="T1175">
        <v>58.563928048617299</v>
      </c>
      <c r="U1175">
        <v>-0.51048640916750099</v>
      </c>
      <c r="V1175">
        <v>31.257499160894501</v>
      </c>
    </row>
    <row r="1176" spans="1:22" x14ac:dyDescent="0.25">
      <c r="A1176" t="str">
        <f t="shared" si="18"/>
        <v>Morocco2015</v>
      </c>
      <c r="B1176" t="s">
        <v>165</v>
      </c>
      <c r="C1176" t="s">
        <v>166</v>
      </c>
      <c r="D1176">
        <v>2015</v>
      </c>
      <c r="E1176">
        <v>3146.24780273438</v>
      </c>
      <c r="F1176">
        <v>4.3445829763523802</v>
      </c>
      <c r="G1176">
        <v>1.5579071134625999</v>
      </c>
      <c r="H1176">
        <v>9</v>
      </c>
      <c r="I1176">
        <v>5.8021378750501498</v>
      </c>
      <c r="J1176">
        <v>9.4600000000000009</v>
      </c>
      <c r="K1176">
        <v>23.0606083372986</v>
      </c>
      <c r="L1176">
        <v>23.691112112855802</v>
      </c>
      <c r="M1176">
        <v>3.1729353096712498</v>
      </c>
      <c r="N1176">
        <v>51.215660270364999</v>
      </c>
      <c r="O1176">
        <v>30.177188232467799</v>
      </c>
      <c r="P1176">
        <v>6.2579510518885098</v>
      </c>
      <c r="Q1176">
        <v>28.2585975133406</v>
      </c>
      <c r="R1176">
        <v>29.995853889969499</v>
      </c>
      <c r="S1176">
        <v>-4.5930742477300699</v>
      </c>
      <c r="T1176">
        <v>58.394295991444302</v>
      </c>
      <c r="U1176">
        <v>-0.458892149079284</v>
      </c>
      <c r="V1176">
        <v>32.246345992559696</v>
      </c>
    </row>
    <row r="1177" spans="1:22" x14ac:dyDescent="0.25">
      <c r="A1177" t="str">
        <f t="shared" si="18"/>
        <v>Morocco2016</v>
      </c>
      <c r="B1177" t="s">
        <v>165</v>
      </c>
      <c r="C1177" t="s">
        <v>166</v>
      </c>
      <c r="D1177">
        <v>2016</v>
      </c>
      <c r="E1177">
        <v>3140.85546875</v>
      </c>
      <c r="F1177">
        <v>0.52118550608967995</v>
      </c>
      <c r="G1177">
        <v>1.63531114327064</v>
      </c>
      <c r="H1177">
        <v>9</v>
      </c>
      <c r="I1177">
        <v>5.9955445575297697</v>
      </c>
      <c r="J1177">
        <v>9.3000000000000007</v>
      </c>
      <c r="K1177">
        <v>22.768587387331401</v>
      </c>
      <c r="L1177">
        <v>23.328554721457401</v>
      </c>
      <c r="M1177">
        <v>0.969883868049919</v>
      </c>
      <c r="N1177">
        <v>51.143200001967898</v>
      </c>
      <c r="O1177">
        <v>31.9579912798641</v>
      </c>
      <c r="P1177">
        <v>6.3378519989835498</v>
      </c>
      <c r="Q1177">
        <v>28.2698940113082</v>
      </c>
      <c r="R1177">
        <v>30.734595142421899</v>
      </c>
      <c r="S1177">
        <v>-4.48554000299566</v>
      </c>
      <c r="T1177">
        <v>60.084313533756898</v>
      </c>
      <c r="U1177">
        <v>-0.51140223518399097</v>
      </c>
      <c r="V1177">
        <v>31.239946594907298</v>
      </c>
    </row>
    <row r="1178" spans="1:22" x14ac:dyDescent="0.25">
      <c r="A1178" t="str">
        <f t="shared" si="18"/>
        <v>Morocco2017</v>
      </c>
      <c r="B1178" t="s">
        <v>165</v>
      </c>
      <c r="C1178" t="s">
        <v>166</v>
      </c>
      <c r="D1178">
        <v>2017</v>
      </c>
      <c r="E1178">
        <v>3296.52661132813</v>
      </c>
      <c r="F1178">
        <v>5.0578981617344603</v>
      </c>
      <c r="G1178">
        <v>0.75466324932361895</v>
      </c>
      <c r="H1178">
        <v>9</v>
      </c>
      <c r="I1178">
        <v>6.2154294857428702</v>
      </c>
      <c r="J1178">
        <v>9.2200000000000006</v>
      </c>
      <c r="K1178">
        <v>22.679271229823101</v>
      </c>
      <c r="L1178">
        <v>23.367594164133202</v>
      </c>
      <c r="M1178">
        <v>-6.0891014293190403E-2</v>
      </c>
      <c r="N1178">
        <v>51.155618070840603</v>
      </c>
      <c r="O1178">
        <v>31.658071451264</v>
      </c>
      <c r="P1178">
        <v>6.0252930511811797</v>
      </c>
      <c r="Q1178">
        <v>28.5919840470326</v>
      </c>
      <c r="R1178">
        <v>32.606460990778103</v>
      </c>
      <c r="S1178">
        <v>-3.3034872638491701</v>
      </c>
      <c r="T1178">
        <v>60.260685267147998</v>
      </c>
      <c r="U1178">
        <v>-0.39394412114518401</v>
      </c>
      <c r="V1178">
        <v>33.4911288722002</v>
      </c>
    </row>
    <row r="1179" spans="1:22" x14ac:dyDescent="0.25">
      <c r="A1179" t="str">
        <f t="shared" si="18"/>
        <v>Morocco2018</v>
      </c>
      <c r="B1179" t="s">
        <v>165</v>
      </c>
      <c r="C1179" t="s">
        <v>166</v>
      </c>
      <c r="D1179">
        <v>2018</v>
      </c>
      <c r="E1179">
        <v>3501.69799804688</v>
      </c>
      <c r="F1179">
        <v>3.0656413302595502</v>
      </c>
      <c r="G1179">
        <v>1.80391671141896</v>
      </c>
      <c r="H1179">
        <v>9</v>
      </c>
      <c r="I1179">
        <v>6.45847935365639</v>
      </c>
      <c r="J1179">
        <v>9.2720000000000002</v>
      </c>
      <c r="K1179">
        <v>22.8575069212215</v>
      </c>
      <c r="L1179">
        <v>23.878213274856801</v>
      </c>
      <c r="M1179">
        <v>0.93918163753197303</v>
      </c>
      <c r="N1179">
        <v>51.266508851534702</v>
      </c>
      <c r="O1179">
        <v>32.139567299205098</v>
      </c>
      <c r="P1179">
        <v>5.0450563823477097</v>
      </c>
      <c r="Q1179">
        <v>27.320563060223201</v>
      </c>
      <c r="R1179">
        <v>33.828437372671701</v>
      </c>
      <c r="S1179">
        <v>-3.5214990834453701</v>
      </c>
      <c r="T1179">
        <v>60.458302411990203</v>
      </c>
      <c r="U1179">
        <v>-0.43135121671471599</v>
      </c>
      <c r="V1179">
        <v>32.774190827687498</v>
      </c>
    </row>
    <row r="1180" spans="1:22" x14ac:dyDescent="0.25">
      <c r="A1180" t="str">
        <f t="shared" si="18"/>
        <v>Morocco2019</v>
      </c>
      <c r="B1180" t="s">
        <v>165</v>
      </c>
      <c r="C1180" t="s">
        <v>166</v>
      </c>
      <c r="D1180">
        <v>2019</v>
      </c>
      <c r="E1180">
        <v>3508.09765625</v>
      </c>
      <c r="F1180">
        <v>2.8909747613707699</v>
      </c>
      <c r="G1180">
        <v>0.30338603659038299</v>
      </c>
      <c r="H1180">
        <v>9</v>
      </c>
      <c r="I1180">
        <v>6.7202020231588797</v>
      </c>
      <c r="J1180">
        <v>9.1910000000000007</v>
      </c>
      <c r="K1180">
        <v>23.387677886430101</v>
      </c>
      <c r="L1180">
        <v>23.683448536741999</v>
      </c>
      <c r="M1180">
        <v>0.81680545648528402</v>
      </c>
      <c r="N1180">
        <v>51.4045655561766</v>
      </c>
      <c r="O1180">
        <v>30.594933523466</v>
      </c>
      <c r="P1180">
        <v>5.58422656502833</v>
      </c>
      <c r="Q1180">
        <v>27.230559607570601</v>
      </c>
      <c r="R1180">
        <v>34.093057468890997</v>
      </c>
      <c r="S1180">
        <v>-3.8036360454124498</v>
      </c>
      <c r="T1180">
        <v>60.270471255875698</v>
      </c>
      <c r="U1180">
        <v>-0.41543917865768198</v>
      </c>
      <c r="V1180">
        <v>33.079158248310002</v>
      </c>
    </row>
    <row r="1181" spans="1:22" x14ac:dyDescent="0.25">
      <c r="A1181" t="str">
        <f t="shared" si="18"/>
        <v>Morocco2020</v>
      </c>
      <c r="B1181" t="s">
        <v>165</v>
      </c>
      <c r="C1181" t="s">
        <v>166</v>
      </c>
      <c r="D1181">
        <v>2020</v>
      </c>
      <c r="E1181">
        <v>3268.0302734375</v>
      </c>
      <c r="F1181">
        <v>-7.1782074424677402</v>
      </c>
      <c r="G1181">
        <v>0.70596866133826097</v>
      </c>
      <c r="H1181">
        <v>9</v>
      </c>
      <c r="I1181">
        <v>6.9705212697238101</v>
      </c>
      <c r="J1181">
        <v>11.189</v>
      </c>
      <c r="K1181">
        <v>27.2102123069577</v>
      </c>
      <c r="L1181">
        <v>26.564914363286299</v>
      </c>
      <c r="M1181">
        <v>0.14241796207909399</v>
      </c>
      <c r="N1181">
        <v>51.445532015848002</v>
      </c>
      <c r="O1181">
        <v>28.776973423330801</v>
      </c>
      <c r="P1181">
        <v>8.9354144570374991</v>
      </c>
      <c r="Q1181">
        <v>27.6958519418252</v>
      </c>
      <c r="R1181">
        <v>30.7941069539783</v>
      </c>
      <c r="S1181">
        <v>-7.1470874560233604</v>
      </c>
      <c r="T1181">
        <v>72.244502715019294</v>
      </c>
      <c r="U1181">
        <v>-0.62822128066870997</v>
      </c>
      <c r="V1181">
        <v>29.001012597051801</v>
      </c>
    </row>
    <row r="1182" spans="1:22" x14ac:dyDescent="0.25">
      <c r="A1182" t="str">
        <f t="shared" si="18"/>
        <v>Morocco2021</v>
      </c>
      <c r="B1182" t="s">
        <v>165</v>
      </c>
      <c r="C1182" t="s">
        <v>166</v>
      </c>
      <c r="D1182">
        <v>2021</v>
      </c>
      <c r="E1182">
        <v>3785.93627929688</v>
      </c>
      <c r="F1182">
        <v>8.1547388982368094</v>
      </c>
      <c r="G1182">
        <v>1.40195883962006</v>
      </c>
      <c r="H1182">
        <v>9</v>
      </c>
      <c r="I1182">
        <v>7.2184162973098598</v>
      </c>
      <c r="J1182">
        <v>10.551</v>
      </c>
      <c r="K1182">
        <v>25.630847248727601</v>
      </c>
      <c r="L1182">
        <v>24.2112248579969</v>
      </c>
      <c r="M1182">
        <v>2.4152035566496299</v>
      </c>
      <c r="N1182">
        <v>51.390703663390802</v>
      </c>
      <c r="O1182">
        <v>30.6763551818437</v>
      </c>
      <c r="P1182">
        <v>6.7712924140997997</v>
      </c>
      <c r="Q1182">
        <v>28.365394227686298</v>
      </c>
      <c r="R1182">
        <v>33.136084940578698</v>
      </c>
      <c r="S1182">
        <v>-5.92441051255825</v>
      </c>
      <c r="T1182">
        <v>69.350748846707901</v>
      </c>
      <c r="U1182">
        <v>-0.45275935734429501</v>
      </c>
      <c r="V1182">
        <v>32.363886038022798</v>
      </c>
    </row>
    <row r="1183" spans="1:22" x14ac:dyDescent="0.25">
      <c r="A1183" t="str">
        <f t="shared" si="18"/>
        <v>Morocco2022</v>
      </c>
      <c r="B1183" t="s">
        <v>165</v>
      </c>
      <c r="C1183" t="s">
        <v>166</v>
      </c>
      <c r="D1183">
        <v>2022</v>
      </c>
      <c r="E1183">
        <v>3463.1376953125</v>
      </c>
      <c r="F1183">
        <v>1.81269242194809</v>
      </c>
      <c r="G1183">
        <v>6.6570420275906699</v>
      </c>
      <c r="H1183">
        <v>9</v>
      </c>
      <c r="I1183">
        <v>7.5098132650740999</v>
      </c>
      <c r="J1183">
        <v>9.4130000000000003</v>
      </c>
      <c r="K1183">
        <v>28.144875048627298</v>
      </c>
      <c r="L1183">
        <v>26.8278450298459</v>
      </c>
      <c r="M1183">
        <v>2.60335130813709</v>
      </c>
      <c r="N1183">
        <v>51.318236586415097</v>
      </c>
      <c r="O1183">
        <v>30.460301498493902</v>
      </c>
      <c r="P1183">
        <v>5.0621213332944697</v>
      </c>
      <c r="Q1183">
        <v>26.907811598674002</v>
      </c>
      <c r="R1183">
        <v>44.711628231345301</v>
      </c>
      <c r="S1183">
        <v>-5.3656212805281998</v>
      </c>
      <c r="T1183">
        <v>71.3724907932951</v>
      </c>
      <c r="U1183">
        <v>-0.396339051261762</v>
      </c>
      <c r="V1183">
        <v>33.445228048081603</v>
      </c>
    </row>
    <row r="1184" spans="1:22" x14ac:dyDescent="0.25">
      <c r="A1184" t="str">
        <f t="shared" si="18"/>
        <v>Morocco2023</v>
      </c>
      <c r="B1184" t="s">
        <v>165</v>
      </c>
      <c r="C1184" t="s">
        <v>166</v>
      </c>
      <c r="D1184">
        <v>2023</v>
      </c>
      <c r="E1184">
        <v>3813.72607421875</v>
      </c>
      <c r="F1184">
        <v>3.6556441101793098</v>
      </c>
      <c r="G1184">
        <v>6.0911415250414098</v>
      </c>
      <c r="H1184">
        <v>9</v>
      </c>
      <c r="I1184">
        <v>7.8257410903889797</v>
      </c>
      <c r="J1184">
        <v>8.8960000000000008</v>
      </c>
      <c r="K1184">
        <v>26.611138142932401</v>
      </c>
      <c r="L1184">
        <v>26.1522312520082</v>
      </c>
      <c r="M1184">
        <v>7.0516801902699298</v>
      </c>
      <c r="N1184">
        <v>51.1965827591372</v>
      </c>
      <c r="O1184">
        <v>28.998359872493101</v>
      </c>
      <c r="P1184">
        <v>5.63476498950227</v>
      </c>
      <c r="Q1184">
        <v>28.0220415552762</v>
      </c>
      <c r="R1184">
        <v>42.417603359456898</v>
      </c>
      <c r="S1184">
        <v>-4.4062396285274001</v>
      </c>
      <c r="T1184">
        <v>68.7045155203907</v>
      </c>
      <c r="U1184">
        <v>-0.30566617847402</v>
      </c>
      <c r="V1184">
        <v>35.183048937863298</v>
      </c>
    </row>
    <row r="1185" spans="1:22" x14ac:dyDescent="0.25">
      <c r="A1185" t="str">
        <f t="shared" si="18"/>
        <v>Morocco2024</v>
      </c>
      <c r="B1185" t="s">
        <v>165</v>
      </c>
      <c r="C1185" t="s">
        <v>166</v>
      </c>
      <c r="D1185">
        <v>2024</v>
      </c>
      <c r="E1185">
        <v>4153.1943359375</v>
      </c>
      <c r="F1185">
        <v>3.7933651597896301</v>
      </c>
      <c r="G1185">
        <v>0.98525659200450699</v>
      </c>
      <c r="H1185">
        <v>9</v>
      </c>
      <c r="I1185">
        <v>8.1386529243728898</v>
      </c>
      <c r="J1185">
        <v>9.1029999999999998</v>
      </c>
      <c r="K1185">
        <v>25.523940440912501</v>
      </c>
      <c r="L1185">
        <v>24.537961983320599</v>
      </c>
      <c r="M1185">
        <v>3.9653201312126898</v>
      </c>
      <c r="N1185">
        <v>50.992535219074803</v>
      </c>
      <c r="O1185">
        <v>30.074355006484801</v>
      </c>
      <c r="P1185">
        <v>5.2712376071271603</v>
      </c>
      <c r="Q1185">
        <v>28.9907934432117</v>
      </c>
      <c r="R1185">
        <v>41.998523295668399</v>
      </c>
      <c r="S1185">
        <v>-3.9222215711420101</v>
      </c>
      <c r="T1185">
        <v>67.734699232652304</v>
      </c>
      <c r="U1185">
        <v>-0.30962810183080602</v>
      </c>
      <c r="V1185">
        <v>35.107115387271399</v>
      </c>
    </row>
    <row r="1186" spans="1:22" x14ac:dyDescent="0.25">
      <c r="A1186" t="str">
        <f t="shared" si="18"/>
        <v>Morocco2025</v>
      </c>
      <c r="B1186" t="s">
        <v>165</v>
      </c>
      <c r="C1186" t="s">
        <v>166</v>
      </c>
      <c r="D1186">
        <v>2025</v>
      </c>
      <c r="E1186">
        <v>3379.7431640625</v>
      </c>
      <c r="F1186">
        <v>3.4995570940321601</v>
      </c>
      <c r="G1186">
        <v>1.28712240079219</v>
      </c>
      <c r="H1186">
        <v>9</v>
      </c>
      <c r="I1186">
        <v>6.2154294857428702</v>
      </c>
      <c r="J1186">
        <v>9</v>
      </c>
      <c r="K1186">
        <v>25.523940440912501</v>
      </c>
      <c r="L1186">
        <v>24.537961983320599</v>
      </c>
      <c r="M1186">
        <v>0.93918163753197303</v>
      </c>
      <c r="N1186">
        <v>51.332274597847501</v>
      </c>
      <c r="O1186">
        <v>30.774254234343299</v>
      </c>
      <c r="P1186">
        <v>5.58422656502833</v>
      </c>
      <c r="Q1186">
        <v>28.2698940113082</v>
      </c>
      <c r="R1186">
        <v>32.097096145113603</v>
      </c>
      <c r="S1186">
        <v>-3.54379071602246</v>
      </c>
      <c r="T1186">
        <v>67.065919196846707</v>
      </c>
      <c r="U1186">
        <v>-0.39869121719547701</v>
      </c>
      <c r="V1186">
        <v>33.400146835033297</v>
      </c>
    </row>
    <row r="1187" spans="1:22" x14ac:dyDescent="0.25">
      <c r="A1187" t="str">
        <f t="shared" si="18"/>
        <v>Namibia2010</v>
      </c>
      <c r="B1187" t="s">
        <v>167</v>
      </c>
      <c r="C1187" t="s">
        <v>168</v>
      </c>
      <c r="D1187">
        <v>2010</v>
      </c>
      <c r="E1187">
        <v>5418.2163336581398</v>
      </c>
      <c r="F1187">
        <v>6.0392494795585803</v>
      </c>
      <c r="G1187">
        <v>4.8749198764394999</v>
      </c>
      <c r="H1187">
        <v>7</v>
      </c>
      <c r="I1187">
        <v>3.4183875755666202</v>
      </c>
      <c r="J1187">
        <v>22.12</v>
      </c>
      <c r="K1187">
        <v>28.1021144356645</v>
      </c>
      <c r="L1187">
        <v>27.8618459649058</v>
      </c>
      <c r="M1187">
        <v>3.7258984989110102</v>
      </c>
      <c r="N1187">
        <v>67.340211549565694</v>
      </c>
      <c r="O1187">
        <v>23.779998959342599</v>
      </c>
      <c r="P1187">
        <v>3.12254907635517</v>
      </c>
      <c r="Q1187">
        <v>18.5704922099493</v>
      </c>
      <c r="R1187">
        <v>48.281954478563698</v>
      </c>
      <c r="S1187">
        <v>-4.9809345309081099</v>
      </c>
      <c r="T1187">
        <v>16.328159213530199</v>
      </c>
      <c r="U1187">
        <v>-0.76162491082091599</v>
      </c>
      <c r="V1187">
        <v>26.444221264390301</v>
      </c>
    </row>
    <row r="1188" spans="1:22" x14ac:dyDescent="0.25">
      <c r="A1188" t="str">
        <f t="shared" si="18"/>
        <v>Namibia2011</v>
      </c>
      <c r="B1188" t="s">
        <v>167</v>
      </c>
      <c r="C1188" t="s">
        <v>168</v>
      </c>
      <c r="D1188">
        <v>2011</v>
      </c>
      <c r="E1188">
        <v>5834.7917675793997</v>
      </c>
      <c r="F1188">
        <v>5.0913381386433798</v>
      </c>
      <c r="G1188">
        <v>5.0055951808119996</v>
      </c>
      <c r="H1188">
        <v>7</v>
      </c>
      <c r="I1188">
        <v>3.46394418366277</v>
      </c>
      <c r="J1188">
        <v>19.481000000000002</v>
      </c>
      <c r="K1188">
        <v>34.197639718798499</v>
      </c>
      <c r="L1188">
        <v>32.529309615366998</v>
      </c>
      <c r="M1188">
        <v>3.8148763624349602</v>
      </c>
      <c r="N1188">
        <v>67.071490510432994</v>
      </c>
      <c r="O1188">
        <v>22.0540088688971</v>
      </c>
      <c r="P1188">
        <v>3.2076039819916602</v>
      </c>
      <c r="Q1188">
        <v>14.768088775778899</v>
      </c>
      <c r="R1188">
        <v>45.539781920832802</v>
      </c>
      <c r="S1188">
        <v>-7.0869655682475896</v>
      </c>
      <c r="T1188">
        <v>27.449614810138101</v>
      </c>
      <c r="U1188">
        <v>-0.75031838428407505</v>
      </c>
      <c r="V1188">
        <v>26.6609202329185</v>
      </c>
    </row>
    <row r="1189" spans="1:22" x14ac:dyDescent="0.25">
      <c r="A1189" t="str">
        <f t="shared" si="18"/>
        <v>Namibia2012</v>
      </c>
      <c r="B1189" t="s">
        <v>167</v>
      </c>
      <c r="C1189" t="s">
        <v>168</v>
      </c>
      <c r="D1189">
        <v>2012</v>
      </c>
      <c r="E1189">
        <v>5942.64680978673</v>
      </c>
      <c r="F1189">
        <v>5.0616820696264</v>
      </c>
      <c r="G1189">
        <v>6.7219977733488596</v>
      </c>
      <c r="H1189">
        <v>7</v>
      </c>
      <c r="I1189">
        <v>3.4904363056773402</v>
      </c>
      <c r="J1189">
        <v>16.771000000000001</v>
      </c>
      <c r="K1189">
        <v>31.6880904419274</v>
      </c>
      <c r="L1189">
        <v>35.395273398438398</v>
      </c>
      <c r="M1189">
        <v>11.2603084734349</v>
      </c>
      <c r="N1189">
        <v>67.027386167489098</v>
      </c>
      <c r="O1189">
        <v>26.722668959670699</v>
      </c>
      <c r="P1189">
        <v>2.6343185919347198</v>
      </c>
      <c r="Q1189">
        <v>14.972869534217701</v>
      </c>
      <c r="R1189">
        <v>40.058338011921997</v>
      </c>
      <c r="S1189">
        <v>-3.1017097067234198</v>
      </c>
      <c r="T1189">
        <v>24.627843229163599</v>
      </c>
      <c r="U1189">
        <v>-0.56415020810601202</v>
      </c>
      <c r="V1189">
        <v>30.228987898891202</v>
      </c>
    </row>
    <row r="1190" spans="1:22" x14ac:dyDescent="0.25">
      <c r="A1190" t="str">
        <f t="shared" si="18"/>
        <v>Namibia2013</v>
      </c>
      <c r="B1190" t="s">
        <v>167</v>
      </c>
      <c r="C1190" t="s">
        <v>168</v>
      </c>
      <c r="D1190">
        <v>2013</v>
      </c>
      <c r="E1190">
        <v>5346.6213114996699</v>
      </c>
      <c r="F1190">
        <v>5.6147196225448504</v>
      </c>
      <c r="G1190">
        <v>5.6009250229040104</v>
      </c>
      <c r="H1190">
        <v>7</v>
      </c>
      <c r="I1190">
        <v>3.5017197501007198</v>
      </c>
      <c r="J1190">
        <v>19.027999999999999</v>
      </c>
      <c r="K1190">
        <v>35.448430357802103</v>
      </c>
      <c r="L1190">
        <v>35.833824571169004</v>
      </c>
      <c r="M1190">
        <v>4.0397908935007498</v>
      </c>
      <c r="N1190">
        <v>66.967095183136905</v>
      </c>
      <c r="O1190">
        <v>29.395419757657098</v>
      </c>
      <c r="P1190">
        <v>2.5131845883255099</v>
      </c>
      <c r="Q1190">
        <v>19.1987084003357</v>
      </c>
      <c r="R1190">
        <v>37.5019849152538</v>
      </c>
      <c r="S1190">
        <v>-4.6898665976194804</v>
      </c>
      <c r="T1190">
        <v>26.113411365717901</v>
      </c>
      <c r="U1190">
        <v>-0.65633024680004604</v>
      </c>
      <c r="V1190">
        <v>28.462280923163501</v>
      </c>
    </row>
    <row r="1191" spans="1:22" x14ac:dyDescent="0.25">
      <c r="A1191" t="str">
        <f t="shared" si="18"/>
        <v>Namibia2014</v>
      </c>
      <c r="B1191" t="s">
        <v>167</v>
      </c>
      <c r="C1191" t="s">
        <v>168</v>
      </c>
      <c r="D1191">
        <v>2014</v>
      </c>
      <c r="E1191">
        <v>5378.3232624120501</v>
      </c>
      <c r="F1191">
        <v>6.0925191597795596</v>
      </c>
      <c r="G1191">
        <v>5.3501696685960196</v>
      </c>
      <c r="H1191">
        <v>7</v>
      </c>
      <c r="I1191">
        <v>3.5167010972742299</v>
      </c>
      <c r="J1191">
        <v>18.521000000000001</v>
      </c>
      <c r="K1191">
        <v>37.151927284192801</v>
      </c>
      <c r="L1191">
        <v>36.965877729967303</v>
      </c>
      <c r="M1191">
        <v>8.2348917986665207</v>
      </c>
      <c r="N1191">
        <v>66.847238598856094</v>
      </c>
      <c r="O1191">
        <v>34.7765509650404</v>
      </c>
      <c r="P1191">
        <v>1.74678929742964</v>
      </c>
      <c r="Q1191">
        <v>22.9385341406322</v>
      </c>
      <c r="R1191">
        <v>39.017085209177999</v>
      </c>
      <c r="S1191">
        <v>-6.4436623730235203</v>
      </c>
      <c r="T1191">
        <v>27.571620017075801</v>
      </c>
      <c r="U1191">
        <v>-0.71798630932684204</v>
      </c>
      <c r="V1191">
        <v>27.2805912937682</v>
      </c>
    </row>
    <row r="1192" spans="1:22" x14ac:dyDescent="0.25">
      <c r="A1192" t="str">
        <f t="shared" si="18"/>
        <v>Namibia2015</v>
      </c>
      <c r="B1192" t="s">
        <v>167</v>
      </c>
      <c r="C1192" t="s">
        <v>168</v>
      </c>
      <c r="D1192">
        <v>2015</v>
      </c>
      <c r="E1192">
        <v>4774.1065086577501</v>
      </c>
      <c r="F1192">
        <v>4.2641745376367499</v>
      </c>
      <c r="G1192">
        <v>3.39401538410559</v>
      </c>
      <c r="H1192">
        <v>7</v>
      </c>
      <c r="I1192">
        <v>3.5334211206294701</v>
      </c>
      <c r="J1192">
        <v>20.791</v>
      </c>
      <c r="K1192">
        <v>38.001067750554</v>
      </c>
      <c r="L1192">
        <v>35.655201254689601</v>
      </c>
      <c r="M1192">
        <v>3.8645743507766102</v>
      </c>
      <c r="N1192">
        <v>66.782922294176601</v>
      </c>
      <c r="O1192">
        <v>30.556439689194299</v>
      </c>
      <c r="P1192">
        <v>2.75104426276729</v>
      </c>
      <c r="Q1192">
        <v>16.289069043057399</v>
      </c>
      <c r="R1192">
        <v>35.370848409763703</v>
      </c>
      <c r="S1192">
        <v>-8.3010999479058096</v>
      </c>
      <c r="T1192">
        <v>42.090020835836597</v>
      </c>
      <c r="U1192">
        <v>-0.93508233545500496</v>
      </c>
      <c r="V1192">
        <v>23.119765705090899</v>
      </c>
    </row>
    <row r="1193" spans="1:22" x14ac:dyDescent="0.25">
      <c r="A1193" t="str">
        <f t="shared" si="18"/>
        <v>Namibia2016</v>
      </c>
      <c r="B1193" t="s">
        <v>167</v>
      </c>
      <c r="C1193" t="s">
        <v>168</v>
      </c>
      <c r="D1193">
        <v>2016</v>
      </c>
      <c r="E1193">
        <v>4395.6877616237598</v>
      </c>
      <c r="F1193">
        <v>3.3794450206329402E-2</v>
      </c>
      <c r="G1193">
        <v>6.72858234593338</v>
      </c>
      <c r="H1193">
        <v>7</v>
      </c>
      <c r="I1193">
        <v>3.5445244019279998</v>
      </c>
      <c r="J1193">
        <v>23.352</v>
      </c>
      <c r="K1193">
        <v>35.451578303747901</v>
      </c>
      <c r="L1193">
        <v>31.066224206780898</v>
      </c>
      <c r="M1193">
        <v>7.9686720122591197</v>
      </c>
      <c r="N1193">
        <v>66.912714156774697</v>
      </c>
      <c r="O1193">
        <v>22.029942825490402</v>
      </c>
      <c r="P1193">
        <v>3.22198799107636</v>
      </c>
      <c r="Q1193">
        <v>6.0444366894941997</v>
      </c>
      <c r="R1193">
        <v>35.009467418102297</v>
      </c>
      <c r="S1193">
        <v>-9.3031321582104596</v>
      </c>
      <c r="T1193">
        <v>45.832943493927502</v>
      </c>
      <c r="U1193">
        <v>-1.1635035083424501</v>
      </c>
      <c r="V1193">
        <v>18.7418842758625</v>
      </c>
    </row>
    <row r="1194" spans="1:22" x14ac:dyDescent="0.25">
      <c r="A1194" t="str">
        <f t="shared" si="18"/>
        <v>Namibia2017</v>
      </c>
      <c r="B1194" t="s">
        <v>167</v>
      </c>
      <c r="C1194" t="s">
        <v>168</v>
      </c>
      <c r="D1194">
        <v>2017</v>
      </c>
      <c r="E1194">
        <v>5143.9607232307599</v>
      </c>
      <c r="F1194">
        <v>-1.02724808856709</v>
      </c>
      <c r="G1194">
        <v>6.1457998111116403</v>
      </c>
      <c r="H1194">
        <v>7</v>
      </c>
      <c r="I1194">
        <v>3.5521229206499099</v>
      </c>
      <c r="J1194">
        <v>21.748000000000001</v>
      </c>
      <c r="K1194">
        <v>38.562099425489599</v>
      </c>
      <c r="L1194">
        <v>32.689692195843101</v>
      </c>
      <c r="M1194">
        <v>9.9190369890213095</v>
      </c>
      <c r="N1194">
        <v>67.276423984855498</v>
      </c>
      <c r="O1194">
        <v>17.766495616032302</v>
      </c>
      <c r="P1194">
        <v>4.3059812246178897</v>
      </c>
      <c r="Q1194">
        <v>13.1209778513124</v>
      </c>
      <c r="R1194">
        <v>33.620804077143198</v>
      </c>
      <c r="S1194">
        <v>-4.99398584143945</v>
      </c>
      <c r="T1194">
        <v>43.829307832086499</v>
      </c>
      <c r="U1194">
        <v>-0.79251070954597902</v>
      </c>
      <c r="V1194">
        <v>25.852269288327399</v>
      </c>
    </row>
    <row r="1195" spans="1:22" x14ac:dyDescent="0.25">
      <c r="A1195" t="str">
        <f t="shared" si="18"/>
        <v>Namibia2018</v>
      </c>
      <c r="B1195" t="s">
        <v>167</v>
      </c>
      <c r="C1195" t="s">
        <v>168</v>
      </c>
      <c r="D1195">
        <v>2018</v>
      </c>
      <c r="E1195">
        <v>5308.6081340870496</v>
      </c>
      <c r="F1195">
        <v>1.0599394986075199</v>
      </c>
      <c r="G1195">
        <v>4.2915910533787498</v>
      </c>
      <c r="H1195">
        <v>7</v>
      </c>
      <c r="I1195">
        <v>3.5604918507608598</v>
      </c>
      <c r="J1195">
        <v>19.876999999999999</v>
      </c>
      <c r="K1195">
        <v>35.099232874985397</v>
      </c>
      <c r="L1195">
        <v>30.731544448687899</v>
      </c>
      <c r="M1195">
        <v>4.4284889408110102</v>
      </c>
      <c r="N1195">
        <v>67.754491271302697</v>
      </c>
      <c r="O1195">
        <v>14.9163471003735</v>
      </c>
      <c r="P1195">
        <v>3.5806438095405202</v>
      </c>
      <c r="Q1195">
        <v>11.649116829625701</v>
      </c>
      <c r="R1195">
        <v>35.882564559570298</v>
      </c>
      <c r="S1195">
        <v>-5.0941055734241996</v>
      </c>
      <c r="T1195">
        <v>48.744461646759298</v>
      </c>
      <c r="U1195">
        <v>-0.78249710377304904</v>
      </c>
      <c r="V1195">
        <v>26.044188356944201</v>
      </c>
    </row>
    <row r="1196" spans="1:22" x14ac:dyDescent="0.25">
      <c r="A1196" t="str">
        <f t="shared" si="18"/>
        <v>Namibia2019</v>
      </c>
      <c r="B1196" t="s">
        <v>167</v>
      </c>
      <c r="C1196" t="s">
        <v>168</v>
      </c>
      <c r="D1196">
        <v>2019</v>
      </c>
      <c r="E1196">
        <v>4731.9210318831001</v>
      </c>
      <c r="F1196">
        <v>-0.83915216341935694</v>
      </c>
      <c r="G1196">
        <v>3.7223941442269499</v>
      </c>
      <c r="H1196">
        <v>7</v>
      </c>
      <c r="I1196">
        <v>3.5709940163995801</v>
      </c>
      <c r="J1196">
        <v>19.928999999999998</v>
      </c>
      <c r="K1196">
        <v>34.523974673911901</v>
      </c>
      <c r="L1196">
        <v>32.2396187199815</v>
      </c>
      <c r="M1196">
        <v>0.92631584416041302</v>
      </c>
      <c r="N1196">
        <v>68.1991512920047</v>
      </c>
      <c r="O1196">
        <v>15.329112710281301</v>
      </c>
      <c r="P1196">
        <v>3.8277502332137798</v>
      </c>
      <c r="Q1196">
        <v>13.2272298705435</v>
      </c>
      <c r="R1196">
        <v>36.400881861581802</v>
      </c>
      <c r="S1196">
        <v>-5.4914751203081904</v>
      </c>
      <c r="T1196">
        <v>57.568367978610397</v>
      </c>
      <c r="U1196">
        <v>-0.82137559328093501</v>
      </c>
      <c r="V1196">
        <v>25.2990498259513</v>
      </c>
    </row>
    <row r="1197" spans="1:22" x14ac:dyDescent="0.25">
      <c r="A1197" t="str">
        <f t="shared" si="18"/>
        <v>Namibia2020</v>
      </c>
      <c r="B1197" t="s">
        <v>167</v>
      </c>
      <c r="C1197" t="s">
        <v>168</v>
      </c>
      <c r="D1197">
        <v>2020</v>
      </c>
      <c r="E1197">
        <v>3878.5898299396599</v>
      </c>
      <c r="F1197">
        <v>-8.1014020144331909</v>
      </c>
      <c r="G1197">
        <v>2.2093823693346901</v>
      </c>
      <c r="H1197">
        <v>7</v>
      </c>
      <c r="I1197">
        <v>3.5752116848614302</v>
      </c>
      <c r="J1197">
        <v>21.003</v>
      </c>
      <c r="K1197">
        <v>40.315288713899299</v>
      </c>
      <c r="L1197">
        <v>33.0317167416936</v>
      </c>
      <c r="M1197">
        <v>4.6315306146880202</v>
      </c>
      <c r="N1197">
        <v>68.6758501750883</v>
      </c>
      <c r="O1197">
        <v>13.9292034235476</v>
      </c>
      <c r="P1197">
        <v>5.0404474486044997</v>
      </c>
      <c r="Q1197">
        <v>17.707463601145299</v>
      </c>
      <c r="R1197">
        <v>33.677868951742298</v>
      </c>
      <c r="S1197">
        <v>-8.0702978955064406</v>
      </c>
      <c r="T1197">
        <v>64.296723679000095</v>
      </c>
      <c r="U1197">
        <v>-0.95701074668988695</v>
      </c>
      <c r="V1197">
        <v>22.6994894973115</v>
      </c>
    </row>
    <row r="1198" spans="1:22" x14ac:dyDescent="0.25">
      <c r="A1198" t="str">
        <f t="shared" si="18"/>
        <v>Namibia2021</v>
      </c>
      <c r="B1198" t="s">
        <v>167</v>
      </c>
      <c r="C1198" t="s">
        <v>168</v>
      </c>
      <c r="D1198">
        <v>2021</v>
      </c>
      <c r="E1198">
        <v>4412.8355693051999</v>
      </c>
      <c r="F1198">
        <v>3.60382919248703</v>
      </c>
      <c r="G1198">
        <v>3.6169053010881398</v>
      </c>
      <c r="H1198">
        <v>7</v>
      </c>
      <c r="I1198">
        <v>3.5452878843001199</v>
      </c>
      <c r="J1198">
        <v>20.931000000000001</v>
      </c>
      <c r="K1198">
        <v>37.602991342138303</v>
      </c>
      <c r="L1198">
        <v>30.206766036628</v>
      </c>
      <c r="M1198">
        <v>1.5343303300027</v>
      </c>
      <c r="N1198">
        <v>69.204928020652204</v>
      </c>
      <c r="O1198">
        <v>17.512656838785901</v>
      </c>
      <c r="P1198">
        <v>4.5262079629238903</v>
      </c>
      <c r="Q1198">
        <v>4.4823601090395098</v>
      </c>
      <c r="R1198">
        <v>31.956410883298801</v>
      </c>
      <c r="S1198">
        <v>-8.68214472730536</v>
      </c>
      <c r="T1198">
        <v>69.603773295697806</v>
      </c>
      <c r="U1198">
        <v>-1.09153649676147</v>
      </c>
      <c r="V1198">
        <v>20.1211918047346</v>
      </c>
    </row>
    <row r="1199" spans="1:22" x14ac:dyDescent="0.25">
      <c r="A1199" t="str">
        <f t="shared" si="18"/>
        <v>Namibia2022</v>
      </c>
      <c r="B1199" t="s">
        <v>167</v>
      </c>
      <c r="C1199" t="s">
        <v>168</v>
      </c>
      <c r="D1199">
        <v>2022</v>
      </c>
      <c r="E1199">
        <v>4349.79908493314</v>
      </c>
      <c r="F1199">
        <v>5.3987247803654004</v>
      </c>
      <c r="G1199">
        <v>6.0812811411241299</v>
      </c>
      <c r="H1199">
        <v>7</v>
      </c>
      <c r="I1199">
        <v>3.52321421619307</v>
      </c>
      <c r="J1199">
        <v>19.614999999999998</v>
      </c>
      <c r="K1199">
        <v>35.717850296077103</v>
      </c>
      <c r="L1199">
        <v>31.289745742770801</v>
      </c>
      <c r="M1199">
        <v>6.4167445209003802</v>
      </c>
      <c r="N1199">
        <v>69.480350003196506</v>
      </c>
      <c r="O1199">
        <v>19.9742056445263</v>
      </c>
      <c r="P1199">
        <v>4.0504253581104104</v>
      </c>
      <c r="Q1199">
        <v>5.4706865995420699</v>
      </c>
      <c r="R1199">
        <v>40.458471829962498</v>
      </c>
      <c r="S1199">
        <v>-6.3304737319920799</v>
      </c>
      <c r="T1199">
        <v>70.052584201309799</v>
      </c>
      <c r="U1199">
        <v>-0.93000393361905798</v>
      </c>
      <c r="V1199">
        <v>23.217097492712501</v>
      </c>
    </row>
    <row r="1200" spans="1:22" x14ac:dyDescent="0.25">
      <c r="A1200" t="str">
        <f t="shared" si="18"/>
        <v>Namibia2023</v>
      </c>
      <c r="B1200" t="s">
        <v>167</v>
      </c>
      <c r="C1200" t="s">
        <v>168</v>
      </c>
      <c r="D1200">
        <v>2023</v>
      </c>
      <c r="E1200">
        <v>4187.60500396525</v>
      </c>
      <c r="F1200">
        <v>4.4428060030395597</v>
      </c>
      <c r="G1200">
        <v>5.8799346328427502</v>
      </c>
      <c r="H1200">
        <v>7</v>
      </c>
      <c r="I1200">
        <v>3.5711814842251099</v>
      </c>
      <c r="J1200">
        <v>19.154</v>
      </c>
      <c r="K1200">
        <v>36.495550360492203</v>
      </c>
      <c r="L1200">
        <v>35.548696789255501</v>
      </c>
      <c r="M1200">
        <v>6.5988782251115996</v>
      </c>
      <c r="N1200">
        <v>69.100327517832596</v>
      </c>
      <c r="O1200">
        <v>28.012498347824099</v>
      </c>
      <c r="P1200">
        <v>3.7277497974746301</v>
      </c>
      <c r="Q1200">
        <v>11.076070756789299</v>
      </c>
      <c r="R1200">
        <v>43.626768975943499</v>
      </c>
      <c r="S1200">
        <v>-3.1443049297789201</v>
      </c>
      <c r="T1200">
        <v>67.860054515715007</v>
      </c>
      <c r="U1200">
        <v>-0.74389162141693899</v>
      </c>
      <c r="V1200">
        <v>26.7840944792041</v>
      </c>
    </row>
    <row r="1201" spans="1:22" x14ac:dyDescent="0.25">
      <c r="A1201" t="str">
        <f t="shared" si="18"/>
        <v>Namibia2024</v>
      </c>
      <c r="B1201" t="s">
        <v>167</v>
      </c>
      <c r="C1201" t="s">
        <v>168</v>
      </c>
      <c r="D1201">
        <v>2024</v>
      </c>
      <c r="E1201">
        <v>4413.1275221157202</v>
      </c>
      <c r="F1201">
        <v>3.71154502416731</v>
      </c>
      <c r="G1201">
        <v>4.23903922877036</v>
      </c>
      <c r="H1201">
        <v>7</v>
      </c>
      <c r="I1201">
        <v>3.6729600139399898</v>
      </c>
      <c r="J1201">
        <v>19.157</v>
      </c>
      <c r="K1201">
        <v>35.584714299912498</v>
      </c>
      <c r="L1201">
        <v>32.609500905605003</v>
      </c>
      <c r="M1201">
        <v>3.2501529148958901</v>
      </c>
      <c r="N1201">
        <v>68.499656064251795</v>
      </c>
      <c r="O1201">
        <v>25.6134843991812</v>
      </c>
      <c r="P1201">
        <v>3.9576038388902299</v>
      </c>
      <c r="Q1201">
        <v>8.6444097300042806</v>
      </c>
      <c r="R1201">
        <v>41.6438674740671</v>
      </c>
      <c r="S1201">
        <v>-3.8432618373566698</v>
      </c>
      <c r="T1201">
        <v>69.836909491658204</v>
      </c>
      <c r="U1201">
        <v>-0.82616328313790299</v>
      </c>
      <c r="V1201">
        <v>25.207289774775798</v>
      </c>
    </row>
    <row r="1202" spans="1:22" x14ac:dyDescent="0.25">
      <c r="A1202" t="str">
        <f t="shared" si="18"/>
        <v>Namibia2025</v>
      </c>
      <c r="B1202" t="s">
        <v>167</v>
      </c>
      <c r="C1202" t="s">
        <v>168</v>
      </c>
      <c r="D1202">
        <v>2025</v>
      </c>
      <c r="E1202">
        <v>4774.1065086577501</v>
      </c>
      <c r="F1202">
        <v>4.2641745376367499</v>
      </c>
      <c r="G1202">
        <v>5.0055951808119996</v>
      </c>
      <c r="H1202">
        <v>7</v>
      </c>
      <c r="I1202">
        <v>3.5445244019279998</v>
      </c>
      <c r="J1202">
        <v>19.291</v>
      </c>
      <c r="K1202">
        <v>35.584714299912498</v>
      </c>
      <c r="L1202">
        <v>32.609500905605003</v>
      </c>
      <c r="M1202">
        <v>4.4284889408110102</v>
      </c>
      <c r="N1202">
        <v>67.340211549565694</v>
      </c>
      <c r="O1202">
        <v>22.0540088688971</v>
      </c>
      <c r="P1202">
        <v>3.5806438095405202</v>
      </c>
      <c r="Q1202">
        <v>13.2272298705435</v>
      </c>
      <c r="R1202">
        <v>37.5019849152538</v>
      </c>
      <c r="S1202">
        <v>-6.4613359785451099</v>
      </c>
      <c r="T1202">
        <v>70.247169913341494</v>
      </c>
      <c r="U1202">
        <v>-0.87752596684019901</v>
      </c>
      <c r="V1202">
        <v>24.222881296817398</v>
      </c>
    </row>
    <row r="1203" spans="1:22" x14ac:dyDescent="0.25">
      <c r="A1203" t="str">
        <f t="shared" si="18"/>
        <v>Nepal2010</v>
      </c>
      <c r="B1203" t="s">
        <v>169</v>
      </c>
      <c r="C1203" t="s">
        <v>170</v>
      </c>
      <c r="D1203">
        <v>2010</v>
      </c>
      <c r="E1203">
        <v>585.27849198457398</v>
      </c>
      <c r="F1203">
        <v>4.8164146469457298</v>
      </c>
      <c r="G1203">
        <v>9.3265041074539496</v>
      </c>
      <c r="H1203">
        <v>9</v>
      </c>
      <c r="I1203">
        <v>4.7304942834642096</v>
      </c>
      <c r="J1203">
        <v>10.563000000000001</v>
      </c>
      <c r="K1203">
        <v>15.635200884660501</v>
      </c>
      <c r="L1203">
        <v>14.898355765635401</v>
      </c>
      <c r="M1203">
        <v>15.146932449007201</v>
      </c>
      <c r="N1203">
        <v>68.723067326931101</v>
      </c>
      <c r="O1203">
        <v>38.271206448161998</v>
      </c>
      <c r="P1203">
        <v>6.0105221436367398</v>
      </c>
      <c r="Q1203">
        <v>37.7504833918806</v>
      </c>
      <c r="R1203">
        <v>9.5825361719822908</v>
      </c>
      <c r="S1203">
        <v>-0.67192636832203301</v>
      </c>
      <c r="T1203">
        <v>35.390928157838701</v>
      </c>
      <c r="U1203">
        <v>-0.70614035742846204</v>
      </c>
      <c r="V1203">
        <v>27.507628797218</v>
      </c>
    </row>
    <row r="1204" spans="1:22" x14ac:dyDescent="0.25">
      <c r="A1204" t="str">
        <f t="shared" si="18"/>
        <v>Nepal2011</v>
      </c>
      <c r="B1204" t="s">
        <v>169</v>
      </c>
      <c r="C1204" t="s">
        <v>170</v>
      </c>
      <c r="D1204">
        <v>2011</v>
      </c>
      <c r="E1204">
        <v>785.51865622213199</v>
      </c>
      <c r="F1204">
        <v>3.4218087011616198</v>
      </c>
      <c r="G1204">
        <v>9.2270754612596004</v>
      </c>
      <c r="H1204">
        <v>9</v>
      </c>
      <c r="I1204">
        <v>4.8610307548356797</v>
      </c>
      <c r="J1204">
        <v>10.627000000000001</v>
      </c>
      <c r="K1204">
        <v>13.937908243048501</v>
      </c>
      <c r="L1204">
        <v>13.0566910729399</v>
      </c>
      <c r="M1204">
        <v>26.397306664967498</v>
      </c>
      <c r="N1204">
        <v>67.110410327656197</v>
      </c>
      <c r="O1204">
        <v>27.810244478925402</v>
      </c>
      <c r="P1204">
        <v>6.74453820987915</v>
      </c>
      <c r="Q1204">
        <v>29.5161284665902</v>
      </c>
      <c r="R1204">
        <v>7.80613567987597</v>
      </c>
      <c r="S1204">
        <v>-0.71673848144783903</v>
      </c>
      <c r="T1204">
        <v>32.424614259899997</v>
      </c>
      <c r="U1204">
        <v>-0.69428160315638099</v>
      </c>
      <c r="V1204">
        <v>27.734911668789302</v>
      </c>
    </row>
    <row r="1205" spans="1:22" x14ac:dyDescent="0.25">
      <c r="A1205" t="str">
        <f t="shared" si="18"/>
        <v>Nepal2012</v>
      </c>
      <c r="B1205" t="s">
        <v>169</v>
      </c>
      <c r="C1205" t="s">
        <v>170</v>
      </c>
      <c r="D1205">
        <v>2012</v>
      </c>
      <c r="E1205">
        <v>788.20293714837703</v>
      </c>
      <c r="F1205">
        <v>4.6701419244695304</v>
      </c>
      <c r="G1205">
        <v>9.4598098035712503</v>
      </c>
      <c r="H1205">
        <v>9</v>
      </c>
      <c r="I1205">
        <v>5.0113519507868496</v>
      </c>
      <c r="J1205">
        <v>10.632</v>
      </c>
      <c r="K1205">
        <v>13.839335853068199</v>
      </c>
      <c r="L1205">
        <v>13.8909014659574</v>
      </c>
      <c r="M1205">
        <v>7.7411500296796998</v>
      </c>
      <c r="N1205">
        <v>65.884703780574398</v>
      </c>
      <c r="O1205">
        <v>28.602705240021201</v>
      </c>
      <c r="P1205">
        <v>7.6089263430932101</v>
      </c>
      <c r="Q1205">
        <v>34.555344559150399</v>
      </c>
      <c r="R1205">
        <v>8.7502912872157701</v>
      </c>
      <c r="S1205">
        <v>-1.17865419819479</v>
      </c>
      <c r="T1205">
        <v>34.514815555282901</v>
      </c>
      <c r="U1205">
        <v>-0.639552635743876</v>
      </c>
      <c r="V1205">
        <v>28.783837768972202</v>
      </c>
    </row>
    <row r="1206" spans="1:22" x14ac:dyDescent="0.25">
      <c r="A1206" t="str">
        <f t="shared" si="18"/>
        <v>Nepal2013</v>
      </c>
      <c r="B1206" t="s">
        <v>169</v>
      </c>
      <c r="C1206" t="s">
        <v>170</v>
      </c>
      <c r="D1206">
        <v>2013</v>
      </c>
      <c r="E1206">
        <v>803.269595420477</v>
      </c>
      <c r="F1206">
        <v>3.5251531712914899</v>
      </c>
      <c r="G1206">
        <v>9.0401631191764498</v>
      </c>
      <c r="H1206">
        <v>9</v>
      </c>
      <c r="I1206">
        <v>5.1797470358458897</v>
      </c>
      <c r="J1206">
        <v>10.666</v>
      </c>
      <c r="K1206">
        <v>12.690435415529199</v>
      </c>
      <c r="L1206">
        <v>15.168880160853901</v>
      </c>
      <c r="M1206">
        <v>7.08265099891379</v>
      </c>
      <c r="N1206">
        <v>64.888439119432306</v>
      </c>
      <c r="O1206">
        <v>29.6766090195384</v>
      </c>
      <c r="P1206">
        <v>8.5683627744135507</v>
      </c>
      <c r="Q1206">
        <v>37.081330252000697</v>
      </c>
      <c r="R1206">
        <v>9.2946586776144997</v>
      </c>
      <c r="S1206">
        <v>1.57345413884237</v>
      </c>
      <c r="T1206">
        <v>31.898803818553599</v>
      </c>
      <c r="U1206">
        <v>-0.48084135698161501</v>
      </c>
      <c r="V1206">
        <v>31.825671199381699</v>
      </c>
    </row>
    <row r="1207" spans="1:22" x14ac:dyDescent="0.25">
      <c r="A1207" t="str">
        <f t="shared" si="18"/>
        <v>Nepal2014</v>
      </c>
      <c r="B1207" t="s">
        <v>169</v>
      </c>
      <c r="C1207" t="s">
        <v>170</v>
      </c>
      <c r="D1207">
        <v>2014</v>
      </c>
      <c r="E1207">
        <v>821.45522491173097</v>
      </c>
      <c r="F1207">
        <v>6.0114828425044102</v>
      </c>
      <c r="G1207">
        <v>8.3641546965956302</v>
      </c>
      <c r="H1207">
        <v>9</v>
      </c>
      <c r="I1207">
        <v>5.3431636925778996</v>
      </c>
      <c r="J1207">
        <v>10.62</v>
      </c>
      <c r="K1207">
        <v>13.5829915227027</v>
      </c>
      <c r="L1207">
        <v>16.233885666540498</v>
      </c>
      <c r="M1207">
        <v>8.0353661958790497</v>
      </c>
      <c r="N1207">
        <v>63.873107344806698</v>
      </c>
      <c r="O1207">
        <v>30.986088226869299</v>
      </c>
      <c r="P1207">
        <v>8.4350114132467393</v>
      </c>
      <c r="Q1207">
        <v>39.589691166201902</v>
      </c>
      <c r="R1207">
        <v>10.124042118155</v>
      </c>
      <c r="S1207">
        <v>1.3573214000567599</v>
      </c>
      <c r="T1207">
        <v>27.5510205657366</v>
      </c>
      <c r="U1207">
        <v>-0.40984271085983898</v>
      </c>
      <c r="V1207">
        <v>33.186419200224996</v>
      </c>
    </row>
    <row r="1208" spans="1:22" x14ac:dyDescent="0.25">
      <c r="A1208" t="str">
        <f t="shared" si="18"/>
        <v>Nepal2015</v>
      </c>
      <c r="B1208" t="s">
        <v>169</v>
      </c>
      <c r="C1208" t="s">
        <v>170</v>
      </c>
      <c r="D1208">
        <v>2015</v>
      </c>
      <c r="E1208">
        <v>875.54363547486196</v>
      </c>
      <c r="F1208">
        <v>3.9760532716297101</v>
      </c>
      <c r="G1208">
        <v>7.8689089559089096</v>
      </c>
      <c r="H1208">
        <v>9</v>
      </c>
      <c r="I1208">
        <v>5.4826043719889999</v>
      </c>
      <c r="J1208">
        <v>10.643000000000001</v>
      </c>
      <c r="K1208">
        <v>13.9897984541113</v>
      </c>
      <c r="L1208">
        <v>16.9926063388756</v>
      </c>
      <c r="M1208">
        <v>4.4090454332878597</v>
      </c>
      <c r="N1208">
        <v>62.677384823267502</v>
      </c>
      <c r="O1208">
        <v>31.277434820868798</v>
      </c>
      <c r="P1208">
        <v>12.533760736371599</v>
      </c>
      <c r="Q1208">
        <v>40.088220948784297</v>
      </c>
      <c r="R1208">
        <v>10.2145885930146</v>
      </c>
      <c r="S1208">
        <v>0.46034027265029598</v>
      </c>
      <c r="T1208">
        <v>25.730446368684301</v>
      </c>
      <c r="U1208">
        <v>-0.39797620270898398</v>
      </c>
      <c r="V1208">
        <v>33.413850681320802</v>
      </c>
    </row>
    <row r="1209" spans="1:22" x14ac:dyDescent="0.25">
      <c r="A1209" t="str">
        <f t="shared" si="18"/>
        <v>Nepal2016</v>
      </c>
      <c r="B1209" t="s">
        <v>169</v>
      </c>
      <c r="C1209" t="s">
        <v>170</v>
      </c>
      <c r="D1209">
        <v>2016</v>
      </c>
      <c r="E1209">
        <v>877.25645469673702</v>
      </c>
      <c r="F1209">
        <v>0.43311371938152399</v>
      </c>
      <c r="G1209">
        <v>8.7903433200464001</v>
      </c>
      <c r="H1209">
        <v>9</v>
      </c>
      <c r="I1209">
        <v>5.6258290419239003</v>
      </c>
      <c r="J1209">
        <v>10.714</v>
      </c>
      <c r="K1209">
        <v>14.227110736729299</v>
      </c>
      <c r="L1209">
        <v>18.5759336570502</v>
      </c>
      <c r="M1209">
        <v>7.1503347875128203</v>
      </c>
      <c r="N1209">
        <v>61.623235897514498</v>
      </c>
      <c r="O1209">
        <v>28.2409991995242</v>
      </c>
      <c r="P1209">
        <v>10.288564796268201</v>
      </c>
      <c r="Q1209">
        <v>35.305082002174203</v>
      </c>
      <c r="R1209">
        <v>8.1795780409177006</v>
      </c>
      <c r="S1209">
        <v>1.1978539380928399</v>
      </c>
      <c r="T1209">
        <v>24.957343912689701</v>
      </c>
      <c r="U1209">
        <v>-0.40562599990418102</v>
      </c>
      <c r="V1209">
        <v>33.267235966691302</v>
      </c>
    </row>
    <row r="1210" spans="1:22" x14ac:dyDescent="0.25">
      <c r="A1210" t="str">
        <f t="shared" si="18"/>
        <v>Nepal2017</v>
      </c>
      <c r="B1210" t="s">
        <v>169</v>
      </c>
      <c r="C1210" t="s">
        <v>170</v>
      </c>
      <c r="D1210">
        <v>2017</v>
      </c>
      <c r="E1210">
        <v>1034.2837490684601</v>
      </c>
      <c r="F1210">
        <v>8.9772793564346607</v>
      </c>
      <c r="G1210">
        <v>2.7770399830021102</v>
      </c>
      <c r="H1210">
        <v>9</v>
      </c>
      <c r="I1210">
        <v>5.7874694524608596</v>
      </c>
      <c r="J1210">
        <v>10.66</v>
      </c>
      <c r="K1210">
        <v>16.8538084482168</v>
      </c>
      <c r="L1210">
        <v>19.937328366262399</v>
      </c>
      <c r="M1210">
        <v>8.2614125491508901</v>
      </c>
      <c r="N1210">
        <v>60.893567682488801</v>
      </c>
      <c r="O1210">
        <v>37.325054006094597</v>
      </c>
      <c r="P1210">
        <v>9.3538025238661309</v>
      </c>
      <c r="Q1210">
        <v>41.880648726522701</v>
      </c>
      <c r="R1210">
        <v>7.8121886549472102</v>
      </c>
      <c r="S1210">
        <v>-2.6890626139071299</v>
      </c>
      <c r="T1210">
        <v>24.989107517811799</v>
      </c>
      <c r="U1210">
        <v>-0.48715139750614</v>
      </c>
      <c r="V1210">
        <v>31.704734033703101</v>
      </c>
    </row>
    <row r="1211" spans="1:22" x14ac:dyDescent="0.25">
      <c r="A1211" t="str">
        <f t="shared" si="18"/>
        <v>Nepal2018</v>
      </c>
      <c r="B1211" t="s">
        <v>169</v>
      </c>
      <c r="C1211" t="s">
        <v>170</v>
      </c>
      <c r="D1211">
        <v>2018</v>
      </c>
      <c r="E1211">
        <v>1179.19843190389</v>
      </c>
      <c r="F1211">
        <v>7.6223761039793496</v>
      </c>
      <c r="G1211">
        <v>4.4065941017571397</v>
      </c>
      <c r="H1211">
        <v>9</v>
      </c>
      <c r="I1211">
        <v>5.94674321357334</v>
      </c>
      <c r="J1211">
        <v>10.593</v>
      </c>
      <c r="K1211">
        <v>20.165791696052398</v>
      </c>
      <c r="L1211">
        <v>22.0168965987014</v>
      </c>
      <c r="M1211">
        <v>4.3558584680418004</v>
      </c>
      <c r="N1211">
        <v>60.178900371039603</v>
      </c>
      <c r="O1211">
        <v>39.547800335517501</v>
      </c>
      <c r="P1211">
        <v>6.6146433389359203</v>
      </c>
      <c r="Q1211">
        <v>42.603121316464403</v>
      </c>
      <c r="R1211">
        <v>7.8156410217875401</v>
      </c>
      <c r="S1211">
        <v>-5.8333651499477401</v>
      </c>
      <c r="T1211">
        <v>31.087851119823</v>
      </c>
      <c r="U1211">
        <v>-0.63697045558843501</v>
      </c>
      <c r="V1211">
        <v>28.8333273955534</v>
      </c>
    </row>
    <row r="1212" spans="1:22" x14ac:dyDescent="0.25">
      <c r="A1212" t="str">
        <f t="shared" si="18"/>
        <v>Nepal2019</v>
      </c>
      <c r="B1212" t="s">
        <v>169</v>
      </c>
      <c r="C1212" t="s">
        <v>170</v>
      </c>
      <c r="D1212">
        <v>2019</v>
      </c>
      <c r="E1212">
        <v>1203.1429470640101</v>
      </c>
      <c r="F1212">
        <v>6.6570554311046699</v>
      </c>
      <c r="G1212">
        <v>5.5661603524372296</v>
      </c>
      <c r="H1212">
        <v>9</v>
      </c>
      <c r="I1212">
        <v>6.0482003920347402</v>
      </c>
      <c r="J1212">
        <v>10.477</v>
      </c>
      <c r="K1212">
        <v>21.701865275392201</v>
      </c>
      <c r="L1212">
        <v>22.401347908797899</v>
      </c>
      <c r="M1212">
        <v>4.6911559329249597</v>
      </c>
      <c r="N1212">
        <v>58.700184012258099</v>
      </c>
      <c r="O1212">
        <v>41.3787409108185</v>
      </c>
      <c r="P1212">
        <v>7.4586834324089404</v>
      </c>
      <c r="Q1212">
        <v>42.187516048561903</v>
      </c>
      <c r="R1212">
        <v>7.7799364745156998</v>
      </c>
      <c r="S1212">
        <v>-4.2698123510986097</v>
      </c>
      <c r="T1212">
        <v>34.030067481607198</v>
      </c>
      <c r="U1212">
        <v>-0.56696601624735499</v>
      </c>
      <c r="V1212">
        <v>30.1750205979863</v>
      </c>
    </row>
    <row r="1213" spans="1:22" x14ac:dyDescent="0.25">
      <c r="A1213" t="str">
        <f t="shared" si="18"/>
        <v>Nepal2020</v>
      </c>
      <c r="B1213" t="s">
        <v>169</v>
      </c>
      <c r="C1213" t="s">
        <v>170</v>
      </c>
      <c r="D1213">
        <v>2020</v>
      </c>
      <c r="E1213">
        <v>1154.21517578318</v>
      </c>
      <c r="F1213">
        <v>-2.3696206292072</v>
      </c>
      <c r="G1213">
        <v>5.0563582623849896</v>
      </c>
      <c r="H1213">
        <v>9</v>
      </c>
      <c r="I1213">
        <v>6.08852455094405</v>
      </c>
      <c r="J1213">
        <v>13.037000000000001</v>
      </c>
      <c r="K1213">
        <v>20.164782930129299</v>
      </c>
      <c r="L1213">
        <v>19.365426671834701</v>
      </c>
      <c r="M1213">
        <v>3.2174023324111398</v>
      </c>
      <c r="N1213">
        <v>56.652683071554002</v>
      </c>
      <c r="O1213">
        <v>30.4402815098213</v>
      </c>
      <c r="P1213">
        <v>12.4797850993124</v>
      </c>
      <c r="Q1213">
        <v>32.815968366803602</v>
      </c>
      <c r="R1213">
        <v>6.8052983546411197</v>
      </c>
      <c r="S1213">
        <v>-7.4682986001132301</v>
      </c>
      <c r="T1213">
        <v>43.3074423041787</v>
      </c>
      <c r="U1213">
        <v>-0.83113857548552295</v>
      </c>
      <c r="V1213">
        <v>25.111934166106501</v>
      </c>
    </row>
    <row r="1214" spans="1:22" x14ac:dyDescent="0.25">
      <c r="A1214" t="str">
        <f t="shared" si="18"/>
        <v>Nepal2021</v>
      </c>
      <c r="B1214" t="s">
        <v>169</v>
      </c>
      <c r="C1214" t="s">
        <v>170</v>
      </c>
      <c r="D1214">
        <v>2021</v>
      </c>
      <c r="E1214">
        <v>1252.75076731986</v>
      </c>
      <c r="F1214">
        <v>4.8381496141150002</v>
      </c>
      <c r="G1214">
        <v>4.1267674444069504</v>
      </c>
      <c r="H1214">
        <v>9</v>
      </c>
      <c r="I1214">
        <v>6.1108698521221898</v>
      </c>
      <c r="J1214">
        <v>12.241</v>
      </c>
      <c r="K1214">
        <v>19.4418821873399</v>
      </c>
      <c r="L1214">
        <v>19.882121562856</v>
      </c>
      <c r="M1214">
        <v>6.7627121633126803</v>
      </c>
      <c r="N1214">
        <v>54.9709890210653</v>
      </c>
      <c r="O1214">
        <v>35.163597464469298</v>
      </c>
      <c r="P1214">
        <v>6.7229827208625998</v>
      </c>
      <c r="Q1214">
        <v>30.911000633250399</v>
      </c>
      <c r="R1214">
        <v>5.1191714849279801</v>
      </c>
      <c r="S1214">
        <v>-3.9793704933866301</v>
      </c>
      <c r="T1214">
        <v>43.284867622094097</v>
      </c>
      <c r="U1214">
        <v>-0.69650904455883</v>
      </c>
      <c r="V1214">
        <v>27.6922209049375</v>
      </c>
    </row>
    <row r="1215" spans="1:22" x14ac:dyDescent="0.25">
      <c r="A1215" t="str">
        <f t="shared" si="18"/>
        <v>Nepal2022</v>
      </c>
      <c r="B1215" t="s">
        <v>169</v>
      </c>
      <c r="C1215" t="s">
        <v>170</v>
      </c>
      <c r="D1215">
        <v>2022</v>
      </c>
      <c r="E1215">
        <v>1385.91066274851</v>
      </c>
      <c r="F1215">
        <v>5.6313145568451004</v>
      </c>
      <c r="G1215">
        <v>7.6702057938027997</v>
      </c>
      <c r="H1215">
        <v>9</v>
      </c>
      <c r="I1215">
        <v>6.19751969986239</v>
      </c>
      <c r="J1215">
        <v>10.661</v>
      </c>
      <c r="K1215">
        <v>14.9311558106949</v>
      </c>
      <c r="L1215">
        <v>16.9926063388756</v>
      </c>
      <c r="M1215">
        <v>8.2411919550254904</v>
      </c>
      <c r="N1215">
        <v>54.165782100616603</v>
      </c>
      <c r="O1215">
        <v>37.643848252685103</v>
      </c>
      <c r="P1215">
        <v>7.1184422810077699</v>
      </c>
      <c r="Q1215">
        <v>31.439952901703499</v>
      </c>
      <c r="R1215">
        <v>6.7023908658923599</v>
      </c>
      <c r="S1215">
        <v>-3.1230866706401699</v>
      </c>
      <c r="T1215">
        <v>42.730031986464297</v>
      </c>
      <c r="U1215">
        <v>-0.68917573634954299</v>
      </c>
      <c r="V1215">
        <v>27.8327698453812</v>
      </c>
    </row>
    <row r="1216" spans="1:22" x14ac:dyDescent="0.25">
      <c r="A1216" t="str">
        <f t="shared" si="18"/>
        <v>Nepal2023</v>
      </c>
      <c r="B1216" t="s">
        <v>169</v>
      </c>
      <c r="C1216" t="s">
        <v>170</v>
      </c>
      <c r="D1216">
        <v>2023</v>
      </c>
      <c r="E1216">
        <v>1382.33055769304</v>
      </c>
      <c r="F1216">
        <v>1.9825484362839201</v>
      </c>
      <c r="G1216">
        <v>7.1158726153082599</v>
      </c>
      <c r="H1216">
        <v>9</v>
      </c>
      <c r="I1216">
        <v>6.3605877085893798</v>
      </c>
      <c r="J1216">
        <v>10.436999999999999</v>
      </c>
      <c r="K1216">
        <v>14.9311558106949</v>
      </c>
      <c r="L1216">
        <v>16.533674612496799</v>
      </c>
      <c r="M1216">
        <v>5.7490285933513103</v>
      </c>
      <c r="N1216">
        <v>54.022013374751502</v>
      </c>
      <c r="O1216">
        <v>31.1493001529726</v>
      </c>
      <c r="P1216">
        <v>10.416932609297399</v>
      </c>
      <c r="Q1216">
        <v>36.210469402270697</v>
      </c>
      <c r="R1216">
        <v>7.0059672808727802</v>
      </c>
      <c r="S1216">
        <v>-5.8143586742269502</v>
      </c>
      <c r="T1216">
        <v>46.962033526973102</v>
      </c>
      <c r="U1216">
        <v>-0.71329698013504195</v>
      </c>
      <c r="V1216">
        <v>27.370466181129999</v>
      </c>
    </row>
    <row r="1217" spans="1:22" x14ac:dyDescent="0.25">
      <c r="A1217" t="str">
        <f t="shared" si="18"/>
        <v>Nepal2024</v>
      </c>
      <c r="B1217" t="s">
        <v>169</v>
      </c>
      <c r="C1217" t="s">
        <v>170</v>
      </c>
      <c r="D1217">
        <v>2024</v>
      </c>
      <c r="E1217">
        <v>1447.3100445842799</v>
      </c>
      <c r="F1217">
        <v>3.6653743074496701</v>
      </c>
      <c r="G1217">
        <v>4.6850965426576998</v>
      </c>
      <c r="H1217">
        <v>9</v>
      </c>
      <c r="I1217">
        <v>6.5034584183169599</v>
      </c>
      <c r="J1217">
        <v>10.5</v>
      </c>
      <c r="K1217">
        <v>14.9311558106949</v>
      </c>
      <c r="L1217">
        <v>16.9926063388756</v>
      </c>
      <c r="M1217">
        <v>2.61300883978525</v>
      </c>
      <c r="N1217">
        <v>53.686855477603899</v>
      </c>
      <c r="O1217">
        <v>30.399391019884099</v>
      </c>
      <c r="P1217">
        <v>12.9718425174618</v>
      </c>
      <c r="Q1217">
        <v>35.8388851554448</v>
      </c>
      <c r="R1217">
        <v>7.6218985713771499</v>
      </c>
      <c r="S1217">
        <v>-2.45680611412627</v>
      </c>
      <c r="T1217">
        <v>48.3334780324805</v>
      </c>
      <c r="U1217">
        <v>-0.506637363812798</v>
      </c>
      <c r="V1217">
        <v>31.3312693108575</v>
      </c>
    </row>
    <row r="1218" spans="1:22" x14ac:dyDescent="0.25">
      <c r="A1218" t="str">
        <f t="shared" si="18"/>
        <v>Nepal2025</v>
      </c>
      <c r="B1218" t="s">
        <v>169</v>
      </c>
      <c r="C1218" t="s">
        <v>170</v>
      </c>
      <c r="D1218">
        <v>2025</v>
      </c>
      <c r="E1218">
        <v>1034.2837490684601</v>
      </c>
      <c r="F1218">
        <v>4.6701419244695304</v>
      </c>
      <c r="G1218">
        <v>7.6702057938027997</v>
      </c>
      <c r="H1218">
        <v>9</v>
      </c>
      <c r="I1218">
        <v>5.7874694524608596</v>
      </c>
      <c r="J1218">
        <v>10.465</v>
      </c>
      <c r="K1218">
        <v>14.9311558106949</v>
      </c>
      <c r="L1218">
        <v>16.9926063388756</v>
      </c>
      <c r="M1218">
        <v>7.08265099891379</v>
      </c>
      <c r="N1218">
        <v>60.893567682488801</v>
      </c>
      <c r="O1218">
        <v>31.1493001529726</v>
      </c>
      <c r="P1218">
        <v>8.4350114132467393</v>
      </c>
      <c r="Q1218">
        <v>36.210469402270697</v>
      </c>
      <c r="R1218">
        <v>7.8121886549472102</v>
      </c>
      <c r="S1218">
        <v>-1.8577875965621</v>
      </c>
      <c r="T1218">
        <v>48.148899388179302</v>
      </c>
      <c r="U1218">
        <v>-0.59728288787484296</v>
      </c>
      <c r="V1218">
        <v>29.593972582110499</v>
      </c>
    </row>
    <row r="1219" spans="1:22" x14ac:dyDescent="0.25">
      <c r="A1219" t="str">
        <f t="shared" si="18"/>
        <v>Netherlands2010</v>
      </c>
      <c r="B1219" t="s">
        <v>171</v>
      </c>
      <c r="C1219" t="s">
        <v>172</v>
      </c>
      <c r="D1219">
        <v>2010</v>
      </c>
      <c r="E1219">
        <v>51305.733853397302</v>
      </c>
      <c r="F1219">
        <v>1.31932032302214</v>
      </c>
      <c r="G1219">
        <v>1.2753056955667901</v>
      </c>
      <c r="H1219">
        <v>13</v>
      </c>
      <c r="I1219">
        <v>15.2790715770186</v>
      </c>
      <c r="J1219">
        <v>4.9909999999999997</v>
      </c>
      <c r="K1219">
        <v>42.498234897095301</v>
      </c>
      <c r="L1219">
        <v>38.610654067823504</v>
      </c>
      <c r="M1219">
        <v>0.71027280704858198</v>
      </c>
      <c r="N1219">
        <v>48.939084059351202</v>
      </c>
      <c r="O1219">
        <v>20.037106039917798</v>
      </c>
      <c r="P1219">
        <v>0.66633193356144704</v>
      </c>
      <c r="Q1219">
        <v>26.444580494773099</v>
      </c>
      <c r="R1219">
        <v>69.287364973515693</v>
      </c>
      <c r="S1219">
        <v>-5.3047951703052103</v>
      </c>
      <c r="T1219">
        <v>58.897207249518601</v>
      </c>
      <c r="U1219">
        <v>0.95627138186994198</v>
      </c>
      <c r="V1219">
        <v>59.369130028506298</v>
      </c>
    </row>
    <row r="1220" spans="1:22" x14ac:dyDescent="0.25">
      <c r="A1220" t="str">
        <f t="shared" ref="A1220:A1283" si="19">C1220&amp;D1220</f>
        <v>Netherlands2011</v>
      </c>
      <c r="B1220" t="s">
        <v>171</v>
      </c>
      <c r="C1220" t="s">
        <v>172</v>
      </c>
      <c r="D1220">
        <v>2011</v>
      </c>
      <c r="E1220">
        <v>54701.772803061103</v>
      </c>
      <c r="F1220">
        <v>1.77334516269423</v>
      </c>
      <c r="G1220">
        <v>2.3410701775137301</v>
      </c>
      <c r="H1220">
        <v>13</v>
      </c>
      <c r="I1220">
        <v>15.730286236643799</v>
      </c>
      <c r="J1220">
        <v>4.9770000000000003</v>
      </c>
      <c r="K1220">
        <v>41.8898710848718</v>
      </c>
      <c r="L1220">
        <v>38.471493705155197</v>
      </c>
      <c r="M1220">
        <v>0.24265583819014599</v>
      </c>
      <c r="N1220">
        <v>49.6322091919466</v>
      </c>
      <c r="O1220">
        <v>19.9116480923396</v>
      </c>
      <c r="P1220">
        <v>0.62423332952432897</v>
      </c>
      <c r="Q1220">
        <v>26.969024121689301</v>
      </c>
      <c r="R1220">
        <v>75.175187077085397</v>
      </c>
      <c r="S1220">
        <v>-4.4215587191107399</v>
      </c>
      <c r="T1220">
        <v>61.166928094412697</v>
      </c>
      <c r="U1220">
        <v>1.0513524723154699</v>
      </c>
      <c r="V1220">
        <v>61.1914380697025</v>
      </c>
    </row>
    <row r="1221" spans="1:22" x14ac:dyDescent="0.25">
      <c r="A1221" t="str">
        <f t="shared" si="19"/>
        <v>Netherlands2012</v>
      </c>
      <c r="B1221" t="s">
        <v>171</v>
      </c>
      <c r="C1221" t="s">
        <v>172</v>
      </c>
      <c r="D1221">
        <v>2012</v>
      </c>
      <c r="E1221">
        <v>50473.944200268903</v>
      </c>
      <c r="F1221">
        <v>-0.97787687774773202</v>
      </c>
      <c r="G1221">
        <v>2.45554765291614</v>
      </c>
      <c r="H1221">
        <v>13</v>
      </c>
      <c r="I1221">
        <v>16.339990435226198</v>
      </c>
      <c r="J1221">
        <v>5.8209999999999997</v>
      </c>
      <c r="K1221">
        <v>42.138486126472102</v>
      </c>
      <c r="L1221">
        <v>38.928371759501204</v>
      </c>
      <c r="M1221">
        <v>1.32912962087366</v>
      </c>
      <c r="N1221">
        <v>50.646035141110801</v>
      </c>
      <c r="O1221">
        <v>18.582657786312399</v>
      </c>
      <c r="P1221">
        <v>0.72191945090646703</v>
      </c>
      <c r="Q1221">
        <v>26.064700904916201</v>
      </c>
      <c r="R1221">
        <v>79.575590369353094</v>
      </c>
      <c r="S1221">
        <v>-3.83360274189039</v>
      </c>
      <c r="T1221">
        <v>65.690364491547001</v>
      </c>
      <c r="U1221">
        <v>1.02487425327547</v>
      </c>
      <c r="V1221">
        <v>60.6839610177772</v>
      </c>
    </row>
    <row r="1222" spans="1:22" x14ac:dyDescent="0.25">
      <c r="A1222" t="str">
        <f t="shared" si="19"/>
        <v>Netherlands2013</v>
      </c>
      <c r="B1222" t="s">
        <v>171</v>
      </c>
      <c r="C1222" t="s">
        <v>172</v>
      </c>
      <c r="D1222">
        <v>2013</v>
      </c>
      <c r="E1222">
        <v>52602.286052076597</v>
      </c>
      <c r="F1222">
        <v>-3.0232560053960401E-2</v>
      </c>
      <c r="G1222">
        <v>2.50689852657875</v>
      </c>
      <c r="H1222">
        <v>13</v>
      </c>
      <c r="I1222">
        <v>16.8801636441145</v>
      </c>
      <c r="J1222">
        <v>7.2409999999999997</v>
      </c>
      <c r="K1222">
        <v>42.444111562021597</v>
      </c>
      <c r="L1222">
        <v>39.854890642114199</v>
      </c>
      <c r="M1222">
        <v>1.1449274411920001</v>
      </c>
      <c r="N1222">
        <v>51.428959169840297</v>
      </c>
      <c r="O1222">
        <v>18.360736034088202</v>
      </c>
      <c r="P1222">
        <v>0.58607666438213002</v>
      </c>
      <c r="Q1222">
        <v>26.263243382813702</v>
      </c>
      <c r="R1222">
        <v>80.371172248624106</v>
      </c>
      <c r="S1222">
        <v>-2.8724380866238799</v>
      </c>
      <c r="T1222">
        <v>67.160631461595898</v>
      </c>
      <c r="U1222">
        <v>1.0884005865069</v>
      </c>
      <c r="V1222">
        <v>61.901495938053003</v>
      </c>
    </row>
    <row r="1223" spans="1:22" x14ac:dyDescent="0.25">
      <c r="A1223" t="str">
        <f t="shared" si="19"/>
        <v>Netherlands2014</v>
      </c>
      <c r="B1223" t="s">
        <v>171</v>
      </c>
      <c r="C1223" t="s">
        <v>172</v>
      </c>
      <c r="D1223">
        <v>2014</v>
      </c>
      <c r="E1223">
        <v>53457.223486432202</v>
      </c>
      <c r="F1223">
        <v>1.61261001294011</v>
      </c>
      <c r="G1223">
        <v>0.97603507969967895</v>
      </c>
      <c r="H1223">
        <v>13</v>
      </c>
      <c r="I1223">
        <v>17.352440652319601</v>
      </c>
      <c r="J1223">
        <v>7.4189999999999996</v>
      </c>
      <c r="K1223">
        <v>41.947491037049801</v>
      </c>
      <c r="L1223">
        <v>39.799035405311002</v>
      </c>
      <c r="M1223">
        <v>0.344078059275915</v>
      </c>
      <c r="N1223">
        <v>52.014961185501598</v>
      </c>
      <c r="O1223">
        <v>17.7066341303839</v>
      </c>
      <c r="P1223">
        <v>0.528229325843244</v>
      </c>
      <c r="Q1223">
        <v>26.255822919390798</v>
      </c>
      <c r="R1223">
        <v>81.382261536897303</v>
      </c>
      <c r="S1223">
        <v>-2.1730641427470401</v>
      </c>
      <c r="T1223">
        <v>67.165909991792205</v>
      </c>
      <c r="U1223">
        <v>1.1523224441911299</v>
      </c>
      <c r="V1223">
        <v>63.126611412858402</v>
      </c>
    </row>
    <row r="1224" spans="1:22" x14ac:dyDescent="0.25">
      <c r="A1224" t="str">
        <f t="shared" si="19"/>
        <v>Netherlands2015</v>
      </c>
      <c r="B1224" t="s">
        <v>171</v>
      </c>
      <c r="C1224" t="s">
        <v>172</v>
      </c>
      <c r="D1224">
        <v>2015</v>
      </c>
      <c r="E1224">
        <v>45793.813543469703</v>
      </c>
      <c r="F1224">
        <v>2.12060523860846</v>
      </c>
      <c r="G1224">
        <v>0.60024814727877596</v>
      </c>
      <c r="H1224">
        <v>13</v>
      </c>
      <c r="I1224">
        <v>17.756690907396798</v>
      </c>
      <c r="J1224">
        <v>6.8719999999999999</v>
      </c>
      <c r="K1224">
        <v>40.612579111095201</v>
      </c>
      <c r="L1224">
        <v>38.647977974040799</v>
      </c>
      <c r="M1224">
        <v>0.88843295411400902</v>
      </c>
      <c r="N1224">
        <v>52.427262216664197</v>
      </c>
      <c r="O1224">
        <v>22.169986054993402</v>
      </c>
      <c r="P1224">
        <v>0.51172212687909402</v>
      </c>
      <c r="Q1224">
        <v>26.976300925752</v>
      </c>
      <c r="R1224">
        <v>83.991847534594299</v>
      </c>
      <c r="S1224">
        <v>-1.8351628705259699</v>
      </c>
      <c r="T1224">
        <v>63.799334930453703</v>
      </c>
      <c r="U1224">
        <v>1.0809290507014899</v>
      </c>
      <c r="V1224">
        <v>61.7582977509636</v>
      </c>
    </row>
    <row r="1225" spans="1:22" x14ac:dyDescent="0.25">
      <c r="A1225" t="str">
        <f t="shared" si="19"/>
        <v>Netherlands2016</v>
      </c>
      <c r="B1225" t="s">
        <v>171</v>
      </c>
      <c r="C1225" t="s">
        <v>172</v>
      </c>
      <c r="D1225">
        <v>2016</v>
      </c>
      <c r="E1225">
        <v>46808.529149250302</v>
      </c>
      <c r="F1225">
        <v>2.4242857295548199</v>
      </c>
      <c r="G1225">
        <v>0.316666666666652</v>
      </c>
      <c r="H1225">
        <v>13</v>
      </c>
      <c r="I1225">
        <v>18.094397267071301</v>
      </c>
      <c r="J1225">
        <v>6.0069999999999997</v>
      </c>
      <c r="K1225">
        <v>39.443329746242199</v>
      </c>
      <c r="L1225">
        <v>39.480126358176797</v>
      </c>
      <c r="M1225">
        <v>0.56554376006997098</v>
      </c>
      <c r="N1225">
        <v>52.697267244520603</v>
      </c>
      <c r="O1225">
        <v>19.776443225604901</v>
      </c>
      <c r="P1225">
        <v>0.49487327013409499</v>
      </c>
      <c r="Q1225">
        <v>26.953133243554898</v>
      </c>
      <c r="R1225">
        <v>80.909501162911795</v>
      </c>
      <c r="S1225">
        <v>0.22522303606762201</v>
      </c>
      <c r="T1225">
        <v>60.882702121012201</v>
      </c>
      <c r="U1225">
        <v>1.22793533613287</v>
      </c>
      <c r="V1225">
        <v>64.575795265902798</v>
      </c>
    </row>
    <row r="1226" spans="1:22" x14ac:dyDescent="0.25">
      <c r="A1226" t="str">
        <f t="shared" si="19"/>
        <v>Netherlands2017</v>
      </c>
      <c r="B1226" t="s">
        <v>171</v>
      </c>
      <c r="C1226" t="s">
        <v>172</v>
      </c>
      <c r="D1226">
        <v>2017</v>
      </c>
      <c r="E1226">
        <v>49513.681734638398</v>
      </c>
      <c r="F1226">
        <v>2.7815461930993601</v>
      </c>
      <c r="G1226">
        <v>1.3814587140721599</v>
      </c>
      <c r="H1226">
        <v>13</v>
      </c>
      <c r="I1226">
        <v>18.4202330068604</v>
      </c>
      <c r="J1226">
        <v>4.8369999999999997</v>
      </c>
      <c r="K1226">
        <v>38.285248534682196</v>
      </c>
      <c r="L1226">
        <v>39.581360598033498</v>
      </c>
      <c r="M1226">
        <v>1.43932706656167</v>
      </c>
      <c r="N1226">
        <v>52.984089250934801</v>
      </c>
      <c r="O1226">
        <v>20.215192958483701</v>
      </c>
      <c r="P1226">
        <v>0.47299777157100698</v>
      </c>
      <c r="Q1226">
        <v>28.2746496971791</v>
      </c>
      <c r="R1226">
        <v>85.179547213132693</v>
      </c>
      <c r="S1226">
        <v>1.3541787361442399</v>
      </c>
      <c r="T1226">
        <v>55.985728383815299</v>
      </c>
      <c r="U1226">
        <v>1.3629387981430701</v>
      </c>
      <c r="V1226">
        <v>67.163248704412496</v>
      </c>
    </row>
    <row r="1227" spans="1:22" x14ac:dyDescent="0.25">
      <c r="A1227" t="str">
        <f t="shared" si="19"/>
        <v>Netherlands2018</v>
      </c>
      <c r="B1227" t="s">
        <v>171</v>
      </c>
      <c r="C1227" t="s">
        <v>172</v>
      </c>
      <c r="D1227">
        <v>2018</v>
      </c>
      <c r="E1227">
        <v>53955.077002426602</v>
      </c>
      <c r="F1227">
        <v>2.2587403735731</v>
      </c>
      <c r="G1227">
        <v>1.70349794744479</v>
      </c>
      <c r="H1227">
        <v>13</v>
      </c>
      <c r="I1227">
        <v>18.751007926828802</v>
      </c>
      <c r="J1227">
        <v>3.8319999999999999</v>
      </c>
      <c r="K1227">
        <v>37.987203930529802</v>
      </c>
      <c r="L1227">
        <v>39.524790002959598</v>
      </c>
      <c r="M1227">
        <v>2.5334028933161599</v>
      </c>
      <c r="N1227">
        <v>53.259576442194103</v>
      </c>
      <c r="O1227">
        <v>20.4804432515785</v>
      </c>
      <c r="P1227">
        <v>0.42935614708504699</v>
      </c>
      <c r="Q1227">
        <v>29.3296743858075</v>
      </c>
      <c r="R1227">
        <v>87.0564594492635</v>
      </c>
      <c r="S1227">
        <v>1.49478008263969</v>
      </c>
      <c r="T1227">
        <v>51.553908237676097</v>
      </c>
      <c r="U1227">
        <v>1.4483204433227601</v>
      </c>
      <c r="V1227">
        <v>68.799658823947496</v>
      </c>
    </row>
    <row r="1228" spans="1:22" x14ac:dyDescent="0.25">
      <c r="A1228" t="str">
        <f t="shared" si="19"/>
        <v>Netherlands2019</v>
      </c>
      <c r="B1228" t="s">
        <v>171</v>
      </c>
      <c r="C1228" t="s">
        <v>172</v>
      </c>
      <c r="D1228">
        <v>2019</v>
      </c>
      <c r="E1228">
        <v>53554.900749147499</v>
      </c>
      <c r="F1228">
        <v>2.30009157916757</v>
      </c>
      <c r="G1228">
        <v>2.63369910249591</v>
      </c>
      <c r="H1228">
        <v>13</v>
      </c>
      <c r="I1228">
        <v>19.064853402481901</v>
      </c>
      <c r="J1228">
        <v>3.379</v>
      </c>
      <c r="K1228">
        <v>37.4976348782249</v>
      </c>
      <c r="L1228">
        <v>39.716450521652497</v>
      </c>
      <c r="M1228">
        <v>3.0278837000878398</v>
      </c>
      <c r="N1228">
        <v>53.512501292187302</v>
      </c>
      <c r="O1228">
        <v>21.7580356895369</v>
      </c>
      <c r="P1228">
        <v>0.50134962304798703</v>
      </c>
      <c r="Q1228">
        <v>28.552937034730999</v>
      </c>
      <c r="R1228">
        <v>85.320939492652798</v>
      </c>
      <c r="S1228">
        <v>1.9084875633762199</v>
      </c>
      <c r="T1228">
        <v>47.652051720543199</v>
      </c>
      <c r="U1228">
        <v>1.46031283162836</v>
      </c>
      <c r="V1228">
        <v>69.029502902723394</v>
      </c>
    </row>
    <row r="1229" spans="1:22" x14ac:dyDescent="0.25">
      <c r="A1229" t="str">
        <f t="shared" si="19"/>
        <v>Netherlands2020</v>
      </c>
      <c r="B1229" t="s">
        <v>171</v>
      </c>
      <c r="C1229" t="s">
        <v>172</v>
      </c>
      <c r="D1229">
        <v>2020</v>
      </c>
      <c r="E1229">
        <v>53467.9277413737</v>
      </c>
      <c r="F1229">
        <v>-3.8679533382322302</v>
      </c>
      <c r="G1229">
        <v>1.2724603778916099</v>
      </c>
      <c r="H1229">
        <v>13</v>
      </c>
      <c r="I1229">
        <v>19.3703952280046</v>
      </c>
      <c r="J1229">
        <v>3.82</v>
      </c>
      <c r="K1229">
        <v>43.024239922690903</v>
      </c>
      <c r="L1229">
        <v>39.731377906898402</v>
      </c>
      <c r="M1229">
        <v>2.35573022306261</v>
      </c>
      <c r="N1229">
        <v>53.822373534524701</v>
      </c>
      <c r="O1229">
        <v>21.351977983080701</v>
      </c>
      <c r="P1229">
        <v>0.68978938468491102</v>
      </c>
      <c r="Q1229">
        <v>27.057001268520601</v>
      </c>
      <c r="R1229">
        <v>81.241525947899703</v>
      </c>
      <c r="S1229">
        <v>-3.7168861295612898</v>
      </c>
      <c r="T1229">
        <v>53.412463271452502</v>
      </c>
      <c r="U1229">
        <v>1.14315172777265</v>
      </c>
      <c r="V1229">
        <v>62.950847018543698</v>
      </c>
    </row>
    <row r="1230" spans="1:22" x14ac:dyDescent="0.25">
      <c r="A1230" t="str">
        <f t="shared" si="19"/>
        <v>Netherlands2021</v>
      </c>
      <c r="B1230" t="s">
        <v>171</v>
      </c>
      <c r="C1230" t="s">
        <v>172</v>
      </c>
      <c r="D1230">
        <v>2021</v>
      </c>
      <c r="E1230">
        <v>60141.9880911492</v>
      </c>
      <c r="F1230">
        <v>6.2768306708325996</v>
      </c>
      <c r="G1230">
        <v>2.6757200880538501</v>
      </c>
      <c r="H1230">
        <v>13</v>
      </c>
      <c r="I1230">
        <v>19.661808830836101</v>
      </c>
      <c r="J1230">
        <v>4.2089999999999996</v>
      </c>
      <c r="K1230">
        <v>41.795412483876397</v>
      </c>
      <c r="L1230">
        <v>39.380068420167099</v>
      </c>
      <c r="M1230">
        <v>2.7473432974803802</v>
      </c>
      <c r="N1230">
        <v>54.199125236843201</v>
      </c>
      <c r="O1230">
        <v>22.193819752117101</v>
      </c>
      <c r="P1230">
        <v>0.687991606395572</v>
      </c>
      <c r="Q1230">
        <v>32.437051335873299</v>
      </c>
      <c r="R1230">
        <v>86.450002804105196</v>
      </c>
      <c r="S1230">
        <v>-2.25954797824014</v>
      </c>
      <c r="T1230">
        <v>50.500701026302501</v>
      </c>
      <c r="U1230">
        <v>1.4152644380407899</v>
      </c>
      <c r="V1230">
        <v>68.166113037367893</v>
      </c>
    </row>
    <row r="1231" spans="1:22" x14ac:dyDescent="0.25">
      <c r="A1231" t="str">
        <f t="shared" si="19"/>
        <v>Netherlands2022</v>
      </c>
      <c r="B1231" t="s">
        <v>171</v>
      </c>
      <c r="C1231" t="s">
        <v>172</v>
      </c>
      <c r="D1231">
        <v>2022</v>
      </c>
      <c r="E1231">
        <v>59123.318556487</v>
      </c>
      <c r="F1231">
        <v>5.0072345515961096</v>
      </c>
      <c r="G1231">
        <v>10.001207875347299</v>
      </c>
      <c r="H1231">
        <v>13</v>
      </c>
      <c r="I1231">
        <v>19.901283040652402</v>
      </c>
      <c r="J1231">
        <v>3.5259999999999998</v>
      </c>
      <c r="K1231">
        <v>39.365277414421101</v>
      </c>
      <c r="L1231">
        <v>39.181843794650902</v>
      </c>
      <c r="M1231">
        <v>6.1555749650832796</v>
      </c>
      <c r="N1231">
        <v>54.445596372108398</v>
      </c>
      <c r="O1231">
        <v>22.863295164114199</v>
      </c>
      <c r="P1231">
        <v>0.58147140300070199</v>
      </c>
      <c r="Q1231">
        <v>29.642623738218902</v>
      </c>
      <c r="R1231">
        <v>96.443621581372895</v>
      </c>
      <c r="S1231">
        <v>2.2136805457728002E-3</v>
      </c>
      <c r="T1231">
        <v>48.413696645267699</v>
      </c>
      <c r="U1231">
        <v>1.50673269035056</v>
      </c>
      <c r="V1231">
        <v>69.919178036067805</v>
      </c>
    </row>
    <row r="1232" spans="1:22" x14ac:dyDescent="0.25">
      <c r="A1232" t="str">
        <f t="shared" si="19"/>
        <v>Netherlands2023</v>
      </c>
      <c r="B1232" t="s">
        <v>171</v>
      </c>
      <c r="C1232" t="s">
        <v>172</v>
      </c>
      <c r="D1232">
        <v>2023</v>
      </c>
      <c r="E1232">
        <v>63515.603078001899</v>
      </c>
      <c r="F1232">
        <v>-0.59809616720983205</v>
      </c>
      <c r="G1232">
        <v>3.8383935434280798</v>
      </c>
      <c r="H1232">
        <v>13</v>
      </c>
      <c r="I1232">
        <v>20.156755902140699</v>
      </c>
      <c r="J1232">
        <v>3.5350000000000001</v>
      </c>
      <c r="K1232">
        <v>39.969699076212301</v>
      </c>
      <c r="L1232">
        <v>39.409389096428697</v>
      </c>
      <c r="M1232">
        <v>6.3021066699338197</v>
      </c>
      <c r="N1232">
        <v>54.626490855326203</v>
      </c>
      <c r="O1232">
        <v>20.0805040885297</v>
      </c>
      <c r="P1232">
        <v>0.63422424782848497</v>
      </c>
      <c r="Q1232">
        <v>29.503109013691802</v>
      </c>
      <c r="R1232">
        <v>87.486061289379506</v>
      </c>
      <c r="S1232">
        <v>-0.37109585166831199</v>
      </c>
      <c r="T1232">
        <v>45.849525726741199</v>
      </c>
      <c r="U1232">
        <v>1.4776957754851701</v>
      </c>
      <c r="V1232">
        <v>69.362661454245</v>
      </c>
    </row>
    <row r="1233" spans="1:22" x14ac:dyDescent="0.25">
      <c r="A1233" t="str">
        <f t="shared" si="19"/>
        <v>Netherlands2024</v>
      </c>
      <c r="B1233" t="s">
        <v>171</v>
      </c>
      <c r="C1233" t="s">
        <v>172</v>
      </c>
      <c r="D1233">
        <v>2024</v>
      </c>
      <c r="E1233">
        <v>67520.421895628097</v>
      </c>
      <c r="F1233">
        <v>1.0810058484566301</v>
      </c>
      <c r="G1233">
        <v>3.34754304219953</v>
      </c>
      <c r="H1233">
        <v>13</v>
      </c>
      <c r="I1233">
        <v>20.4960775816586</v>
      </c>
      <c r="J1233">
        <v>3.7</v>
      </c>
      <c r="K1233">
        <v>41.203995797485803</v>
      </c>
      <c r="L1233">
        <v>39.392351970094197</v>
      </c>
      <c r="M1233">
        <v>5.74421691332891</v>
      </c>
      <c r="N1233">
        <v>55.090994233783803</v>
      </c>
      <c r="O1233">
        <v>19.665484440857099</v>
      </c>
      <c r="P1233">
        <v>0.72999834987448897</v>
      </c>
      <c r="Q1233">
        <v>28.811402158662101</v>
      </c>
      <c r="R1233">
        <v>82.430360485327299</v>
      </c>
      <c r="S1233">
        <v>-0.94488974652971702</v>
      </c>
      <c r="T1233">
        <v>43.748145812007301</v>
      </c>
      <c r="U1233">
        <v>1.49457940182455</v>
      </c>
      <c r="V1233">
        <v>69.686250170977502</v>
      </c>
    </row>
    <row r="1234" spans="1:22" x14ac:dyDescent="0.25">
      <c r="A1234" t="str">
        <f t="shared" si="19"/>
        <v>Netherlands2025</v>
      </c>
      <c r="B1234" t="s">
        <v>171</v>
      </c>
      <c r="C1234" t="s">
        <v>172</v>
      </c>
      <c r="D1234">
        <v>2025</v>
      </c>
      <c r="E1234">
        <v>53467.9277413737</v>
      </c>
      <c r="F1234">
        <v>1.77334516269423</v>
      </c>
      <c r="G1234">
        <v>2.3410701775137301</v>
      </c>
      <c r="H1234">
        <v>13</v>
      </c>
      <c r="I1234">
        <v>18.4202330068604</v>
      </c>
      <c r="J1234">
        <v>3.8740000000000001</v>
      </c>
      <c r="K1234">
        <v>41.203995797485803</v>
      </c>
      <c r="L1234">
        <v>39.409389096428697</v>
      </c>
      <c r="M1234">
        <v>1.43932706656167</v>
      </c>
      <c r="N1234">
        <v>52.984089250934801</v>
      </c>
      <c r="O1234">
        <v>20.0805040885297</v>
      </c>
      <c r="P1234">
        <v>0.58607666438213002</v>
      </c>
      <c r="Q1234">
        <v>27.057001268520601</v>
      </c>
      <c r="R1234">
        <v>82.430360485327299</v>
      </c>
      <c r="S1234">
        <v>-1.84134402840886</v>
      </c>
      <c r="T1234">
        <v>43.349490443477698</v>
      </c>
      <c r="U1234">
        <v>1.2937583537017301</v>
      </c>
      <c r="V1234">
        <v>65.837348048369606</v>
      </c>
    </row>
    <row r="1235" spans="1:22" x14ac:dyDescent="0.25">
      <c r="A1235" t="str">
        <f t="shared" si="19"/>
        <v>New Zealand2010</v>
      </c>
      <c r="B1235" t="s">
        <v>173</v>
      </c>
      <c r="C1235" t="s">
        <v>174</v>
      </c>
      <c r="D1235">
        <v>2010</v>
      </c>
      <c r="E1235">
        <v>33761.900963994703</v>
      </c>
      <c r="F1235">
        <v>1.4586363491134899</v>
      </c>
      <c r="G1235">
        <v>2.3020238595857201</v>
      </c>
      <c r="H1235">
        <v>10</v>
      </c>
      <c r="I1235">
        <v>12.983217490435599</v>
      </c>
      <c r="J1235">
        <v>6.5570000000000004</v>
      </c>
      <c r="K1235">
        <v>34.146475943803502</v>
      </c>
      <c r="L1235">
        <v>32.317670316301701</v>
      </c>
      <c r="M1235">
        <v>3.1597268270136398</v>
      </c>
      <c r="N1235">
        <v>51.162390733255897</v>
      </c>
      <c r="O1235">
        <v>20.375657326740399</v>
      </c>
      <c r="P1235">
        <v>3.9393571173183002</v>
      </c>
      <c r="Q1235">
        <v>17.7333268313253</v>
      </c>
      <c r="R1235">
        <v>30.197296130601998</v>
      </c>
      <c r="S1235">
        <v>-5.4912994417389198</v>
      </c>
      <c r="T1235">
        <v>29.599714930514299</v>
      </c>
      <c r="U1235">
        <v>0.2591340615203</v>
      </c>
      <c r="V1235">
        <v>46.007914473043897</v>
      </c>
    </row>
    <row r="1236" spans="1:22" x14ac:dyDescent="0.25">
      <c r="A1236" t="str">
        <f t="shared" si="19"/>
        <v>New Zealand2011</v>
      </c>
      <c r="B1236" t="s">
        <v>173</v>
      </c>
      <c r="C1236" t="s">
        <v>174</v>
      </c>
      <c r="D1236">
        <v>2011</v>
      </c>
      <c r="E1236">
        <v>38431.776678849899</v>
      </c>
      <c r="F1236">
        <v>2.09349621669912</v>
      </c>
      <c r="G1236">
        <v>4.0279066739204001</v>
      </c>
      <c r="H1236">
        <v>10</v>
      </c>
      <c r="I1236">
        <v>13.2934135015614</v>
      </c>
      <c r="J1236">
        <v>6.4909999999999997</v>
      </c>
      <c r="K1236">
        <v>40.040985605101497</v>
      </c>
      <c r="L1236">
        <v>33.820537347024903</v>
      </c>
      <c r="M1236">
        <v>2.4727034528576901</v>
      </c>
      <c r="N1236">
        <v>51.638047175897</v>
      </c>
      <c r="O1236">
        <v>20.6489426548507</v>
      </c>
      <c r="P1236">
        <v>3.35466684777766</v>
      </c>
      <c r="Q1236">
        <v>17.560822612526898</v>
      </c>
      <c r="R1236">
        <v>30.360106906737901</v>
      </c>
      <c r="S1236">
        <v>-4.9415206062355903</v>
      </c>
      <c r="T1236">
        <v>34.680576132076801</v>
      </c>
      <c r="U1236">
        <v>0.37135178364967297</v>
      </c>
      <c r="V1236">
        <v>48.158660288461697</v>
      </c>
    </row>
    <row r="1237" spans="1:22" x14ac:dyDescent="0.25">
      <c r="A1237" t="str">
        <f t="shared" si="19"/>
        <v>New Zealand2012</v>
      </c>
      <c r="B1237" t="s">
        <v>173</v>
      </c>
      <c r="C1237" t="s">
        <v>174</v>
      </c>
      <c r="D1237">
        <v>2012</v>
      </c>
      <c r="E1237">
        <v>40053.699153636902</v>
      </c>
      <c r="F1237">
        <v>2.3663066465617399</v>
      </c>
      <c r="G1237">
        <v>1.0599131844563201</v>
      </c>
      <c r="H1237">
        <v>10</v>
      </c>
      <c r="I1237">
        <v>13.6932184397473</v>
      </c>
      <c r="J1237">
        <v>6.931</v>
      </c>
      <c r="K1237">
        <v>34.960991345686097</v>
      </c>
      <c r="L1237">
        <v>33.084900379027701</v>
      </c>
      <c r="M1237">
        <v>-0.17892461930407</v>
      </c>
      <c r="N1237">
        <v>52.242574112096797</v>
      </c>
      <c r="O1237">
        <v>21.276029477896198</v>
      </c>
      <c r="P1237">
        <v>3.3629939027374798</v>
      </c>
      <c r="Q1237">
        <v>17.608611638645598</v>
      </c>
      <c r="R1237">
        <v>28.8015197819443</v>
      </c>
      <c r="S1237">
        <v>-2.1751392838153301</v>
      </c>
      <c r="T1237">
        <v>35.670989666412297</v>
      </c>
      <c r="U1237">
        <v>0.44502143359404001</v>
      </c>
      <c r="V1237">
        <v>49.570600295214497</v>
      </c>
    </row>
    <row r="1238" spans="1:22" x14ac:dyDescent="0.25">
      <c r="A1238" t="str">
        <f t="shared" si="19"/>
        <v>New Zealand2013</v>
      </c>
      <c r="B1238" t="s">
        <v>173</v>
      </c>
      <c r="C1238" t="s">
        <v>174</v>
      </c>
      <c r="D1238">
        <v>2013</v>
      </c>
      <c r="E1238">
        <v>43000.464684918901</v>
      </c>
      <c r="F1238">
        <v>2.58954199031598</v>
      </c>
      <c r="G1238">
        <v>1.1344226644581701</v>
      </c>
      <c r="H1238">
        <v>10</v>
      </c>
      <c r="I1238">
        <v>14.0864276779802</v>
      </c>
      <c r="J1238">
        <v>5.8390000000000004</v>
      </c>
      <c r="K1238">
        <v>33.073784356994999</v>
      </c>
      <c r="L1238">
        <v>32.482985720541599</v>
      </c>
      <c r="M1238">
        <v>4.1833629832299701</v>
      </c>
      <c r="N1238">
        <v>52.703009302229603</v>
      </c>
      <c r="O1238">
        <v>22.1773812692661</v>
      </c>
      <c r="P1238">
        <v>3.0382465715507401</v>
      </c>
      <c r="Q1238">
        <v>19.657969685769199</v>
      </c>
      <c r="R1238">
        <v>28.797623238680799</v>
      </c>
      <c r="S1238">
        <v>-1.27795527156549</v>
      </c>
      <c r="T1238">
        <v>34.558697852982498</v>
      </c>
      <c r="U1238">
        <v>0.525234478439078</v>
      </c>
      <c r="V1238">
        <v>51.107949898011498</v>
      </c>
    </row>
    <row r="1239" spans="1:22" x14ac:dyDescent="0.25">
      <c r="A1239" t="str">
        <f t="shared" si="19"/>
        <v>New Zealand2014</v>
      </c>
      <c r="B1239" t="s">
        <v>173</v>
      </c>
      <c r="C1239" t="s">
        <v>174</v>
      </c>
      <c r="D1239">
        <v>2014</v>
      </c>
      <c r="E1239">
        <v>44618.266973846999</v>
      </c>
      <c r="F1239">
        <v>3.82638491760299</v>
      </c>
      <c r="G1239">
        <v>1.2275075059739999</v>
      </c>
      <c r="H1239">
        <v>10</v>
      </c>
      <c r="I1239">
        <v>14.3691784824307</v>
      </c>
      <c r="J1239">
        <v>5.4279999999999999</v>
      </c>
      <c r="K1239">
        <v>32.3273793106287</v>
      </c>
      <c r="L1239">
        <v>32.645339766257599</v>
      </c>
      <c r="M1239">
        <v>0.447623377469824</v>
      </c>
      <c r="N1239">
        <v>52.754347064370201</v>
      </c>
      <c r="O1239">
        <v>23.059728219926999</v>
      </c>
      <c r="P1239">
        <v>2.78090421394716</v>
      </c>
      <c r="Q1239">
        <v>19.695595090889299</v>
      </c>
      <c r="R1239">
        <v>27.954404179205198</v>
      </c>
      <c r="S1239">
        <v>-0.32781443213411299</v>
      </c>
      <c r="T1239">
        <v>34.164695630524001</v>
      </c>
      <c r="U1239">
        <v>0.59023032760933203</v>
      </c>
      <c r="V1239">
        <v>52.353649311347397</v>
      </c>
    </row>
    <row r="1240" spans="1:22" x14ac:dyDescent="0.25">
      <c r="A1240" t="str">
        <f t="shared" si="19"/>
        <v>New Zealand2015</v>
      </c>
      <c r="B1240" t="s">
        <v>173</v>
      </c>
      <c r="C1240" t="s">
        <v>174</v>
      </c>
      <c r="D1240">
        <v>2015</v>
      </c>
      <c r="E1240">
        <v>38665.372301815798</v>
      </c>
      <c r="F1240">
        <v>3.69036908387233</v>
      </c>
      <c r="G1240">
        <v>0.29270462813610099</v>
      </c>
      <c r="H1240">
        <v>10</v>
      </c>
      <c r="I1240">
        <v>14.555359318287801</v>
      </c>
      <c r="J1240">
        <v>5.415</v>
      </c>
      <c r="K1240">
        <v>31.5156493940971</v>
      </c>
      <c r="L1240">
        <v>32.712547296424802</v>
      </c>
      <c r="M1240">
        <v>1.46396842829697</v>
      </c>
      <c r="N1240">
        <v>52.517478097988501</v>
      </c>
      <c r="O1240">
        <v>23.195301464575099</v>
      </c>
      <c r="P1240">
        <v>2.9584361278161402</v>
      </c>
      <c r="Q1240">
        <v>20.7948852412086</v>
      </c>
      <c r="R1240">
        <v>27.933747833266199</v>
      </c>
      <c r="S1240">
        <v>0.37360988140566198</v>
      </c>
      <c r="T1240">
        <v>34.182326386545199</v>
      </c>
      <c r="U1240">
        <v>0.58197874008567596</v>
      </c>
      <c r="V1240">
        <v>52.1955007854257</v>
      </c>
    </row>
    <row r="1241" spans="1:22" x14ac:dyDescent="0.25">
      <c r="A1241" t="str">
        <f t="shared" si="19"/>
        <v>New Zealand2016</v>
      </c>
      <c r="B1241" t="s">
        <v>173</v>
      </c>
      <c r="C1241" t="s">
        <v>174</v>
      </c>
      <c r="D1241">
        <v>2016</v>
      </c>
      <c r="E1241">
        <v>40113.719538242804</v>
      </c>
      <c r="F1241">
        <v>3.7791106835433399</v>
      </c>
      <c r="G1241">
        <v>0.64624028445452397</v>
      </c>
      <c r="H1241">
        <v>10</v>
      </c>
      <c r="I1241">
        <v>14.711300869395499</v>
      </c>
      <c r="J1241">
        <v>5.1470000000000002</v>
      </c>
      <c r="K1241">
        <v>30.695417214252299</v>
      </c>
      <c r="L1241">
        <v>32.340924066895603</v>
      </c>
      <c r="M1241">
        <v>2.4204771459118701</v>
      </c>
      <c r="N1241">
        <v>52.307552633679002</v>
      </c>
      <c r="O1241">
        <v>23.165726107779602</v>
      </c>
      <c r="P1241">
        <v>3.5931229558166198</v>
      </c>
      <c r="Q1241">
        <v>20.6269461012524</v>
      </c>
      <c r="R1241">
        <v>26.611374320349601</v>
      </c>
      <c r="S1241">
        <v>0.98298237527216503</v>
      </c>
      <c r="T1241">
        <v>33.359566183607399</v>
      </c>
      <c r="U1241">
        <v>0.62327175853157102</v>
      </c>
      <c r="V1241">
        <v>52.986915768222097</v>
      </c>
    </row>
    <row r="1242" spans="1:22" x14ac:dyDescent="0.25">
      <c r="A1242" t="str">
        <f t="shared" si="19"/>
        <v>New Zealand2017</v>
      </c>
      <c r="B1242" t="s">
        <v>173</v>
      </c>
      <c r="C1242" t="s">
        <v>174</v>
      </c>
      <c r="D1242">
        <v>2017</v>
      </c>
      <c r="E1242">
        <v>42950.384171113801</v>
      </c>
      <c r="F1242">
        <v>3.3787321947076498</v>
      </c>
      <c r="G1242">
        <v>1.85078767452536</v>
      </c>
      <c r="H1242">
        <v>10</v>
      </c>
      <c r="I1242">
        <v>14.868552843420201</v>
      </c>
      <c r="J1242">
        <v>4.7359999999999998</v>
      </c>
      <c r="K1242">
        <v>29.895396871219599</v>
      </c>
      <c r="L1242">
        <v>32.1255670570769</v>
      </c>
      <c r="M1242">
        <v>3.6146237817047799</v>
      </c>
      <c r="N1242">
        <v>52.257834938066999</v>
      </c>
      <c r="O1242">
        <v>23.704016826130001</v>
      </c>
      <c r="P1242">
        <v>3.6719566494625799</v>
      </c>
      <c r="Q1242">
        <v>20.7009903201524</v>
      </c>
      <c r="R1242">
        <v>27.563441658418601</v>
      </c>
      <c r="S1242">
        <v>1.38303776173008</v>
      </c>
      <c r="T1242">
        <v>31.121752697141702</v>
      </c>
      <c r="U1242">
        <v>0.66949464977331197</v>
      </c>
      <c r="V1242">
        <v>53.8728158562677</v>
      </c>
    </row>
    <row r="1243" spans="1:22" x14ac:dyDescent="0.25">
      <c r="A1243" t="str">
        <f t="shared" si="19"/>
        <v>New Zealand2018</v>
      </c>
      <c r="B1243" t="s">
        <v>173</v>
      </c>
      <c r="C1243" t="s">
        <v>174</v>
      </c>
      <c r="D1243">
        <v>2018</v>
      </c>
      <c r="E1243">
        <v>43257.0769238879</v>
      </c>
      <c r="F1243">
        <v>3.47058203866328</v>
      </c>
      <c r="G1243">
        <v>1.5982970380169601</v>
      </c>
      <c r="H1243">
        <v>10</v>
      </c>
      <c r="I1243">
        <v>15.057886932605699</v>
      </c>
      <c r="J1243">
        <v>4.335</v>
      </c>
      <c r="K1243">
        <v>29.6846795093578</v>
      </c>
      <c r="L1243">
        <v>32.067375927563397</v>
      </c>
      <c r="M1243">
        <v>1.7601750188471901</v>
      </c>
      <c r="N1243">
        <v>52.3710857473679</v>
      </c>
      <c r="O1243">
        <v>23.986043202099399</v>
      </c>
      <c r="P1243">
        <v>2.92388714011526</v>
      </c>
      <c r="Q1243">
        <v>19.9863063723013</v>
      </c>
      <c r="R1243">
        <v>27.865615228446298</v>
      </c>
      <c r="S1243">
        <v>1.3117156334142599</v>
      </c>
      <c r="T1243">
        <v>28.1149731735877</v>
      </c>
      <c r="U1243">
        <v>0.67168420751023505</v>
      </c>
      <c r="V1243">
        <v>53.914780548216001</v>
      </c>
    </row>
    <row r="1244" spans="1:22" x14ac:dyDescent="0.25">
      <c r="A1244" t="str">
        <f t="shared" si="19"/>
        <v>New Zealand2019</v>
      </c>
      <c r="B1244" t="s">
        <v>173</v>
      </c>
      <c r="C1244" t="s">
        <v>174</v>
      </c>
      <c r="D1244">
        <v>2019</v>
      </c>
      <c r="E1244">
        <v>42855.831861632003</v>
      </c>
      <c r="F1244">
        <v>2.3174714403480201</v>
      </c>
      <c r="G1244">
        <v>1.6196319018404799</v>
      </c>
      <c r="H1244">
        <v>10</v>
      </c>
      <c r="I1244">
        <v>15.301611766138301</v>
      </c>
      <c r="J1244">
        <v>4.109</v>
      </c>
      <c r="K1244">
        <v>30.0637021870177</v>
      </c>
      <c r="L1244">
        <v>32.813446197953397</v>
      </c>
      <c r="M1244">
        <v>3.1399305744616401</v>
      </c>
      <c r="N1244">
        <v>52.596595182905297</v>
      </c>
      <c r="O1244">
        <v>23.767695481524299</v>
      </c>
      <c r="P1244">
        <v>3.0612659295532598</v>
      </c>
      <c r="Q1244">
        <v>21.360443366876101</v>
      </c>
      <c r="R1244">
        <v>27.3298341875002</v>
      </c>
      <c r="S1244">
        <v>-2.4355676949376002</v>
      </c>
      <c r="T1244">
        <v>31.819261407494601</v>
      </c>
      <c r="U1244">
        <v>0.51576979545735802</v>
      </c>
      <c r="V1244">
        <v>50.926551390441396</v>
      </c>
    </row>
    <row r="1245" spans="1:22" x14ac:dyDescent="0.25">
      <c r="A1245" t="str">
        <f t="shared" si="19"/>
        <v>New Zealand2020</v>
      </c>
      <c r="B1245" t="s">
        <v>173</v>
      </c>
      <c r="C1245" t="s">
        <v>174</v>
      </c>
      <c r="D1245">
        <v>2020</v>
      </c>
      <c r="E1245">
        <v>41997.783032427898</v>
      </c>
      <c r="F1245">
        <v>-0.30724689602654098</v>
      </c>
      <c r="G1245">
        <v>1.71456170007245</v>
      </c>
      <c r="H1245">
        <v>10</v>
      </c>
      <c r="I1245">
        <v>15.6207179833113</v>
      </c>
      <c r="J1245">
        <v>4.5949999999999998</v>
      </c>
      <c r="K1245">
        <v>36.346111462874099</v>
      </c>
      <c r="L1245">
        <v>31.560561631065699</v>
      </c>
      <c r="M1245">
        <v>1.9174460359337799</v>
      </c>
      <c r="N1245">
        <v>52.998129298586498</v>
      </c>
      <c r="O1245">
        <v>23.1117429315929</v>
      </c>
      <c r="P1245">
        <v>2.8427569759729101</v>
      </c>
      <c r="Q1245">
        <v>20.439624394753</v>
      </c>
      <c r="R1245">
        <v>21.697148284343601</v>
      </c>
      <c r="S1245">
        <v>-4.2137083099538097</v>
      </c>
      <c r="T1245">
        <v>43.180066469764803</v>
      </c>
      <c r="U1245">
        <v>0.366800153611057</v>
      </c>
      <c r="V1245">
        <v>48.0714245196978</v>
      </c>
    </row>
    <row r="1246" spans="1:22" x14ac:dyDescent="0.25">
      <c r="A1246" t="str">
        <f t="shared" si="19"/>
        <v>New Zealand2021</v>
      </c>
      <c r="B1246" t="s">
        <v>173</v>
      </c>
      <c r="C1246" t="s">
        <v>174</v>
      </c>
      <c r="D1246">
        <v>2021</v>
      </c>
      <c r="E1246">
        <v>49950.425169131602</v>
      </c>
      <c r="F1246">
        <v>4.5354056571609496</v>
      </c>
      <c r="G1246">
        <v>3.9411206077872798</v>
      </c>
      <c r="H1246">
        <v>10</v>
      </c>
      <c r="I1246">
        <v>16.046577943697301</v>
      </c>
      <c r="J1246">
        <v>3.7759999999999998</v>
      </c>
      <c r="K1246">
        <v>33.606553071239901</v>
      </c>
      <c r="L1246">
        <v>32.7080635622888</v>
      </c>
      <c r="M1246">
        <v>4.5634463012784003</v>
      </c>
      <c r="N1246">
        <v>53.627031299475703</v>
      </c>
      <c r="O1246">
        <v>25.112093885939899</v>
      </c>
      <c r="P1246">
        <v>2.5290210159680999</v>
      </c>
      <c r="Q1246">
        <v>18.414660163433599</v>
      </c>
      <c r="R1246">
        <v>22.3098859845046</v>
      </c>
      <c r="S1246">
        <v>-3.3496506761989702</v>
      </c>
      <c r="T1246">
        <v>47.533731807589298</v>
      </c>
      <c r="U1246">
        <v>0.48990204942490201</v>
      </c>
      <c r="V1246">
        <v>50.430774560562</v>
      </c>
    </row>
    <row r="1247" spans="1:22" x14ac:dyDescent="0.25">
      <c r="A1247" t="str">
        <f t="shared" si="19"/>
        <v>New Zealand2022</v>
      </c>
      <c r="B1247" t="s">
        <v>173</v>
      </c>
      <c r="C1247" t="s">
        <v>174</v>
      </c>
      <c r="D1247">
        <v>2022</v>
      </c>
      <c r="E1247">
        <v>49099.709042335802</v>
      </c>
      <c r="F1247">
        <v>3.4963868645884202</v>
      </c>
      <c r="G1247">
        <v>7.1722247601644096</v>
      </c>
      <c r="H1247">
        <v>10</v>
      </c>
      <c r="I1247">
        <v>16.4463886430602</v>
      </c>
      <c r="J1247">
        <v>3.2989999999999999</v>
      </c>
      <c r="K1247">
        <v>35.525825219594502</v>
      </c>
      <c r="L1247">
        <v>32.852195760004598</v>
      </c>
      <c r="M1247">
        <v>5.8914687613354602</v>
      </c>
      <c r="N1247">
        <v>54.051472367009801</v>
      </c>
      <c r="O1247">
        <v>26.263013851795201</v>
      </c>
      <c r="P1247">
        <v>2.0144136472926202</v>
      </c>
      <c r="Q1247">
        <v>17.583437625581698</v>
      </c>
      <c r="R1247">
        <v>24.047387319165601</v>
      </c>
      <c r="S1247">
        <v>-3.9623496124311899</v>
      </c>
      <c r="T1247">
        <v>46.890505751955203</v>
      </c>
      <c r="U1247">
        <v>0.45988823522316502</v>
      </c>
      <c r="V1247">
        <v>49.855534891869603</v>
      </c>
    </row>
    <row r="1248" spans="1:22" x14ac:dyDescent="0.25">
      <c r="A1248" t="str">
        <f t="shared" si="19"/>
        <v>New Zealand2023</v>
      </c>
      <c r="B1248" t="s">
        <v>173</v>
      </c>
      <c r="C1248" t="s">
        <v>174</v>
      </c>
      <c r="D1248">
        <v>2023</v>
      </c>
      <c r="E1248">
        <v>49075.956283292697</v>
      </c>
      <c r="F1248">
        <v>1.39425181563566</v>
      </c>
      <c r="G1248">
        <v>5.7331628303495696</v>
      </c>
      <c r="H1248">
        <v>10</v>
      </c>
      <c r="I1248">
        <v>16.7985801212333</v>
      </c>
      <c r="J1248">
        <v>3.734</v>
      </c>
      <c r="K1248">
        <v>33.073784356994999</v>
      </c>
      <c r="L1248">
        <v>32.336237036221704</v>
      </c>
      <c r="M1248">
        <v>4.1498485781929899</v>
      </c>
      <c r="N1248">
        <v>54.257446184916702</v>
      </c>
      <c r="O1248">
        <v>23.8211315596966</v>
      </c>
      <c r="P1248">
        <v>2.2082668175407498</v>
      </c>
      <c r="Q1248">
        <v>16.975981485888902</v>
      </c>
      <c r="R1248">
        <v>23.715011742963799</v>
      </c>
      <c r="S1248">
        <v>-3.2249866981556798</v>
      </c>
      <c r="T1248">
        <v>47.294879290003799</v>
      </c>
      <c r="U1248">
        <v>0.463655783986683</v>
      </c>
      <c r="V1248">
        <v>49.927743091998401</v>
      </c>
    </row>
    <row r="1249" spans="1:22" x14ac:dyDescent="0.25">
      <c r="A1249" t="str">
        <f t="shared" si="19"/>
        <v>New Zealand2024</v>
      </c>
      <c r="B1249" t="s">
        <v>173</v>
      </c>
      <c r="C1249" t="s">
        <v>174</v>
      </c>
      <c r="D1249">
        <v>2024</v>
      </c>
      <c r="E1249">
        <v>49205.1792146792</v>
      </c>
      <c r="F1249">
        <v>1.2886200471168501</v>
      </c>
      <c r="G1249">
        <v>2.9227978230195699</v>
      </c>
      <c r="H1249">
        <v>10</v>
      </c>
      <c r="I1249">
        <v>17.195754308063101</v>
      </c>
      <c r="J1249">
        <v>4.7240000000000002</v>
      </c>
      <c r="K1249">
        <v>33.073784356994999</v>
      </c>
      <c r="L1249">
        <v>34.4194893139302</v>
      </c>
      <c r="M1249">
        <v>2.1291080487287002</v>
      </c>
      <c r="N1249">
        <v>54.593991667275802</v>
      </c>
      <c r="O1249">
        <v>22.5146260046291</v>
      </c>
      <c r="P1249">
        <v>3.1556803739939099</v>
      </c>
      <c r="Q1249">
        <v>17.480708397822902</v>
      </c>
      <c r="R1249">
        <v>24.805238610326001</v>
      </c>
      <c r="S1249">
        <v>-3.2071061027950898</v>
      </c>
      <c r="T1249">
        <v>51.425162710949202</v>
      </c>
      <c r="U1249">
        <v>0.50097723592667298</v>
      </c>
      <c r="V1249">
        <v>50.643039705243801</v>
      </c>
    </row>
    <row r="1250" spans="1:22" x14ac:dyDescent="0.25">
      <c r="A1250" t="str">
        <f t="shared" si="19"/>
        <v>New Zealand2025</v>
      </c>
      <c r="B1250" t="s">
        <v>173</v>
      </c>
      <c r="C1250" t="s">
        <v>174</v>
      </c>
      <c r="D1250">
        <v>2025</v>
      </c>
      <c r="E1250">
        <v>42950.384171113801</v>
      </c>
      <c r="F1250">
        <v>2.58954199031598</v>
      </c>
      <c r="G1250">
        <v>1.71456170007245</v>
      </c>
      <c r="H1250">
        <v>10</v>
      </c>
      <c r="I1250">
        <v>14.868552843420201</v>
      </c>
      <c r="J1250">
        <v>5.0759999999999996</v>
      </c>
      <c r="K1250">
        <v>33.073784356994999</v>
      </c>
      <c r="L1250">
        <v>32.645339766257599</v>
      </c>
      <c r="M1250">
        <v>2.4727034528576901</v>
      </c>
      <c r="N1250">
        <v>52.596595182905297</v>
      </c>
      <c r="O1250">
        <v>23.165726107779602</v>
      </c>
      <c r="P1250">
        <v>3.0382465715507401</v>
      </c>
      <c r="Q1250">
        <v>19.657969685769199</v>
      </c>
      <c r="R1250">
        <v>27.563441658418601</v>
      </c>
      <c r="S1250">
        <v>-3.85991004444347</v>
      </c>
      <c r="T1250">
        <v>54.7250665947684</v>
      </c>
      <c r="U1250">
        <v>0.38071443827844498</v>
      </c>
      <c r="V1250">
        <v>48.338103337936602</v>
      </c>
    </row>
    <row r="1251" spans="1:22" x14ac:dyDescent="0.25">
      <c r="A1251" t="str">
        <f t="shared" si="19"/>
        <v>Nicaragua2010</v>
      </c>
      <c r="B1251" t="s">
        <v>175</v>
      </c>
      <c r="C1251" t="s">
        <v>176</v>
      </c>
      <c r="D1251">
        <v>2010</v>
      </c>
      <c r="E1251">
        <v>1526.56706951408</v>
      </c>
      <c r="F1251">
        <v>4.4100991171654602</v>
      </c>
      <c r="G1251">
        <v>5.4551342588742298</v>
      </c>
      <c r="H1251">
        <v>7</v>
      </c>
      <c r="I1251">
        <v>4.3940513642820402</v>
      </c>
      <c r="J1251">
        <v>7.83</v>
      </c>
      <c r="K1251">
        <v>14.9932542908436</v>
      </c>
      <c r="L1251">
        <v>14.74186021641</v>
      </c>
      <c r="M1251">
        <v>6.1380867897729798</v>
      </c>
      <c r="N1251">
        <v>62.889490264304897</v>
      </c>
      <c r="O1251">
        <v>24.839868139814801</v>
      </c>
      <c r="P1251">
        <v>3.9240512448423499</v>
      </c>
      <c r="Q1251">
        <v>15.872896745972101</v>
      </c>
      <c r="R1251">
        <v>40.4671151559929</v>
      </c>
      <c r="S1251">
        <v>0.69168065167103898</v>
      </c>
      <c r="T1251">
        <v>30.347139533963301</v>
      </c>
      <c r="U1251">
        <v>-0.57319609927068205</v>
      </c>
      <c r="V1251">
        <v>30.0556158842044</v>
      </c>
    </row>
    <row r="1252" spans="1:22" x14ac:dyDescent="0.25">
      <c r="A1252" t="str">
        <f t="shared" si="19"/>
        <v>Nicaragua2011</v>
      </c>
      <c r="B1252" t="s">
        <v>175</v>
      </c>
      <c r="C1252" t="s">
        <v>176</v>
      </c>
      <c r="D1252">
        <v>2011</v>
      </c>
      <c r="E1252">
        <v>1679.71192084633</v>
      </c>
      <c r="F1252">
        <v>6.3166855349184203</v>
      </c>
      <c r="G1252">
        <v>8.0823879809909993</v>
      </c>
      <c r="H1252">
        <v>7</v>
      </c>
      <c r="I1252">
        <v>4.4233845003248797</v>
      </c>
      <c r="J1252">
        <v>6.6130000000000004</v>
      </c>
      <c r="K1252">
        <v>14.975087287855199</v>
      </c>
      <c r="L1252">
        <v>15.7606753903619</v>
      </c>
      <c r="M1252">
        <v>10.2148276524354</v>
      </c>
      <c r="N1252">
        <v>61.806336835630802</v>
      </c>
      <c r="O1252">
        <v>30.982645426362499</v>
      </c>
      <c r="P1252">
        <v>3.33049488634743</v>
      </c>
      <c r="Q1252">
        <v>19.020001285524</v>
      </c>
      <c r="R1252">
        <v>45.0169781525763</v>
      </c>
      <c r="S1252">
        <v>0.59102240548393603</v>
      </c>
      <c r="T1252">
        <v>28.794342843054501</v>
      </c>
      <c r="U1252">
        <v>-0.52806586582229997</v>
      </c>
      <c r="V1252">
        <v>30.920574278441102</v>
      </c>
    </row>
    <row r="1253" spans="1:22" x14ac:dyDescent="0.25">
      <c r="A1253" t="str">
        <f t="shared" si="19"/>
        <v>Nicaragua2012</v>
      </c>
      <c r="B1253" t="s">
        <v>175</v>
      </c>
      <c r="C1253" t="s">
        <v>176</v>
      </c>
      <c r="D1253">
        <v>2012</v>
      </c>
      <c r="E1253">
        <v>1784.6983601755501</v>
      </c>
      <c r="F1253">
        <v>6.4961364710876</v>
      </c>
      <c r="G1253">
        <v>7.1935505333896002</v>
      </c>
      <c r="H1253">
        <v>7</v>
      </c>
      <c r="I1253">
        <v>4.4581889050802701</v>
      </c>
      <c r="J1253">
        <v>5.2080000000000002</v>
      </c>
      <c r="K1253">
        <v>15.2288833117977</v>
      </c>
      <c r="L1253">
        <v>16.420647049781302</v>
      </c>
      <c r="M1253">
        <v>6.2433592625323699</v>
      </c>
      <c r="N1253">
        <v>60.792386316666303</v>
      </c>
      <c r="O1253">
        <v>31.011677058744699</v>
      </c>
      <c r="P1253">
        <v>2.9917406579460599</v>
      </c>
      <c r="Q1253">
        <v>19.261142105887</v>
      </c>
      <c r="R1253">
        <v>47.469175558778197</v>
      </c>
      <c r="S1253">
        <v>0.223491733251487</v>
      </c>
      <c r="T1253">
        <v>27.852459802265301</v>
      </c>
      <c r="U1253">
        <v>-0.481596801305126</v>
      </c>
      <c r="V1253">
        <v>31.8111924817002</v>
      </c>
    </row>
    <row r="1254" spans="1:22" x14ac:dyDescent="0.25">
      <c r="A1254" t="str">
        <f t="shared" si="19"/>
        <v>Nicaragua2013</v>
      </c>
      <c r="B1254" t="s">
        <v>175</v>
      </c>
      <c r="C1254" t="s">
        <v>176</v>
      </c>
      <c r="D1254">
        <v>2013</v>
      </c>
      <c r="E1254">
        <v>1835.43996363715</v>
      </c>
      <c r="F1254">
        <v>4.9270941344730401</v>
      </c>
      <c r="G1254">
        <v>7.1354678528940703</v>
      </c>
      <c r="H1254">
        <v>7</v>
      </c>
      <c r="I1254">
        <v>4.5106787116543501</v>
      </c>
      <c r="J1254">
        <v>5.28</v>
      </c>
      <c r="K1254">
        <v>15.0906993541647</v>
      </c>
      <c r="L1254">
        <v>16.216857119377998</v>
      </c>
      <c r="M1254">
        <v>4.3491579431384801</v>
      </c>
      <c r="N1254">
        <v>59.894318447509903</v>
      </c>
      <c r="O1254">
        <v>30.9047521156944</v>
      </c>
      <c r="P1254">
        <v>3.0804690190519701</v>
      </c>
      <c r="Q1254">
        <v>17.9499289799016</v>
      </c>
      <c r="R1254">
        <v>45.214269490206398</v>
      </c>
      <c r="S1254">
        <v>-0.29948037403425698</v>
      </c>
      <c r="T1254">
        <v>28.8354460093611</v>
      </c>
      <c r="U1254">
        <v>-0.53844766034136604</v>
      </c>
      <c r="V1254">
        <v>30.721598566809199</v>
      </c>
    </row>
    <row r="1255" spans="1:22" x14ac:dyDescent="0.25">
      <c r="A1255" t="str">
        <f t="shared" si="19"/>
        <v>Nicaragua2014</v>
      </c>
      <c r="B1255" t="s">
        <v>175</v>
      </c>
      <c r="C1255" t="s">
        <v>176</v>
      </c>
      <c r="D1255">
        <v>2014</v>
      </c>
      <c r="E1255">
        <v>1958.3704757954699</v>
      </c>
      <c r="F1255">
        <v>4.7854601358998297</v>
      </c>
      <c r="G1255">
        <v>6.03596861798425</v>
      </c>
      <c r="H1255">
        <v>7</v>
      </c>
      <c r="I1255">
        <v>4.5928359085313204</v>
      </c>
      <c r="J1255">
        <v>4.5199999999999996</v>
      </c>
      <c r="K1255">
        <v>15.427774613121001</v>
      </c>
      <c r="L1255">
        <v>16.4345919850694</v>
      </c>
      <c r="M1255">
        <v>8.3927415328417094</v>
      </c>
      <c r="N1255">
        <v>59.118096654961498</v>
      </c>
      <c r="O1255">
        <v>28.879345487199402</v>
      </c>
      <c r="P1255">
        <v>3.5043713185969798</v>
      </c>
      <c r="Q1255">
        <v>20.631321696270501</v>
      </c>
      <c r="R1255">
        <v>45.008072249633997</v>
      </c>
      <c r="S1255">
        <v>-0.89255274606787605</v>
      </c>
      <c r="T1255">
        <v>28.689616350851399</v>
      </c>
      <c r="U1255">
        <v>-0.48831049075315902</v>
      </c>
      <c r="V1255">
        <v>31.6825190492657</v>
      </c>
    </row>
    <row r="1256" spans="1:22" x14ac:dyDescent="0.25">
      <c r="A1256" t="str">
        <f t="shared" si="19"/>
        <v>Nicaragua2015</v>
      </c>
      <c r="B1256" t="s">
        <v>175</v>
      </c>
      <c r="C1256" t="s">
        <v>176</v>
      </c>
      <c r="D1256">
        <v>2015</v>
      </c>
      <c r="E1256">
        <v>2074.4562063473099</v>
      </c>
      <c r="F1256">
        <v>4.79226768332697</v>
      </c>
      <c r="G1256">
        <v>3.99737996694396</v>
      </c>
      <c r="H1256">
        <v>7</v>
      </c>
      <c r="I1256">
        <v>4.6954695054832003</v>
      </c>
      <c r="J1256">
        <v>4.7</v>
      </c>
      <c r="K1256">
        <v>15.9243152832014</v>
      </c>
      <c r="L1256">
        <v>16.7280500642775</v>
      </c>
      <c r="M1256">
        <v>7.5884852906989702</v>
      </c>
      <c r="N1256">
        <v>58.422799176329399</v>
      </c>
      <c r="O1256">
        <v>33.476637604040697</v>
      </c>
      <c r="P1256">
        <v>3.7741066722948</v>
      </c>
      <c r="Q1256">
        <v>23.488944801329399</v>
      </c>
      <c r="R1256">
        <v>40.083778288841202</v>
      </c>
      <c r="S1256">
        <v>-1.6366724705623501</v>
      </c>
      <c r="T1256">
        <v>28.9107831487112</v>
      </c>
      <c r="U1256">
        <v>-0.55069397060160696</v>
      </c>
      <c r="V1256">
        <v>30.486887862949501</v>
      </c>
    </row>
    <row r="1257" spans="1:22" x14ac:dyDescent="0.25">
      <c r="A1257" t="str">
        <f t="shared" si="19"/>
        <v>Nicaragua2016</v>
      </c>
      <c r="B1257" t="s">
        <v>175</v>
      </c>
      <c r="C1257" t="s">
        <v>176</v>
      </c>
      <c r="D1257">
        <v>2016</v>
      </c>
      <c r="E1257">
        <v>2131.6870482832201</v>
      </c>
      <c r="F1257">
        <v>4.5631473952496702</v>
      </c>
      <c r="G1257">
        <v>3.5231731762847298</v>
      </c>
      <c r="H1257">
        <v>7</v>
      </c>
      <c r="I1257">
        <v>4.7998163867449604</v>
      </c>
      <c r="J1257">
        <v>3.9</v>
      </c>
      <c r="K1257">
        <v>16.393793577434199</v>
      </c>
      <c r="L1257">
        <v>17.382729042675301</v>
      </c>
      <c r="M1257">
        <v>4.5897394493380697</v>
      </c>
      <c r="N1257">
        <v>57.7782531320644</v>
      </c>
      <c r="O1257">
        <v>31.2003868955466</v>
      </c>
      <c r="P1257">
        <v>3.6879300641242301</v>
      </c>
      <c r="Q1257">
        <v>22.5110395005402</v>
      </c>
      <c r="R1257">
        <v>38.882026390657899</v>
      </c>
      <c r="S1257">
        <v>-1.92384398960458</v>
      </c>
      <c r="T1257">
        <v>30.923390721028301</v>
      </c>
      <c r="U1257">
        <v>-0.52500210435665196</v>
      </c>
      <c r="V1257">
        <v>30.9792938106741</v>
      </c>
    </row>
    <row r="1258" spans="1:22" x14ac:dyDescent="0.25">
      <c r="A1258" t="str">
        <f t="shared" si="19"/>
        <v>Nicaragua2017</v>
      </c>
      <c r="B1258" t="s">
        <v>175</v>
      </c>
      <c r="C1258" t="s">
        <v>176</v>
      </c>
      <c r="D1258">
        <v>2017</v>
      </c>
      <c r="E1258">
        <v>2182.6138099567402</v>
      </c>
      <c r="F1258">
        <v>4.6312075758020903</v>
      </c>
      <c r="G1258">
        <v>3.8506716628472701</v>
      </c>
      <c r="H1258">
        <v>7</v>
      </c>
      <c r="I1258">
        <v>4.9017677708614702</v>
      </c>
      <c r="J1258">
        <v>3.3</v>
      </c>
      <c r="K1258">
        <v>16.522265526355401</v>
      </c>
      <c r="L1258">
        <v>17.825815442366601</v>
      </c>
      <c r="M1258">
        <v>4.12384905939905</v>
      </c>
      <c r="N1258">
        <v>57.188875834537598</v>
      </c>
      <c r="O1258">
        <v>29.915430525936099</v>
      </c>
      <c r="P1258">
        <v>3.9656593217471201</v>
      </c>
      <c r="Q1258">
        <v>22.417676293839101</v>
      </c>
      <c r="R1258">
        <v>41.338969262606</v>
      </c>
      <c r="S1258">
        <v>-1.75464550109081</v>
      </c>
      <c r="T1258">
        <v>34.654189470573698</v>
      </c>
      <c r="U1258">
        <v>-0.47365026394702803</v>
      </c>
      <c r="V1258">
        <v>31.963494467925599</v>
      </c>
    </row>
    <row r="1259" spans="1:22" x14ac:dyDescent="0.25">
      <c r="A1259" t="str">
        <f t="shared" si="19"/>
        <v>Nicaragua2018</v>
      </c>
      <c r="B1259" t="s">
        <v>175</v>
      </c>
      <c r="C1259" t="s">
        <v>176</v>
      </c>
      <c r="D1259">
        <v>2018</v>
      </c>
      <c r="E1259">
        <v>2035.16549390507</v>
      </c>
      <c r="F1259">
        <v>-3.3633566598572999</v>
      </c>
      <c r="G1259">
        <v>4.94723728039886</v>
      </c>
      <c r="H1259">
        <v>7</v>
      </c>
      <c r="I1259">
        <v>5.0077264659191796</v>
      </c>
      <c r="J1259">
        <v>5.2</v>
      </c>
      <c r="K1259">
        <v>16.847254180864201</v>
      </c>
      <c r="L1259">
        <v>16.962004877218799</v>
      </c>
      <c r="M1259">
        <v>2.65825855086592</v>
      </c>
      <c r="N1259">
        <v>56.616652742641399</v>
      </c>
      <c r="O1259">
        <v>24.074613719547099</v>
      </c>
      <c r="P1259">
        <v>3.6196633389663</v>
      </c>
      <c r="Q1259">
        <v>22.0075742748284</v>
      </c>
      <c r="R1259">
        <v>42.2771474372665</v>
      </c>
      <c r="S1259">
        <v>-4.3459819542976899</v>
      </c>
      <c r="T1259">
        <v>39.091496886335698</v>
      </c>
      <c r="U1259">
        <v>-0.66782909233551002</v>
      </c>
      <c r="V1259">
        <v>28.241896001350302</v>
      </c>
    </row>
    <row r="1260" spans="1:22" x14ac:dyDescent="0.25">
      <c r="A1260" t="str">
        <f t="shared" si="19"/>
        <v>Nicaragua2019</v>
      </c>
      <c r="B1260" t="s">
        <v>175</v>
      </c>
      <c r="C1260" t="s">
        <v>176</v>
      </c>
      <c r="D1260">
        <v>2019</v>
      </c>
      <c r="E1260">
        <v>1958.62051528095</v>
      </c>
      <c r="F1260">
        <v>-2.8968698672890101</v>
      </c>
      <c r="G1260">
        <v>5.3762899084412599</v>
      </c>
      <c r="H1260">
        <v>7</v>
      </c>
      <c r="I1260">
        <v>5.1154695567640296</v>
      </c>
      <c r="J1260">
        <v>5.4569999999999999</v>
      </c>
      <c r="K1260">
        <v>16.451783777369201</v>
      </c>
      <c r="L1260">
        <v>18.846646465851698</v>
      </c>
      <c r="M1260">
        <v>5.3953867282108199</v>
      </c>
      <c r="N1260">
        <v>56.011313102924603</v>
      </c>
      <c r="O1260">
        <v>17.831076630152001</v>
      </c>
      <c r="P1260">
        <v>4.2238278169991599</v>
      </c>
      <c r="Q1260">
        <v>23.5677934899314</v>
      </c>
      <c r="R1260">
        <v>44.804429785192497</v>
      </c>
      <c r="S1260">
        <v>-1.12179742414969</v>
      </c>
      <c r="T1260">
        <v>44.2037577528329</v>
      </c>
      <c r="U1260">
        <v>-0.41486704759132897</v>
      </c>
      <c r="V1260">
        <v>33.0901236152189</v>
      </c>
    </row>
    <row r="1261" spans="1:22" x14ac:dyDescent="0.25">
      <c r="A1261" t="str">
        <f t="shared" si="19"/>
        <v>Nicaragua2020</v>
      </c>
      <c r="B1261" t="s">
        <v>175</v>
      </c>
      <c r="C1261" t="s">
        <v>176</v>
      </c>
      <c r="D1261">
        <v>2020</v>
      </c>
      <c r="E1261">
        <v>1938.44704754382</v>
      </c>
      <c r="F1261">
        <v>-2.2365417626232298</v>
      </c>
      <c r="G1261">
        <v>3.6818134162557201</v>
      </c>
      <c r="H1261">
        <v>7</v>
      </c>
      <c r="I1261">
        <v>5.1606964347375399</v>
      </c>
      <c r="J1261">
        <v>6.18</v>
      </c>
      <c r="K1261">
        <v>16.416309030407</v>
      </c>
      <c r="L1261">
        <v>18.488952105439701</v>
      </c>
      <c r="M1261">
        <v>6.2853399112861403</v>
      </c>
      <c r="N1261">
        <v>55.2388559468015</v>
      </c>
      <c r="O1261">
        <v>20.3366366143416</v>
      </c>
      <c r="P1261">
        <v>5.6667314078284603</v>
      </c>
      <c r="Q1261">
        <v>23.7524294523657</v>
      </c>
      <c r="R1261">
        <v>41.746100541175501</v>
      </c>
      <c r="S1261">
        <v>-2.5701565262573198</v>
      </c>
      <c r="T1261">
        <v>49.159634022410899</v>
      </c>
      <c r="U1261">
        <v>-0.51950121620673495</v>
      </c>
      <c r="V1261">
        <v>31.0847228992798</v>
      </c>
    </row>
    <row r="1262" spans="1:22" x14ac:dyDescent="0.25">
      <c r="A1262" t="str">
        <f t="shared" si="19"/>
        <v>Nicaragua2021</v>
      </c>
      <c r="B1262" t="s">
        <v>175</v>
      </c>
      <c r="C1262" t="s">
        <v>176</v>
      </c>
      <c r="D1262">
        <v>2021</v>
      </c>
      <c r="E1262">
        <v>2138.38588469449</v>
      </c>
      <c r="F1262">
        <v>10.454389484408001</v>
      </c>
      <c r="G1262">
        <v>4.9284139694896796</v>
      </c>
      <c r="H1262">
        <v>7</v>
      </c>
      <c r="I1262">
        <v>5.1639484518659202</v>
      </c>
      <c r="J1262">
        <v>6.0759999999999996</v>
      </c>
      <c r="K1262">
        <v>17.178154722867902</v>
      </c>
      <c r="L1262">
        <v>20.521477358826498</v>
      </c>
      <c r="M1262">
        <v>3.5219924346503002</v>
      </c>
      <c r="N1262">
        <v>54.364838849139097</v>
      </c>
      <c r="O1262">
        <v>23.792065101338199</v>
      </c>
      <c r="P1262">
        <v>5.3265186306626102</v>
      </c>
      <c r="Q1262">
        <v>19.773821183881299</v>
      </c>
      <c r="R1262">
        <v>46.404243064290498</v>
      </c>
      <c r="S1262">
        <v>-1.2569212635027101</v>
      </c>
      <c r="T1262">
        <v>48.433364837390897</v>
      </c>
      <c r="U1262">
        <v>-0.33612660559019902</v>
      </c>
      <c r="V1262">
        <v>34.5992495618571</v>
      </c>
    </row>
    <row r="1263" spans="1:22" x14ac:dyDescent="0.25">
      <c r="A1263" t="str">
        <f t="shared" si="19"/>
        <v>Nicaragua2022</v>
      </c>
      <c r="B1263" t="s">
        <v>175</v>
      </c>
      <c r="C1263" t="s">
        <v>176</v>
      </c>
      <c r="D1263">
        <v>2022</v>
      </c>
      <c r="E1263">
        <v>2322.8905396458299</v>
      </c>
      <c r="F1263">
        <v>3.5502994561397498</v>
      </c>
      <c r="G1263">
        <v>10.4674244465991</v>
      </c>
      <c r="H1263">
        <v>7</v>
      </c>
      <c r="I1263">
        <v>5.2393649442806698</v>
      </c>
      <c r="J1263">
        <v>4.9690000000000003</v>
      </c>
      <c r="K1263">
        <v>16.6889216424618</v>
      </c>
      <c r="L1263">
        <v>21.505390488494498</v>
      </c>
      <c r="M1263">
        <v>8.3853261861697792</v>
      </c>
      <c r="N1263">
        <v>53.577529025153702</v>
      </c>
      <c r="O1263">
        <v>21.752684444991399</v>
      </c>
      <c r="P1263">
        <v>4.5856399475851903</v>
      </c>
      <c r="Q1263">
        <v>18.139133147781202</v>
      </c>
      <c r="R1263">
        <v>49.895774735830898</v>
      </c>
      <c r="S1263">
        <v>0.647171188091615</v>
      </c>
      <c r="T1263">
        <v>45.918845741997401</v>
      </c>
      <c r="U1263">
        <v>-0.26108509134301</v>
      </c>
      <c r="V1263">
        <v>36.0374824869889</v>
      </c>
    </row>
    <row r="1264" spans="1:22" x14ac:dyDescent="0.25">
      <c r="A1264" t="str">
        <f t="shared" si="19"/>
        <v>Nicaragua2023</v>
      </c>
      <c r="B1264" t="s">
        <v>175</v>
      </c>
      <c r="C1264" t="s">
        <v>176</v>
      </c>
      <c r="D1264">
        <v>2023</v>
      </c>
      <c r="E1264">
        <v>2609.4449207293101</v>
      </c>
      <c r="F1264">
        <v>4.4277438476037396</v>
      </c>
      <c r="G1264">
        <v>8.3876585487253603</v>
      </c>
      <c r="H1264">
        <v>7</v>
      </c>
      <c r="I1264">
        <v>5.37928367274053</v>
      </c>
      <c r="J1264">
        <v>4.6980000000000004</v>
      </c>
      <c r="K1264">
        <v>16.2819508478816</v>
      </c>
      <c r="L1264">
        <v>21.507865120528201</v>
      </c>
      <c r="M1264">
        <v>10.781773656599</v>
      </c>
      <c r="N1264">
        <v>52.865836938638701</v>
      </c>
      <c r="O1264">
        <v>22.151122744724201</v>
      </c>
      <c r="P1264">
        <v>5.6088612658316901</v>
      </c>
      <c r="Q1264">
        <v>29.8324826511023</v>
      </c>
      <c r="R1264">
        <v>45.8493717732877</v>
      </c>
      <c r="S1264">
        <v>2.2961198679392001</v>
      </c>
      <c r="T1264">
        <v>42.390640697342903</v>
      </c>
      <c r="U1264">
        <v>-7.0518350037289998E-2</v>
      </c>
      <c r="V1264">
        <v>39.689852305621997</v>
      </c>
    </row>
    <row r="1265" spans="1:22" x14ac:dyDescent="0.25">
      <c r="A1265" t="str">
        <f t="shared" si="19"/>
        <v>Nicaragua2024</v>
      </c>
      <c r="B1265" t="s">
        <v>175</v>
      </c>
      <c r="C1265" t="s">
        <v>176</v>
      </c>
      <c r="D1265">
        <v>2024</v>
      </c>
      <c r="E1265">
        <v>2847.5396633949799</v>
      </c>
      <c r="F1265">
        <v>3.5878302292345001</v>
      </c>
      <c r="G1265">
        <v>4.6247384105714104</v>
      </c>
      <c r="H1265">
        <v>7</v>
      </c>
      <c r="I1265">
        <v>5.5335856079825998</v>
      </c>
      <c r="J1265">
        <v>4.9800000000000004</v>
      </c>
      <c r="K1265">
        <v>16.337872212657899</v>
      </c>
      <c r="L1265">
        <v>21.5219298022886</v>
      </c>
      <c r="M1265">
        <v>7.3097131343010204</v>
      </c>
      <c r="N1265">
        <v>52.189550933286398</v>
      </c>
      <c r="O1265">
        <v>24.694052839743399</v>
      </c>
      <c r="P1265">
        <v>5.7217483600815298</v>
      </c>
      <c r="Q1265">
        <v>28.015450917039601</v>
      </c>
      <c r="R1265">
        <v>40.4630624895997</v>
      </c>
      <c r="S1265">
        <v>2.2508450870172698</v>
      </c>
      <c r="T1265">
        <v>37.864713318789903</v>
      </c>
      <c r="U1265">
        <v>-0.12645515141269201</v>
      </c>
      <c r="V1265">
        <v>38.617777064713898</v>
      </c>
    </row>
    <row r="1266" spans="1:22" x14ac:dyDescent="0.25">
      <c r="A1266" t="str">
        <f t="shared" si="19"/>
        <v>Nicaragua2025</v>
      </c>
      <c r="B1266" t="s">
        <v>175</v>
      </c>
      <c r="C1266" t="s">
        <v>176</v>
      </c>
      <c r="D1266">
        <v>2025</v>
      </c>
      <c r="E1266">
        <v>2035.16549390507</v>
      </c>
      <c r="F1266">
        <v>4.5631473952496702</v>
      </c>
      <c r="G1266">
        <v>5.3762899084412599</v>
      </c>
      <c r="H1266">
        <v>7</v>
      </c>
      <c r="I1266">
        <v>4.9017677708614702</v>
      </c>
      <c r="J1266">
        <v>5.04</v>
      </c>
      <c r="K1266">
        <v>16.337872212657899</v>
      </c>
      <c r="L1266">
        <v>17.382729042675301</v>
      </c>
      <c r="M1266">
        <v>6.2433592625323699</v>
      </c>
      <c r="N1266">
        <v>57.188875834537598</v>
      </c>
      <c r="O1266">
        <v>24.839868139814801</v>
      </c>
      <c r="P1266">
        <v>3.9240512448423499</v>
      </c>
      <c r="Q1266">
        <v>22.0075742748284</v>
      </c>
      <c r="R1266">
        <v>44.804429785192497</v>
      </c>
      <c r="S1266">
        <v>2.0986072278404899</v>
      </c>
      <c r="T1266">
        <v>34.802009589222401</v>
      </c>
      <c r="U1266">
        <v>-0.28586779586869998</v>
      </c>
      <c r="V1266">
        <v>35.562501378462102</v>
      </c>
    </row>
    <row r="1267" spans="1:22" x14ac:dyDescent="0.25">
      <c r="A1267" t="str">
        <f t="shared" si="19"/>
        <v>North Macedonia2010</v>
      </c>
      <c r="B1267" t="s">
        <v>177</v>
      </c>
      <c r="C1267" t="s">
        <v>178</v>
      </c>
      <c r="D1267">
        <v>2010</v>
      </c>
      <c r="E1267">
        <v>4833.3658675996803</v>
      </c>
      <c r="F1267">
        <v>3.3587508577381202</v>
      </c>
      <c r="G1267">
        <v>1.5099752202761301</v>
      </c>
      <c r="H1267">
        <v>13</v>
      </c>
      <c r="I1267">
        <v>11.614083319319199</v>
      </c>
      <c r="J1267">
        <v>33.134999999999998</v>
      </c>
      <c r="K1267">
        <v>30.086028685375599</v>
      </c>
      <c r="L1267">
        <v>28.929146390545501</v>
      </c>
      <c r="M1267">
        <v>2.04128302301487</v>
      </c>
      <c r="N1267">
        <v>44.833775482488299</v>
      </c>
      <c r="O1267">
        <v>24.468094837364202</v>
      </c>
      <c r="P1267">
        <v>4.7196049836033298</v>
      </c>
      <c r="Q1267">
        <v>23.799436782997802</v>
      </c>
      <c r="R1267">
        <v>39.789753393582401</v>
      </c>
      <c r="S1267">
        <v>-2.4107185734180598</v>
      </c>
      <c r="T1267">
        <v>24.272662197493901</v>
      </c>
      <c r="U1267">
        <v>-0.191897155859515</v>
      </c>
      <c r="V1267">
        <v>37.363526715074102</v>
      </c>
    </row>
    <row r="1268" spans="1:22" x14ac:dyDescent="0.25">
      <c r="A1268" t="str">
        <f t="shared" si="19"/>
        <v>North Macedonia2011</v>
      </c>
      <c r="B1268" t="s">
        <v>177</v>
      </c>
      <c r="C1268" t="s">
        <v>178</v>
      </c>
      <c r="D1268">
        <v>2011</v>
      </c>
      <c r="E1268">
        <v>5416.86672931659</v>
      </c>
      <c r="F1268">
        <v>2.3398860452033099</v>
      </c>
      <c r="G1268">
        <v>3.9047542206974</v>
      </c>
      <c r="H1268">
        <v>13</v>
      </c>
      <c r="I1268">
        <v>11.8089652480304</v>
      </c>
      <c r="J1268">
        <v>31.501999999999999</v>
      </c>
      <c r="K1268">
        <v>28.9817013007717</v>
      </c>
      <c r="L1268">
        <v>28.3319617567096</v>
      </c>
      <c r="M1268">
        <v>3.7221723401057401</v>
      </c>
      <c r="N1268">
        <v>44.621117511684098</v>
      </c>
      <c r="O1268">
        <v>26.913133959231899</v>
      </c>
      <c r="P1268">
        <v>4.3567754720049496</v>
      </c>
      <c r="Q1268">
        <v>25.87093835912</v>
      </c>
      <c r="R1268">
        <v>47.1242131386987</v>
      </c>
      <c r="S1268">
        <v>-2.47379283304537</v>
      </c>
      <c r="T1268">
        <v>27.7280427424183</v>
      </c>
      <c r="U1268">
        <v>-0.16567701318487599</v>
      </c>
      <c r="V1268">
        <v>37.8660575191847</v>
      </c>
    </row>
    <row r="1269" spans="1:22" x14ac:dyDescent="0.25">
      <c r="A1269" t="str">
        <f t="shared" si="19"/>
        <v>North Macedonia2012</v>
      </c>
      <c r="B1269" t="s">
        <v>177</v>
      </c>
      <c r="C1269" t="s">
        <v>178</v>
      </c>
      <c r="D1269">
        <v>2012</v>
      </c>
      <c r="E1269">
        <v>5049.8265386157</v>
      </c>
      <c r="F1269">
        <v>-0.45618322360793701</v>
      </c>
      <c r="G1269">
        <v>3.31605566687647</v>
      </c>
      <c r="H1269">
        <v>13</v>
      </c>
      <c r="I1269">
        <v>12.0723567464621</v>
      </c>
      <c r="J1269">
        <v>31.096</v>
      </c>
      <c r="K1269">
        <v>29.372641701467501</v>
      </c>
      <c r="L1269">
        <v>27.8566883006966</v>
      </c>
      <c r="M1269">
        <v>1.00299826672435</v>
      </c>
      <c r="N1269">
        <v>44.628573612654698</v>
      </c>
      <c r="O1269">
        <v>28.927176384124401</v>
      </c>
      <c r="P1269">
        <v>5.0124553461938497</v>
      </c>
      <c r="Q1269">
        <v>26.6611031524452</v>
      </c>
      <c r="R1269">
        <v>45.374253004587501</v>
      </c>
      <c r="S1269">
        <v>-3.8069178899642799</v>
      </c>
      <c r="T1269">
        <v>33.662031258489797</v>
      </c>
      <c r="U1269">
        <v>-0.27652631182285198</v>
      </c>
      <c r="V1269">
        <v>35.741538676138099</v>
      </c>
    </row>
    <row r="1270" spans="1:22" x14ac:dyDescent="0.25">
      <c r="A1270" t="str">
        <f t="shared" si="19"/>
        <v>North Macedonia2013</v>
      </c>
      <c r="B1270" t="s">
        <v>177</v>
      </c>
      <c r="C1270" t="s">
        <v>178</v>
      </c>
      <c r="D1270">
        <v>2013</v>
      </c>
      <c r="E1270">
        <v>5626.2611566489304</v>
      </c>
      <c r="F1270">
        <v>2.9252576645048398</v>
      </c>
      <c r="G1270">
        <v>2.7850005672610898</v>
      </c>
      <c r="H1270">
        <v>13</v>
      </c>
      <c r="I1270">
        <v>12.458575061591</v>
      </c>
      <c r="J1270">
        <v>29.016999999999999</v>
      </c>
      <c r="K1270">
        <v>28.2476496069864</v>
      </c>
      <c r="L1270">
        <v>26.327538379947001</v>
      </c>
      <c r="M1270">
        <v>4.4832931537793099</v>
      </c>
      <c r="N1270">
        <v>45.013345762729799</v>
      </c>
      <c r="O1270">
        <v>28.8080479626054</v>
      </c>
      <c r="P1270">
        <v>4.61211747267759</v>
      </c>
      <c r="Q1270">
        <v>27.375850048637901</v>
      </c>
      <c r="R1270">
        <v>43.396474533315001</v>
      </c>
      <c r="S1270">
        <v>-3.8360919004325602</v>
      </c>
      <c r="T1270">
        <v>34.039644610801098</v>
      </c>
      <c r="U1270">
        <v>-0.224208739609355</v>
      </c>
      <c r="V1270">
        <v>36.744248385227301</v>
      </c>
    </row>
    <row r="1271" spans="1:22" x14ac:dyDescent="0.25">
      <c r="A1271" t="str">
        <f t="shared" si="19"/>
        <v>North Macedonia2014</v>
      </c>
      <c r="B1271" t="s">
        <v>177</v>
      </c>
      <c r="C1271" t="s">
        <v>178</v>
      </c>
      <c r="D1271">
        <v>2014</v>
      </c>
      <c r="E1271">
        <v>5925.3859221801504</v>
      </c>
      <c r="F1271">
        <v>3.62912351276373</v>
      </c>
      <c r="G1271">
        <v>-0.28170503292849403</v>
      </c>
      <c r="H1271">
        <v>13</v>
      </c>
      <c r="I1271">
        <v>12.926352471314599</v>
      </c>
      <c r="J1271">
        <v>28.215</v>
      </c>
      <c r="K1271">
        <v>28.367221365120699</v>
      </c>
      <c r="L1271">
        <v>26.059213984204899</v>
      </c>
      <c r="M1271">
        <v>1.4469678575990199</v>
      </c>
      <c r="N1271">
        <v>45.4776570410231</v>
      </c>
      <c r="O1271">
        <v>30.295225261593799</v>
      </c>
      <c r="P1271">
        <v>4.5588567971119804</v>
      </c>
      <c r="Q1271">
        <v>29.878234964167198</v>
      </c>
      <c r="R1271">
        <v>47.662855290913498</v>
      </c>
      <c r="S1271">
        <v>-4.1949771715460198</v>
      </c>
      <c r="T1271">
        <v>38.036011180811897</v>
      </c>
      <c r="U1271">
        <v>-0.19583228577947301</v>
      </c>
      <c r="V1271">
        <v>37.2881066829448</v>
      </c>
    </row>
    <row r="1272" spans="1:22" x14ac:dyDescent="0.25">
      <c r="A1272" t="str">
        <f t="shared" si="19"/>
        <v>North Macedonia2015</v>
      </c>
      <c r="B1272" t="s">
        <v>177</v>
      </c>
      <c r="C1272" t="s">
        <v>178</v>
      </c>
      <c r="D1272">
        <v>2015</v>
      </c>
      <c r="E1272">
        <v>5262.6867192867403</v>
      </c>
      <c r="F1272">
        <v>3.85586514041738</v>
      </c>
      <c r="G1272">
        <v>-0.29992047563146201</v>
      </c>
      <c r="H1272">
        <v>13</v>
      </c>
      <c r="I1272">
        <v>13.4042646662284</v>
      </c>
      <c r="J1272">
        <v>26.395</v>
      </c>
      <c r="K1272">
        <v>28.794607015067399</v>
      </c>
      <c r="L1272">
        <v>26.957175033186999</v>
      </c>
      <c r="M1272">
        <v>2.0034208457824101</v>
      </c>
      <c r="N1272">
        <v>45.878783070881802</v>
      </c>
      <c r="O1272">
        <v>30.4035752494839</v>
      </c>
      <c r="P1272">
        <v>4.2227916835352097</v>
      </c>
      <c r="Q1272">
        <v>28.6788993683552</v>
      </c>
      <c r="R1272">
        <v>48.737999906969101</v>
      </c>
      <c r="S1272">
        <v>-3.4752412541997999</v>
      </c>
      <c r="T1272">
        <v>37.997500800878903</v>
      </c>
      <c r="U1272">
        <v>-0.11669422697559501</v>
      </c>
      <c r="V1272">
        <v>38.8048532857363</v>
      </c>
    </row>
    <row r="1273" spans="1:22" x14ac:dyDescent="0.25">
      <c r="A1273" t="str">
        <f t="shared" si="19"/>
        <v>North Macedonia2016</v>
      </c>
      <c r="B1273" t="s">
        <v>177</v>
      </c>
      <c r="C1273" t="s">
        <v>178</v>
      </c>
      <c r="D1273">
        <v>2016</v>
      </c>
      <c r="E1273">
        <v>5598.4862261796698</v>
      </c>
      <c r="F1273">
        <v>2.8482051936330599</v>
      </c>
      <c r="G1273">
        <v>-0.23929078768450099</v>
      </c>
      <c r="H1273">
        <v>13</v>
      </c>
      <c r="I1273">
        <v>13.904075416843099</v>
      </c>
      <c r="J1273">
        <v>24.312000000000001</v>
      </c>
      <c r="K1273">
        <v>27.783137674492899</v>
      </c>
      <c r="L1273">
        <v>26.4266581420489</v>
      </c>
      <c r="M1273">
        <v>3.46525285653088</v>
      </c>
      <c r="N1273">
        <v>46.386586241452299</v>
      </c>
      <c r="O1273">
        <v>32.509688211904901</v>
      </c>
      <c r="P1273">
        <v>4.3120807043316303</v>
      </c>
      <c r="Q1273">
        <v>30.2727997131005</v>
      </c>
      <c r="R1273">
        <v>50.663842164107002</v>
      </c>
      <c r="S1273">
        <v>-2.7017757408447198</v>
      </c>
      <c r="T1273">
        <v>39.721187620410603</v>
      </c>
      <c r="U1273">
        <v>-5.8170937129077199E-2</v>
      </c>
      <c r="V1273">
        <v>39.926500725672398</v>
      </c>
    </row>
    <row r="1274" spans="1:22" x14ac:dyDescent="0.25">
      <c r="A1274" t="str">
        <f t="shared" si="19"/>
        <v>North Macedonia2017</v>
      </c>
      <c r="B1274" t="s">
        <v>177</v>
      </c>
      <c r="C1274" t="s">
        <v>178</v>
      </c>
      <c r="D1274">
        <v>2017</v>
      </c>
      <c r="E1274">
        <v>5955.2973863450998</v>
      </c>
      <c r="F1274">
        <v>1.08177273813243</v>
      </c>
      <c r="G1274">
        <v>1.35161889677442</v>
      </c>
      <c r="H1274">
        <v>13</v>
      </c>
      <c r="I1274">
        <v>14.4580662828714</v>
      </c>
      <c r="J1274">
        <v>22.856999999999999</v>
      </c>
      <c r="K1274">
        <v>27.996704708901099</v>
      </c>
      <c r="L1274">
        <v>26.470072301676399</v>
      </c>
      <c r="M1274">
        <v>2.8070270353903801</v>
      </c>
      <c r="N1274">
        <v>47.067225504313299</v>
      </c>
      <c r="O1274">
        <v>32.272943475714499</v>
      </c>
      <c r="P1274">
        <v>3.98200458325777</v>
      </c>
      <c r="Q1274">
        <v>31.889888448604399</v>
      </c>
      <c r="R1274">
        <v>55.145719342637001</v>
      </c>
      <c r="S1274">
        <v>-2.7335117277619001</v>
      </c>
      <c r="T1274">
        <v>39.382733538860101</v>
      </c>
      <c r="U1274">
        <v>-4.0622075790929203E-3</v>
      </c>
      <c r="V1274">
        <v>40.963539452256398</v>
      </c>
    </row>
    <row r="1275" spans="1:22" x14ac:dyDescent="0.25">
      <c r="A1275" t="str">
        <f t="shared" si="19"/>
        <v>North Macedonia2018</v>
      </c>
      <c r="B1275" t="s">
        <v>177</v>
      </c>
      <c r="C1275" t="s">
        <v>178</v>
      </c>
      <c r="D1275">
        <v>2018</v>
      </c>
      <c r="E1275">
        <v>6713.9892539898901</v>
      </c>
      <c r="F1275">
        <v>2.8805967096426701</v>
      </c>
      <c r="G1275">
        <v>1.4583129850712599</v>
      </c>
      <c r="H1275">
        <v>13</v>
      </c>
      <c r="I1275">
        <v>15.085049786988099</v>
      </c>
      <c r="J1275">
        <v>21.207999999999998</v>
      </c>
      <c r="K1275">
        <v>27.8450488948036</v>
      </c>
      <c r="L1275">
        <v>26.820551162393102</v>
      </c>
      <c r="M1275">
        <v>3.9261552893668199</v>
      </c>
      <c r="N1275">
        <v>48.010684067059799</v>
      </c>
      <c r="O1275">
        <v>32.328811066490303</v>
      </c>
      <c r="P1275">
        <v>3.9661616372853099</v>
      </c>
      <c r="Q1275">
        <v>32.715988446827403</v>
      </c>
      <c r="R1275">
        <v>60.375137317326299</v>
      </c>
      <c r="S1275">
        <v>-1.75524341140635</v>
      </c>
      <c r="T1275">
        <v>40.425273822620802</v>
      </c>
      <c r="U1275">
        <v>0.13424779499877401</v>
      </c>
      <c r="V1275">
        <v>43.614365486060699</v>
      </c>
    </row>
    <row r="1276" spans="1:22" x14ac:dyDescent="0.25">
      <c r="A1276" t="str">
        <f t="shared" si="19"/>
        <v>North Macedonia2019</v>
      </c>
      <c r="B1276" t="s">
        <v>177</v>
      </c>
      <c r="C1276" t="s">
        <v>178</v>
      </c>
      <c r="D1276">
        <v>2019</v>
      </c>
      <c r="E1276">
        <v>6718.8582663545803</v>
      </c>
      <c r="F1276">
        <v>3.91041953840173</v>
      </c>
      <c r="G1276">
        <v>0.76643957345980496</v>
      </c>
      <c r="H1276">
        <v>13</v>
      </c>
      <c r="I1276">
        <v>15.7588026396984</v>
      </c>
      <c r="J1276">
        <v>17.414000000000001</v>
      </c>
      <c r="K1276">
        <v>29.687235026989299</v>
      </c>
      <c r="L1276">
        <v>28.333923745494001</v>
      </c>
      <c r="M1276">
        <v>0.86816868476068998</v>
      </c>
      <c r="N1276">
        <v>49.255615597746797</v>
      </c>
      <c r="O1276">
        <v>34.260116099283501</v>
      </c>
      <c r="P1276">
        <v>4.2286611391389002</v>
      </c>
      <c r="Q1276">
        <v>31.832004860026199</v>
      </c>
      <c r="R1276">
        <v>62.4080567878813</v>
      </c>
      <c r="S1276">
        <v>-1.9678554259307599</v>
      </c>
      <c r="T1276">
        <v>40.448434465412298</v>
      </c>
      <c r="U1276">
        <v>0.23571901311923599</v>
      </c>
      <c r="V1276">
        <v>45.559145629667</v>
      </c>
    </row>
    <row r="1277" spans="1:22" x14ac:dyDescent="0.25">
      <c r="A1277" t="str">
        <f t="shared" si="19"/>
        <v>North Macedonia2020</v>
      </c>
      <c r="B1277" t="s">
        <v>177</v>
      </c>
      <c r="C1277" t="s">
        <v>178</v>
      </c>
      <c r="D1277">
        <v>2020</v>
      </c>
      <c r="E1277">
        <v>6659.59651070776</v>
      </c>
      <c r="F1277">
        <v>-4.6884500095665196</v>
      </c>
      <c r="G1277">
        <v>1.20007348888469</v>
      </c>
      <c r="H1277">
        <v>13</v>
      </c>
      <c r="I1277">
        <v>16.346339012684499</v>
      </c>
      <c r="J1277">
        <v>16.574999999999999</v>
      </c>
      <c r="K1277">
        <v>34.924170212467097</v>
      </c>
      <c r="L1277">
        <v>27.696526778627799</v>
      </c>
      <c r="M1277">
        <v>1.3742807182513701</v>
      </c>
      <c r="N1277">
        <v>50.507320118873402</v>
      </c>
      <c r="O1277">
        <v>29.917373894334201</v>
      </c>
      <c r="P1277">
        <v>5.2647798152658201</v>
      </c>
      <c r="Q1277">
        <v>27.115538504563698</v>
      </c>
      <c r="R1277">
        <v>57.771485775758997</v>
      </c>
      <c r="S1277">
        <v>-8.04836249157675</v>
      </c>
      <c r="T1277">
        <v>50.845999077989703</v>
      </c>
      <c r="U1277">
        <v>-0.104881999408384</v>
      </c>
      <c r="V1277">
        <v>39.031244434378998</v>
      </c>
    </row>
    <row r="1278" spans="1:22" x14ac:dyDescent="0.25">
      <c r="A1278" t="str">
        <f t="shared" si="19"/>
        <v>North Macedonia2021</v>
      </c>
      <c r="B1278" t="s">
        <v>177</v>
      </c>
      <c r="C1278" t="s">
        <v>178</v>
      </c>
      <c r="D1278">
        <v>2021</v>
      </c>
      <c r="E1278">
        <v>7620.8029697750799</v>
      </c>
      <c r="F1278">
        <v>4.5106794903822198</v>
      </c>
      <c r="G1278">
        <v>3.2307491213292798</v>
      </c>
      <c r="H1278">
        <v>13</v>
      </c>
      <c r="I1278">
        <v>16.724393369914999</v>
      </c>
      <c r="J1278">
        <v>15.801</v>
      </c>
      <c r="K1278">
        <v>33.329723282769798</v>
      </c>
      <c r="L1278">
        <v>28.836800581263802</v>
      </c>
      <c r="M1278">
        <v>4.2855253146197203</v>
      </c>
      <c r="N1278">
        <v>51.392194350133501</v>
      </c>
      <c r="O1278">
        <v>32.220798003961903</v>
      </c>
      <c r="P1278">
        <v>4.0800643493248501</v>
      </c>
      <c r="Q1278">
        <v>29.102209860406699</v>
      </c>
      <c r="R1278">
        <v>65.443864856157802</v>
      </c>
      <c r="S1278">
        <v>-5.3167892257664704</v>
      </c>
      <c r="T1278">
        <v>52.749568081474898</v>
      </c>
      <c r="U1278">
        <v>0.14982355857618199</v>
      </c>
      <c r="V1278">
        <v>43.912887927083297</v>
      </c>
    </row>
    <row r="1279" spans="1:22" x14ac:dyDescent="0.25">
      <c r="A1279" t="str">
        <f t="shared" si="19"/>
        <v>North Macedonia2022</v>
      </c>
      <c r="B1279" t="s">
        <v>177</v>
      </c>
      <c r="C1279" t="s">
        <v>178</v>
      </c>
      <c r="D1279">
        <v>2022</v>
      </c>
      <c r="E1279">
        <v>7606.2375253796999</v>
      </c>
      <c r="F1279">
        <v>2.75888415332967</v>
      </c>
      <c r="G1279">
        <v>14.204717319583301</v>
      </c>
      <c r="H1279">
        <v>13</v>
      </c>
      <c r="I1279">
        <v>17.047678201619</v>
      </c>
      <c r="J1279">
        <v>14.476000000000001</v>
      </c>
      <c r="K1279">
        <v>32.202394121683596</v>
      </c>
      <c r="L1279">
        <v>28.976906509746499</v>
      </c>
      <c r="M1279">
        <v>8.8736873252366308</v>
      </c>
      <c r="N1279">
        <v>52.083001222169102</v>
      </c>
      <c r="O1279">
        <v>36.0166355424196</v>
      </c>
      <c r="P1279">
        <v>3.5914358122497201</v>
      </c>
      <c r="Q1279">
        <v>29.919730358605001</v>
      </c>
      <c r="R1279">
        <v>72.785399542204004</v>
      </c>
      <c r="S1279">
        <v>-5.2295845555419502</v>
      </c>
      <c r="T1279">
        <v>50.449300955246699</v>
      </c>
      <c r="U1279">
        <v>0.15517407058863</v>
      </c>
      <c r="V1279">
        <v>44.015434932161902</v>
      </c>
    </row>
    <row r="1280" spans="1:22" x14ac:dyDescent="0.25">
      <c r="A1280" t="str">
        <f t="shared" si="19"/>
        <v>North Macedonia2023</v>
      </c>
      <c r="B1280" t="s">
        <v>177</v>
      </c>
      <c r="C1280" t="s">
        <v>178</v>
      </c>
      <c r="D1280">
        <v>2023</v>
      </c>
      <c r="E1280">
        <v>8674.3584632748498</v>
      </c>
      <c r="F1280">
        <v>2.5549652534030001</v>
      </c>
      <c r="G1280">
        <v>9.3618724976901504</v>
      </c>
      <c r="H1280">
        <v>13</v>
      </c>
      <c r="I1280">
        <v>17.501732584016299</v>
      </c>
      <c r="J1280">
        <v>13.173999999999999</v>
      </c>
      <c r="K1280">
        <v>33.378581744794502</v>
      </c>
      <c r="L1280">
        <v>29.376901762111899</v>
      </c>
      <c r="M1280">
        <v>7.8823999418825803</v>
      </c>
      <c r="N1280">
        <v>52.834069708716399</v>
      </c>
      <c r="O1280">
        <v>29.627805887041099</v>
      </c>
      <c r="P1280">
        <v>4.3735766796746098</v>
      </c>
      <c r="Q1280">
        <v>29.961299849147998</v>
      </c>
      <c r="R1280">
        <v>67.396998045863498</v>
      </c>
      <c r="S1280">
        <v>-4.5876365730613902</v>
      </c>
      <c r="T1280">
        <v>50.533748289985397</v>
      </c>
      <c r="U1280">
        <v>0.28632496943556102</v>
      </c>
      <c r="V1280">
        <v>46.529050798986603</v>
      </c>
    </row>
    <row r="1281" spans="1:22" x14ac:dyDescent="0.25">
      <c r="A1281" t="str">
        <f t="shared" si="19"/>
        <v>North Macedonia2024</v>
      </c>
      <c r="B1281" t="s">
        <v>177</v>
      </c>
      <c r="C1281" t="s">
        <v>178</v>
      </c>
      <c r="D1281">
        <v>2024</v>
      </c>
      <c r="E1281">
        <v>9291.85661671864</v>
      </c>
      <c r="F1281">
        <v>2.99373536567732</v>
      </c>
      <c r="G1281">
        <v>3.4897408602695399</v>
      </c>
      <c r="H1281">
        <v>13</v>
      </c>
      <c r="I1281">
        <v>18.024760163005201</v>
      </c>
      <c r="J1281">
        <v>12.265000000000001</v>
      </c>
      <c r="K1281">
        <v>29.177171501119599</v>
      </c>
      <c r="L1281">
        <v>27.776607539662201</v>
      </c>
      <c r="M1281">
        <v>3.6723941579803099</v>
      </c>
      <c r="N1281">
        <v>53.485987063946602</v>
      </c>
      <c r="O1281">
        <v>30.596210900949099</v>
      </c>
      <c r="P1281">
        <v>4.5772155451258696</v>
      </c>
      <c r="Q1281">
        <v>28.449092241501798</v>
      </c>
      <c r="R1281">
        <v>61.679203747961701</v>
      </c>
      <c r="S1281">
        <v>-4.3767879628995701</v>
      </c>
      <c r="T1281">
        <v>52.929459612524099</v>
      </c>
      <c r="U1281">
        <v>0.22987277768325601</v>
      </c>
      <c r="V1281">
        <v>45.4470976735929</v>
      </c>
    </row>
    <row r="1282" spans="1:22" x14ac:dyDescent="0.25">
      <c r="A1282" t="str">
        <f t="shared" si="19"/>
        <v>North Macedonia2025</v>
      </c>
      <c r="B1282" t="s">
        <v>177</v>
      </c>
      <c r="C1282" t="s">
        <v>178</v>
      </c>
      <c r="D1282">
        <v>2025</v>
      </c>
      <c r="E1282">
        <v>5955.2973863450998</v>
      </c>
      <c r="F1282">
        <v>2.8805967096426701</v>
      </c>
      <c r="G1282">
        <v>1.5099752202761301</v>
      </c>
      <c r="H1282">
        <v>13</v>
      </c>
      <c r="I1282">
        <v>14.4580662828714</v>
      </c>
      <c r="J1282">
        <v>12.256</v>
      </c>
      <c r="K1282">
        <v>29.177171501119599</v>
      </c>
      <c r="L1282">
        <v>27.776607539662201</v>
      </c>
      <c r="M1282">
        <v>3.46525285653088</v>
      </c>
      <c r="N1282">
        <v>47.067225504313299</v>
      </c>
      <c r="O1282">
        <v>30.4035752494839</v>
      </c>
      <c r="P1282">
        <v>4.3567754720049496</v>
      </c>
      <c r="Q1282">
        <v>29.102209860406699</v>
      </c>
      <c r="R1282">
        <v>55.145719342637001</v>
      </c>
      <c r="S1282">
        <v>-4.0076407176680098</v>
      </c>
      <c r="T1282">
        <v>52.5260988539507</v>
      </c>
      <c r="U1282">
        <v>0.16859818132156101</v>
      </c>
      <c r="V1282">
        <v>44.272719159970997</v>
      </c>
    </row>
    <row r="1283" spans="1:22" x14ac:dyDescent="0.25">
      <c r="A1283" t="str">
        <f t="shared" si="19"/>
        <v>Norway2010</v>
      </c>
      <c r="B1283" t="s">
        <v>179</v>
      </c>
      <c r="C1283" t="s">
        <v>180</v>
      </c>
      <c r="D1283">
        <v>2010</v>
      </c>
      <c r="E1283">
        <v>88163.208593142306</v>
      </c>
      <c r="F1283">
        <v>0.78705186149407802</v>
      </c>
      <c r="G1283">
        <v>2.4189063948100298</v>
      </c>
      <c r="H1283">
        <v>10</v>
      </c>
      <c r="I1283">
        <v>14.980276783628801</v>
      </c>
      <c r="J1283">
        <v>3.5270000000000001</v>
      </c>
      <c r="K1283">
        <v>34.7251099755849</v>
      </c>
      <c r="L1283">
        <v>46.950909877402303</v>
      </c>
      <c r="M1283">
        <v>5.9553613211518304</v>
      </c>
      <c r="N1283">
        <v>51.038276923685302</v>
      </c>
      <c r="O1283">
        <v>24.9886867450873</v>
      </c>
      <c r="P1283">
        <v>4.2500843835032098</v>
      </c>
      <c r="Q1283">
        <v>36.954468303426303</v>
      </c>
      <c r="R1283">
        <v>40.150329072742998</v>
      </c>
      <c r="S1283">
        <v>10.647142075793999</v>
      </c>
      <c r="T1283">
        <v>42.065456623193</v>
      </c>
      <c r="U1283">
        <v>1.85247521048744</v>
      </c>
      <c r="V1283">
        <v>76.545620493517504</v>
      </c>
    </row>
    <row r="1284" spans="1:22" x14ac:dyDescent="0.25">
      <c r="A1284" t="str">
        <f t="shared" ref="A1284:A1347" si="20">C1284&amp;D1284</f>
        <v>Norway2011</v>
      </c>
      <c r="B1284" t="s">
        <v>179</v>
      </c>
      <c r="C1284" t="s">
        <v>180</v>
      </c>
      <c r="D1284">
        <v>2011</v>
      </c>
      <c r="E1284">
        <v>101221.81347664401</v>
      </c>
      <c r="F1284">
        <v>1.10565603382983</v>
      </c>
      <c r="G1284">
        <v>1.2849515880916</v>
      </c>
      <c r="H1284">
        <v>10</v>
      </c>
      <c r="I1284">
        <v>15.2444453507473</v>
      </c>
      <c r="J1284">
        <v>3.1960000000000002</v>
      </c>
      <c r="K1284">
        <v>34.1417879241789</v>
      </c>
      <c r="L1284">
        <v>48.6554998364727</v>
      </c>
      <c r="M1284">
        <v>6.6727899950643303</v>
      </c>
      <c r="N1284">
        <v>51.223074649686502</v>
      </c>
      <c r="O1284">
        <v>25.445981019449199</v>
      </c>
      <c r="P1284">
        <v>3.4301610172752599</v>
      </c>
      <c r="Q1284">
        <v>38.979895927421502</v>
      </c>
      <c r="R1284">
        <v>41.661266174341101</v>
      </c>
      <c r="S1284">
        <v>12.9750594030816</v>
      </c>
      <c r="T1284">
        <v>28.9463998079619</v>
      </c>
      <c r="U1284">
        <v>2.14101781332722</v>
      </c>
      <c r="V1284">
        <v>82.075779044694897</v>
      </c>
    </row>
    <row r="1285" spans="1:22" x14ac:dyDescent="0.25">
      <c r="A1285" t="str">
        <f t="shared" si="20"/>
        <v>Norway2012</v>
      </c>
      <c r="B1285" t="s">
        <v>179</v>
      </c>
      <c r="C1285" t="s">
        <v>180</v>
      </c>
      <c r="D1285">
        <v>2012</v>
      </c>
      <c r="E1285">
        <v>102175.91929837401</v>
      </c>
      <c r="F1285">
        <v>2.7179592489473401</v>
      </c>
      <c r="G1285">
        <v>0.69686411149826299</v>
      </c>
      <c r="H1285">
        <v>10</v>
      </c>
      <c r="I1285">
        <v>15.5274803064487</v>
      </c>
      <c r="J1285">
        <v>3.129</v>
      </c>
      <c r="K1285">
        <v>33.728975603084301</v>
      </c>
      <c r="L1285">
        <v>48.424113048183102</v>
      </c>
      <c r="M1285">
        <v>3.35308931885166</v>
      </c>
      <c r="N1285">
        <v>51.444061568953899</v>
      </c>
      <c r="O1285">
        <v>25.8720343590957</v>
      </c>
      <c r="P1285">
        <v>3.4852727154399799</v>
      </c>
      <c r="Q1285">
        <v>39.472869013280999</v>
      </c>
      <c r="R1285">
        <v>41.287064854402303</v>
      </c>
      <c r="S1285">
        <v>13.3589290648173</v>
      </c>
      <c r="T1285">
        <v>30.166112543523401</v>
      </c>
      <c r="U1285">
        <v>2.17777176594194</v>
      </c>
      <c r="V1285">
        <v>82.780199062194896</v>
      </c>
    </row>
    <row r="1286" spans="1:22" x14ac:dyDescent="0.25">
      <c r="A1286" t="str">
        <f t="shared" si="20"/>
        <v>Norway2013</v>
      </c>
      <c r="B1286" t="s">
        <v>179</v>
      </c>
      <c r="C1286" t="s">
        <v>180</v>
      </c>
      <c r="D1286">
        <v>2013</v>
      </c>
      <c r="E1286">
        <v>103553.840134417</v>
      </c>
      <c r="F1286">
        <v>1.0161908404464099</v>
      </c>
      <c r="G1286">
        <v>2.1204862035311201</v>
      </c>
      <c r="H1286">
        <v>10</v>
      </c>
      <c r="I1286">
        <v>15.7789144734543</v>
      </c>
      <c r="J1286">
        <v>3.4249999999999998</v>
      </c>
      <c r="K1286">
        <v>34.193315611414299</v>
      </c>
      <c r="L1286">
        <v>46.287506047078999</v>
      </c>
      <c r="M1286">
        <v>2.55323890073117</v>
      </c>
      <c r="N1286">
        <v>51.671601833690502</v>
      </c>
      <c r="O1286">
        <v>27.327619821152101</v>
      </c>
      <c r="P1286">
        <v>3.79443439347998</v>
      </c>
      <c r="Q1286">
        <v>38.631734645774003</v>
      </c>
      <c r="R1286">
        <v>39.861309534403198</v>
      </c>
      <c r="S1286">
        <v>10.3311019947171</v>
      </c>
      <c r="T1286">
        <v>30.5744336620571</v>
      </c>
      <c r="U1286">
        <v>1.98303384203751</v>
      </c>
      <c r="V1286">
        <v>79.047885065857102</v>
      </c>
    </row>
    <row r="1287" spans="1:22" x14ac:dyDescent="0.25">
      <c r="A1287" t="str">
        <f t="shared" si="20"/>
        <v>Norway2014</v>
      </c>
      <c r="B1287" t="s">
        <v>179</v>
      </c>
      <c r="C1287" t="s">
        <v>180</v>
      </c>
      <c r="D1287">
        <v>2014</v>
      </c>
      <c r="E1287">
        <v>97666.695183874894</v>
      </c>
      <c r="F1287">
        <v>2.04813200438943</v>
      </c>
      <c r="G1287">
        <v>2.04170286707211</v>
      </c>
      <c r="H1287">
        <v>10</v>
      </c>
      <c r="I1287">
        <v>16.0283762490523</v>
      </c>
      <c r="J1287">
        <v>3.4860000000000002</v>
      </c>
      <c r="K1287">
        <v>35.606317462084597</v>
      </c>
      <c r="L1287">
        <v>45.867575691636603</v>
      </c>
      <c r="M1287">
        <v>0.25833284321099398</v>
      </c>
      <c r="N1287">
        <v>51.888856793045797</v>
      </c>
      <c r="O1287">
        <v>27.2099921057026</v>
      </c>
      <c r="P1287">
        <v>4.3166109734649698</v>
      </c>
      <c r="Q1287">
        <v>39.136102828218903</v>
      </c>
      <c r="R1287">
        <v>39.7276720425482</v>
      </c>
      <c r="S1287">
        <v>8.3377838101906399</v>
      </c>
      <c r="T1287">
        <v>28.7999278899694</v>
      </c>
      <c r="U1287">
        <v>1.87781174436081</v>
      </c>
      <c r="V1287">
        <v>77.031216201319594</v>
      </c>
    </row>
    <row r="1288" spans="1:22" x14ac:dyDescent="0.25">
      <c r="A1288" t="str">
        <f t="shared" si="20"/>
        <v>Norway2015</v>
      </c>
      <c r="B1288" t="s">
        <v>179</v>
      </c>
      <c r="C1288" t="s">
        <v>180</v>
      </c>
      <c r="D1288">
        <v>2015</v>
      </c>
      <c r="E1288">
        <v>74809.965804989799</v>
      </c>
      <c r="F1288">
        <v>1.85733971623901</v>
      </c>
      <c r="G1288">
        <v>2.1711366538952701</v>
      </c>
      <c r="H1288">
        <v>10</v>
      </c>
      <c r="I1288">
        <v>16.2747739736493</v>
      </c>
      <c r="J1288">
        <v>4.2960000000000003</v>
      </c>
      <c r="K1288">
        <v>38.151219912701599</v>
      </c>
      <c r="L1288">
        <v>45.3886561903889</v>
      </c>
      <c r="M1288">
        <v>-2.8044681119864001</v>
      </c>
      <c r="N1288">
        <v>52.104456684469703</v>
      </c>
      <c r="O1288">
        <v>26.918841486264501</v>
      </c>
      <c r="P1288">
        <v>4.6079181264475304</v>
      </c>
      <c r="Q1288">
        <v>36.000472103001599</v>
      </c>
      <c r="R1288">
        <v>38.575188734971697</v>
      </c>
      <c r="S1288">
        <v>5.8005458274038997</v>
      </c>
      <c r="T1288">
        <v>33.200301573045103</v>
      </c>
      <c r="U1288">
        <v>1.53637783453069</v>
      </c>
      <c r="V1288">
        <v>70.487351837700999</v>
      </c>
    </row>
    <row r="1289" spans="1:22" x14ac:dyDescent="0.25">
      <c r="A1289" t="str">
        <f t="shared" si="20"/>
        <v>Norway2016</v>
      </c>
      <c r="B1289" t="s">
        <v>179</v>
      </c>
      <c r="C1289" t="s">
        <v>180</v>
      </c>
      <c r="D1289">
        <v>2016</v>
      </c>
      <c r="E1289">
        <v>70867.360997074895</v>
      </c>
      <c r="F1289">
        <v>1.16472423928819</v>
      </c>
      <c r="G1289">
        <v>3.55000000000007</v>
      </c>
      <c r="H1289">
        <v>10</v>
      </c>
      <c r="I1289">
        <v>16.517270968985201</v>
      </c>
      <c r="J1289">
        <v>4.68</v>
      </c>
      <c r="K1289">
        <v>39.738578032660101</v>
      </c>
      <c r="L1289">
        <v>45.182162588032497</v>
      </c>
      <c r="M1289">
        <v>-1.59809716772187</v>
      </c>
      <c r="N1289">
        <v>52.416185960757197</v>
      </c>
      <c r="O1289">
        <v>27.726421558166098</v>
      </c>
      <c r="P1289">
        <v>4.8929081759165403</v>
      </c>
      <c r="Q1289">
        <v>32.953051238212502</v>
      </c>
      <c r="R1289">
        <v>35.938171426187502</v>
      </c>
      <c r="S1289">
        <v>3.9064351461446098</v>
      </c>
      <c r="T1289">
        <v>36.655531691196202</v>
      </c>
      <c r="U1289">
        <v>1.3650873862019699</v>
      </c>
      <c r="V1289">
        <v>67.204428178465605</v>
      </c>
    </row>
    <row r="1290" spans="1:22" x14ac:dyDescent="0.25">
      <c r="A1290" t="str">
        <f t="shared" si="20"/>
        <v>Norway2017</v>
      </c>
      <c r="B1290" t="s">
        <v>179</v>
      </c>
      <c r="C1290" t="s">
        <v>180</v>
      </c>
      <c r="D1290">
        <v>2017</v>
      </c>
      <c r="E1290">
        <v>76131.838403276401</v>
      </c>
      <c r="F1290">
        <v>2.4637462657415301</v>
      </c>
      <c r="G1290">
        <v>1.8751005955254501</v>
      </c>
      <c r="H1290">
        <v>10</v>
      </c>
      <c r="I1290">
        <v>16.781242049517701</v>
      </c>
      <c r="J1290">
        <v>4.1639999999999997</v>
      </c>
      <c r="K1290">
        <v>38.694647743389197</v>
      </c>
      <c r="L1290">
        <v>45.161495144748699</v>
      </c>
      <c r="M1290">
        <v>4.0809493608948202</v>
      </c>
      <c r="N1290">
        <v>52.818721782519397</v>
      </c>
      <c r="O1290">
        <v>27.5528323979124</v>
      </c>
      <c r="P1290">
        <v>4.9967405184065301</v>
      </c>
      <c r="Q1290">
        <v>33.861084682586998</v>
      </c>
      <c r="R1290">
        <v>36.732264994494599</v>
      </c>
      <c r="S1290">
        <v>4.7913392284809797</v>
      </c>
      <c r="T1290">
        <v>36.912138179592901</v>
      </c>
      <c r="U1290">
        <v>1.4814796555849199</v>
      </c>
      <c r="V1290">
        <v>69.435182657992002</v>
      </c>
    </row>
    <row r="1291" spans="1:22" x14ac:dyDescent="0.25">
      <c r="A1291" t="str">
        <f t="shared" si="20"/>
        <v>Norway2018</v>
      </c>
      <c r="B1291" t="s">
        <v>179</v>
      </c>
      <c r="C1291" t="s">
        <v>180</v>
      </c>
      <c r="D1291">
        <v>2018</v>
      </c>
      <c r="E1291">
        <v>82792.842711330406</v>
      </c>
      <c r="F1291">
        <v>0.82893150051690201</v>
      </c>
      <c r="G1291">
        <v>2.7648313452879698</v>
      </c>
      <c r="H1291">
        <v>10</v>
      </c>
      <c r="I1291">
        <v>17.085396957030699</v>
      </c>
      <c r="J1291">
        <v>3.8010000000000002</v>
      </c>
      <c r="K1291">
        <v>37.129454079189003</v>
      </c>
      <c r="L1291">
        <v>46.6544725255768</v>
      </c>
      <c r="M1291">
        <v>6.7429246019348597</v>
      </c>
      <c r="N1291">
        <v>53.196027684159702</v>
      </c>
      <c r="O1291">
        <v>27.7268430380858</v>
      </c>
      <c r="P1291">
        <v>4.3770537696345002</v>
      </c>
      <c r="Q1291">
        <v>36.691183623730502</v>
      </c>
      <c r="R1291">
        <v>38.2210272883516</v>
      </c>
      <c r="S1291">
        <v>7.5593185404064398</v>
      </c>
      <c r="T1291">
        <v>38.067600103544898</v>
      </c>
      <c r="U1291">
        <v>1.68145951201059</v>
      </c>
      <c r="V1291">
        <v>73.267962643309303</v>
      </c>
    </row>
    <row r="1292" spans="1:22" x14ac:dyDescent="0.25">
      <c r="A1292" t="str">
        <f t="shared" si="20"/>
        <v>Norway2019</v>
      </c>
      <c r="B1292" t="s">
        <v>179</v>
      </c>
      <c r="C1292" t="s">
        <v>180</v>
      </c>
      <c r="D1292">
        <v>2019</v>
      </c>
      <c r="E1292">
        <v>76430.588947333803</v>
      </c>
      <c r="F1292">
        <v>1.1237469496875701</v>
      </c>
      <c r="G1292">
        <v>2.1677300330541098</v>
      </c>
      <c r="H1292">
        <v>10</v>
      </c>
      <c r="I1292">
        <v>17.3948556308139</v>
      </c>
      <c r="J1292">
        <v>3.6840000000000002</v>
      </c>
      <c r="K1292">
        <v>38.562087687385102</v>
      </c>
      <c r="L1292">
        <v>47.475727264614299</v>
      </c>
      <c r="M1292">
        <v>-0.54843700245574201</v>
      </c>
      <c r="N1292">
        <v>53.450684644963403</v>
      </c>
      <c r="O1292">
        <v>29.611444403947001</v>
      </c>
      <c r="P1292">
        <v>4.6884139603032304</v>
      </c>
      <c r="Q1292">
        <v>33.415453811469398</v>
      </c>
      <c r="R1292">
        <v>36.640925320626998</v>
      </c>
      <c r="S1292">
        <v>6.2841565915073199</v>
      </c>
      <c r="T1292">
        <v>39.006100943467203</v>
      </c>
      <c r="U1292">
        <v>1.55069936278952</v>
      </c>
      <c r="V1292">
        <v>70.761835817491203</v>
      </c>
    </row>
    <row r="1293" spans="1:22" x14ac:dyDescent="0.25">
      <c r="A1293" t="str">
        <f t="shared" si="20"/>
        <v>Norway2020</v>
      </c>
      <c r="B1293" t="s">
        <v>179</v>
      </c>
      <c r="C1293" t="s">
        <v>180</v>
      </c>
      <c r="D1293">
        <v>2020</v>
      </c>
      <c r="E1293">
        <v>68340.018103370196</v>
      </c>
      <c r="F1293">
        <v>-1.2781717723403401</v>
      </c>
      <c r="G1293">
        <v>1.28658490707996</v>
      </c>
      <c r="H1293">
        <v>10</v>
      </c>
      <c r="I1293">
        <v>17.728183926695699</v>
      </c>
      <c r="J1293">
        <v>4.4240000000000004</v>
      </c>
      <c r="K1293">
        <v>45.390956428793302</v>
      </c>
      <c r="L1293">
        <v>44.614922398041401</v>
      </c>
      <c r="M1293">
        <v>-2.5172606025626898</v>
      </c>
      <c r="N1293">
        <v>53.702403677331702</v>
      </c>
      <c r="O1293">
        <v>31.3521157276673</v>
      </c>
      <c r="P1293">
        <v>6.4627967972979299</v>
      </c>
      <c r="Q1293">
        <v>32.436268017067398</v>
      </c>
      <c r="R1293">
        <v>32.210337779767897</v>
      </c>
      <c r="S1293">
        <v>-2.46161258003804</v>
      </c>
      <c r="T1293">
        <v>44.266072761199197</v>
      </c>
      <c r="U1293">
        <v>1.03064554423776</v>
      </c>
      <c r="V1293">
        <v>60.794572600789003</v>
      </c>
    </row>
    <row r="1294" spans="1:22" x14ac:dyDescent="0.25">
      <c r="A1294" t="str">
        <f t="shared" si="20"/>
        <v>Norway2021</v>
      </c>
      <c r="B1294" t="s">
        <v>179</v>
      </c>
      <c r="C1294" t="s">
        <v>180</v>
      </c>
      <c r="D1294">
        <v>2021</v>
      </c>
      <c r="E1294">
        <v>93072.892511957107</v>
      </c>
      <c r="F1294">
        <v>3.9086867683063402</v>
      </c>
      <c r="G1294">
        <v>3.4838805526666898</v>
      </c>
      <c r="H1294">
        <v>10</v>
      </c>
      <c r="I1294">
        <v>18.074022614821299</v>
      </c>
      <c r="J1294">
        <v>4.359</v>
      </c>
      <c r="K1294">
        <v>36.5206567819884</v>
      </c>
      <c r="L1294">
        <v>47.4371815831474</v>
      </c>
      <c r="M1294">
        <v>20.213475493748899</v>
      </c>
      <c r="N1294">
        <v>53.994260294695898</v>
      </c>
      <c r="O1294">
        <v>25.0880506650083</v>
      </c>
      <c r="P1294">
        <v>5.5936312681460398</v>
      </c>
      <c r="Q1294">
        <v>38.021944040559298</v>
      </c>
      <c r="R1294">
        <v>43.036301920636603</v>
      </c>
      <c r="S1294">
        <v>9.9263984615923704</v>
      </c>
      <c r="T1294">
        <v>40.120862131420303</v>
      </c>
      <c r="U1294">
        <v>1.9813117297071401</v>
      </c>
      <c r="V1294">
        <v>79.014879353230498</v>
      </c>
    </row>
    <row r="1295" spans="1:22" x14ac:dyDescent="0.25">
      <c r="A1295" t="str">
        <f t="shared" si="20"/>
        <v>Norway2022</v>
      </c>
      <c r="B1295" t="s">
        <v>179</v>
      </c>
      <c r="C1295" t="s">
        <v>180</v>
      </c>
      <c r="D1295">
        <v>2022</v>
      </c>
      <c r="E1295">
        <v>109269.52058029801</v>
      </c>
      <c r="F1295">
        <v>3.2462286026093201</v>
      </c>
      <c r="G1295">
        <v>5.7641231785227198</v>
      </c>
      <c r="H1295">
        <v>10</v>
      </c>
      <c r="I1295">
        <v>18.3301335040316</v>
      </c>
      <c r="J1295">
        <v>3.2309999999999999</v>
      </c>
      <c r="K1295">
        <v>29.291694175989299</v>
      </c>
      <c r="L1295">
        <v>56.338854385342202</v>
      </c>
      <c r="M1295">
        <v>28.416785192293201</v>
      </c>
      <c r="N1295">
        <v>54.121894369811002</v>
      </c>
      <c r="O1295">
        <v>21.177762408412502</v>
      </c>
      <c r="P1295">
        <v>4.1484993162928596</v>
      </c>
      <c r="Q1295">
        <v>48.634918800489501</v>
      </c>
      <c r="R1295">
        <v>55.499820771493702</v>
      </c>
      <c r="S1295">
        <v>24.668342365572801</v>
      </c>
      <c r="T1295">
        <v>34.8286682675555</v>
      </c>
      <c r="U1295">
        <v>3.0392029968952698</v>
      </c>
      <c r="V1295">
        <v>99.290243822389499</v>
      </c>
    </row>
    <row r="1296" spans="1:22" x14ac:dyDescent="0.25">
      <c r="A1296" t="str">
        <f t="shared" si="20"/>
        <v>Norway2023</v>
      </c>
      <c r="B1296" t="s">
        <v>179</v>
      </c>
      <c r="C1296" t="s">
        <v>180</v>
      </c>
      <c r="D1296">
        <v>2023</v>
      </c>
      <c r="E1296">
        <v>87497.217964955606</v>
      </c>
      <c r="F1296">
        <v>7.2120480603032902E-2</v>
      </c>
      <c r="G1296">
        <v>5.5178498710465904</v>
      </c>
      <c r="H1296">
        <v>10</v>
      </c>
      <c r="I1296">
        <v>18.533847589681599</v>
      </c>
      <c r="J1296">
        <v>3.5739999999999998</v>
      </c>
      <c r="K1296">
        <v>35.893929679143199</v>
      </c>
      <c r="L1296">
        <v>54.341682611139099</v>
      </c>
      <c r="M1296">
        <v>-11.0768034229592</v>
      </c>
      <c r="N1296">
        <v>53.942338290988197</v>
      </c>
      <c r="O1296">
        <v>24.254566104204599</v>
      </c>
      <c r="P1296">
        <v>4.6409973820152901</v>
      </c>
      <c r="Q1296">
        <v>41.767490133061301</v>
      </c>
      <c r="R1296">
        <v>47.912099026983697</v>
      </c>
      <c r="S1296">
        <v>15.8575123282713</v>
      </c>
      <c r="T1296">
        <v>42.438283241091199</v>
      </c>
      <c r="U1296">
        <v>2.3137855901962601</v>
      </c>
      <c r="V1296">
        <v>85.387016931984505</v>
      </c>
    </row>
    <row r="1297" spans="1:22" x14ac:dyDescent="0.25">
      <c r="A1297" t="str">
        <f t="shared" si="20"/>
        <v>Norway2024</v>
      </c>
      <c r="B1297" t="s">
        <v>179</v>
      </c>
      <c r="C1297" t="s">
        <v>180</v>
      </c>
      <c r="D1297">
        <v>2024</v>
      </c>
      <c r="E1297">
        <v>86785.433448917596</v>
      </c>
      <c r="F1297">
        <v>2.0972305996031699</v>
      </c>
      <c r="G1297">
        <v>3.14530134431081</v>
      </c>
      <c r="H1297">
        <v>10</v>
      </c>
      <c r="I1297">
        <v>18.785240627902699</v>
      </c>
      <c r="J1297">
        <v>4</v>
      </c>
      <c r="K1297">
        <v>36.207293230565803</v>
      </c>
      <c r="L1297">
        <v>53.289955020642303</v>
      </c>
      <c r="M1297">
        <v>-0.229324002998226</v>
      </c>
      <c r="N1297">
        <v>53.784603598081503</v>
      </c>
      <c r="O1297">
        <v>24.135503057187702</v>
      </c>
      <c r="P1297">
        <v>4.3382923846671098</v>
      </c>
      <c r="Q1297">
        <v>40.984101545311702</v>
      </c>
      <c r="R1297">
        <v>47.491709011612599</v>
      </c>
      <c r="S1297">
        <v>12.786915413472</v>
      </c>
      <c r="T1297">
        <v>52.818228755317499</v>
      </c>
      <c r="U1297">
        <v>2.1459944405250799</v>
      </c>
      <c r="V1297">
        <v>82.171160236877299</v>
      </c>
    </row>
    <row r="1298" spans="1:22" x14ac:dyDescent="0.25">
      <c r="A1298" t="str">
        <f t="shared" si="20"/>
        <v>Norway2025</v>
      </c>
      <c r="B1298" t="s">
        <v>179</v>
      </c>
      <c r="C1298" t="s">
        <v>180</v>
      </c>
      <c r="D1298">
        <v>2025</v>
      </c>
      <c r="E1298">
        <v>87497.217964955606</v>
      </c>
      <c r="F1298">
        <v>1.16472423928819</v>
      </c>
      <c r="G1298">
        <v>2.1711366538952701</v>
      </c>
      <c r="H1298">
        <v>10</v>
      </c>
      <c r="I1298">
        <v>16.781242049517701</v>
      </c>
      <c r="J1298">
        <v>4.6369999999999996</v>
      </c>
      <c r="K1298">
        <v>36.207293230565803</v>
      </c>
      <c r="L1298">
        <v>46.950909877402303</v>
      </c>
      <c r="M1298">
        <v>2.55323890073117</v>
      </c>
      <c r="N1298">
        <v>52.818721782519397</v>
      </c>
      <c r="O1298">
        <v>26.918841486264501</v>
      </c>
      <c r="P1298">
        <v>4.3770537696345002</v>
      </c>
      <c r="Q1298">
        <v>38.021944040559298</v>
      </c>
      <c r="R1298">
        <v>39.861309534403198</v>
      </c>
      <c r="S1298">
        <v>9.3441806815228095</v>
      </c>
      <c r="T1298">
        <v>45</v>
      </c>
      <c r="U1298">
        <v>1.7880172909075001</v>
      </c>
      <c r="V1298">
        <v>75.310230947405898</v>
      </c>
    </row>
    <row r="1299" spans="1:22" x14ac:dyDescent="0.25">
      <c r="A1299" t="str">
        <f t="shared" si="20"/>
        <v>Panama2010</v>
      </c>
      <c r="B1299" t="s">
        <v>181</v>
      </c>
      <c r="C1299" t="s">
        <v>182</v>
      </c>
      <c r="D1299">
        <v>2010</v>
      </c>
      <c r="E1299">
        <v>8331.4642225996704</v>
      </c>
      <c r="F1299">
        <v>6.0733934090956403</v>
      </c>
      <c r="G1299">
        <v>3.4912887261879999</v>
      </c>
      <c r="H1299">
        <v>11</v>
      </c>
      <c r="I1299">
        <v>6.2850985315010002</v>
      </c>
      <c r="J1299">
        <v>5.8449999999999998</v>
      </c>
      <c r="K1299">
        <v>13.970605404710399</v>
      </c>
      <c r="L1299">
        <v>12.749685559982201</v>
      </c>
      <c r="M1299">
        <v>2.55070373459982</v>
      </c>
      <c r="N1299">
        <v>54.978770441005103</v>
      </c>
      <c r="O1299">
        <v>37.341202541370002</v>
      </c>
      <c r="P1299">
        <v>1.2768417774901799</v>
      </c>
      <c r="Q1299">
        <v>24.752999703313598</v>
      </c>
      <c r="R1299">
        <v>70.025242051299003</v>
      </c>
      <c r="S1299">
        <v>-1.69263285581735</v>
      </c>
      <c r="T1299">
        <v>38.464347098154001</v>
      </c>
      <c r="U1299">
        <v>-0.25036526441468998</v>
      </c>
      <c r="V1299">
        <v>36.242936870401799</v>
      </c>
    </row>
    <row r="1300" spans="1:22" x14ac:dyDescent="0.25">
      <c r="A1300" t="str">
        <f t="shared" si="20"/>
        <v>Panama2011</v>
      </c>
      <c r="B1300" t="s">
        <v>181</v>
      </c>
      <c r="C1300" t="s">
        <v>182</v>
      </c>
      <c r="D1300">
        <v>2011</v>
      </c>
      <c r="E1300">
        <v>9662.2959091197899</v>
      </c>
      <c r="F1300">
        <v>11.9088772241134</v>
      </c>
      <c r="G1300">
        <v>5.8758024367877004</v>
      </c>
      <c r="H1300">
        <v>11</v>
      </c>
      <c r="I1300">
        <v>6.4553461353573596</v>
      </c>
      <c r="J1300">
        <v>4.03</v>
      </c>
      <c r="K1300">
        <v>13.970605404710399</v>
      </c>
      <c r="L1300">
        <v>12.749685559982201</v>
      </c>
      <c r="M1300">
        <v>5.4877031382985404</v>
      </c>
      <c r="N1300">
        <v>54.764505665750299</v>
      </c>
      <c r="O1300">
        <v>37.618517893377003</v>
      </c>
      <c r="P1300">
        <v>0.81377672776676901</v>
      </c>
      <c r="Q1300">
        <v>29.894705359922501</v>
      </c>
      <c r="R1300">
        <v>77.745672208829504</v>
      </c>
      <c r="S1300">
        <v>-1.97014446541529</v>
      </c>
      <c r="T1300">
        <v>35.905845665658099</v>
      </c>
      <c r="U1300">
        <v>-7.3776567833112303E-2</v>
      </c>
      <c r="V1300">
        <v>39.627405856370402</v>
      </c>
    </row>
    <row r="1301" spans="1:22" x14ac:dyDescent="0.25">
      <c r="A1301" t="str">
        <f t="shared" si="20"/>
        <v>Panama2012</v>
      </c>
      <c r="B1301" t="s">
        <v>181</v>
      </c>
      <c r="C1301" t="s">
        <v>182</v>
      </c>
      <c r="D1301">
        <v>2012</v>
      </c>
      <c r="E1301">
        <v>11064.806366200301</v>
      </c>
      <c r="F1301">
        <v>9.62729355007232</v>
      </c>
      <c r="G1301">
        <v>5.69819959165992</v>
      </c>
      <c r="H1301">
        <v>11</v>
      </c>
      <c r="I1301">
        <v>6.62988988112141</v>
      </c>
      <c r="J1301">
        <v>3.6909999999999998</v>
      </c>
      <c r="K1301">
        <v>13.970605404710399</v>
      </c>
      <c r="L1301">
        <v>12.749685559982201</v>
      </c>
      <c r="M1301">
        <v>6.31829475068864</v>
      </c>
      <c r="N1301">
        <v>54.583569777865499</v>
      </c>
      <c r="O1301">
        <v>42.504022360614798</v>
      </c>
      <c r="P1301">
        <v>0.80802023207217999</v>
      </c>
      <c r="Q1301">
        <v>32.002324027090303</v>
      </c>
      <c r="R1301">
        <v>74.544315694210695</v>
      </c>
      <c r="S1301">
        <v>-1.32370279937762</v>
      </c>
      <c r="T1301">
        <v>31.305872449842202</v>
      </c>
      <c r="U1301">
        <v>-8.0141591099667606E-2</v>
      </c>
      <c r="V1301">
        <v>39.505414900790299</v>
      </c>
    </row>
    <row r="1302" spans="1:22" x14ac:dyDescent="0.25">
      <c r="A1302" t="str">
        <f t="shared" si="20"/>
        <v>Panama2013</v>
      </c>
      <c r="B1302" t="s">
        <v>181</v>
      </c>
      <c r="C1302" t="s">
        <v>182</v>
      </c>
      <c r="D1302">
        <v>2013</v>
      </c>
      <c r="E1302">
        <v>12273.3224983788</v>
      </c>
      <c r="F1302">
        <v>6.3243537350925898</v>
      </c>
      <c r="G1302">
        <v>4.0271599157105999</v>
      </c>
      <c r="H1302">
        <v>11</v>
      </c>
      <c r="I1302">
        <v>6.8083808205280096</v>
      </c>
      <c r="J1302">
        <v>3.6739999999999999</v>
      </c>
      <c r="K1302">
        <v>13.970605404710399</v>
      </c>
      <c r="L1302">
        <v>12.749685559982201</v>
      </c>
      <c r="M1302">
        <v>6.1579363599729904</v>
      </c>
      <c r="N1302">
        <v>54.407521683813499</v>
      </c>
      <c r="O1302">
        <v>43.070530924377799</v>
      </c>
      <c r="P1302">
        <v>0.93653877731948298</v>
      </c>
      <c r="Q1302">
        <v>33.047781900723002</v>
      </c>
      <c r="R1302">
        <v>64.561077270123803</v>
      </c>
      <c r="S1302">
        <v>-2.3983217807118198</v>
      </c>
      <c r="T1302">
        <v>30.777770892260701</v>
      </c>
      <c r="U1302">
        <v>-0.183469345879756</v>
      </c>
      <c r="V1302">
        <v>37.525052690678997</v>
      </c>
    </row>
    <row r="1303" spans="1:22" x14ac:dyDescent="0.25">
      <c r="A1303" t="str">
        <f t="shared" si="20"/>
        <v>Panama2014</v>
      </c>
      <c r="B1303" t="s">
        <v>181</v>
      </c>
      <c r="C1303" t="s">
        <v>182</v>
      </c>
      <c r="D1303">
        <v>2014</v>
      </c>
      <c r="E1303">
        <v>13213.198959113701</v>
      </c>
      <c r="F1303">
        <v>4.6258138460457401</v>
      </c>
      <c r="G1303">
        <v>2.6265269992915101</v>
      </c>
      <c r="H1303">
        <v>11</v>
      </c>
      <c r="I1303">
        <v>6.9988043731142104</v>
      </c>
      <c r="J1303">
        <v>4.391</v>
      </c>
      <c r="K1303">
        <v>12.911287461699001</v>
      </c>
      <c r="L1303">
        <v>13.230828366479001</v>
      </c>
      <c r="M1303">
        <v>4.69411931749082</v>
      </c>
      <c r="N1303">
        <v>54.249947389133702</v>
      </c>
      <c r="O1303">
        <v>43.574677500188201</v>
      </c>
      <c r="P1303">
        <v>1.3077076745709899</v>
      </c>
      <c r="Q1303">
        <v>30.153307746160898</v>
      </c>
      <c r="R1303">
        <v>54.889082060497202</v>
      </c>
      <c r="S1303">
        <v>-3.0392533345739898</v>
      </c>
      <c r="T1303">
        <v>32.948661305882901</v>
      </c>
      <c r="U1303">
        <v>-0.30397390820599002</v>
      </c>
      <c r="V1303">
        <v>35.215482702588297</v>
      </c>
    </row>
    <row r="1304" spans="1:22" x14ac:dyDescent="0.25">
      <c r="A1304" t="str">
        <f t="shared" si="20"/>
        <v>Panama2015</v>
      </c>
      <c r="B1304" t="s">
        <v>181</v>
      </c>
      <c r="C1304" t="s">
        <v>182</v>
      </c>
      <c r="D1304">
        <v>2015</v>
      </c>
      <c r="E1304">
        <v>14082.6548434996</v>
      </c>
      <c r="F1304">
        <v>5.2669172640287503</v>
      </c>
      <c r="G1304">
        <v>0.137492058461504</v>
      </c>
      <c r="H1304">
        <v>11</v>
      </c>
      <c r="I1304">
        <v>7.19795496731152</v>
      </c>
      <c r="J1304">
        <v>4.335</v>
      </c>
      <c r="K1304">
        <v>13.9994263604802</v>
      </c>
      <c r="L1304">
        <v>12.814224702519301</v>
      </c>
      <c r="M1304">
        <v>3.01478928551668</v>
      </c>
      <c r="N1304">
        <v>54.1048939156735</v>
      </c>
      <c r="O1304">
        <v>42.266368644788102</v>
      </c>
      <c r="P1304">
        <v>1.2433611809620499</v>
      </c>
      <c r="Q1304">
        <v>34.082398678296798</v>
      </c>
      <c r="R1304">
        <v>47.3866199170958</v>
      </c>
      <c r="S1304">
        <v>-2.16612430192228</v>
      </c>
      <c r="T1304">
        <v>34.063988190736097</v>
      </c>
      <c r="U1304">
        <v>-0.232645025679626</v>
      </c>
      <c r="V1304">
        <v>36.582559958310298</v>
      </c>
    </row>
    <row r="1305" spans="1:22" x14ac:dyDescent="0.25">
      <c r="A1305" t="str">
        <f t="shared" si="20"/>
        <v>Panama2016</v>
      </c>
      <c r="B1305" t="s">
        <v>181</v>
      </c>
      <c r="C1305" t="s">
        <v>182</v>
      </c>
      <c r="D1305">
        <v>2016</v>
      </c>
      <c r="E1305">
        <v>14832.3611652459</v>
      </c>
      <c r="F1305">
        <v>4.5719669630796904</v>
      </c>
      <c r="G1305">
        <v>0.73973402530003296</v>
      </c>
      <c r="H1305">
        <v>11</v>
      </c>
      <c r="I1305">
        <v>7.3985753346323104</v>
      </c>
      <c r="J1305">
        <v>4.7169999999999996</v>
      </c>
      <c r="K1305">
        <v>13.695057775880599</v>
      </c>
      <c r="L1305">
        <v>12.6851464174451</v>
      </c>
      <c r="M1305">
        <v>2.4750155259104099</v>
      </c>
      <c r="N1305">
        <v>53.949372408918101</v>
      </c>
      <c r="O1305">
        <v>40.262334103339903</v>
      </c>
      <c r="P1305">
        <v>1.4654121143065699</v>
      </c>
      <c r="Q1305">
        <v>32.250906050397397</v>
      </c>
      <c r="R1305">
        <v>41.740755462998699</v>
      </c>
      <c r="S1305">
        <v>-1.7620228734861301</v>
      </c>
      <c r="T1305">
        <v>34.029972850658602</v>
      </c>
      <c r="U1305">
        <v>-0.23881819729982701</v>
      </c>
      <c r="V1305">
        <v>36.464245998820999</v>
      </c>
    </row>
    <row r="1306" spans="1:22" x14ac:dyDescent="0.25">
      <c r="A1306" t="str">
        <f t="shared" si="20"/>
        <v>Panama2017</v>
      </c>
      <c r="B1306" t="s">
        <v>181</v>
      </c>
      <c r="C1306" t="s">
        <v>182</v>
      </c>
      <c r="D1306">
        <v>2017</v>
      </c>
      <c r="E1306">
        <v>15694.629751849499</v>
      </c>
      <c r="F1306">
        <v>5.7440594698869303</v>
      </c>
      <c r="G1306">
        <v>0.87558591875987801</v>
      </c>
      <c r="H1306">
        <v>11</v>
      </c>
      <c r="I1306">
        <v>7.60642319638852</v>
      </c>
      <c r="J1306">
        <v>5.3380000000000001</v>
      </c>
      <c r="K1306">
        <v>13.9417844489407</v>
      </c>
      <c r="L1306">
        <v>13.443609398947499</v>
      </c>
      <c r="M1306">
        <v>1.7946937634494</v>
      </c>
      <c r="N1306">
        <v>53.788922278700198</v>
      </c>
      <c r="O1306">
        <v>41.4845748182451</v>
      </c>
      <c r="P1306">
        <v>0.98542645634113901</v>
      </c>
      <c r="Q1306">
        <v>34.258551958088198</v>
      </c>
      <c r="R1306">
        <v>41.471010674780302</v>
      </c>
      <c r="S1306">
        <v>-1.80326702414574</v>
      </c>
      <c r="T1306">
        <v>34.298448654935598</v>
      </c>
      <c r="U1306">
        <v>-0.218762231066605</v>
      </c>
      <c r="V1306">
        <v>36.848635243512</v>
      </c>
    </row>
    <row r="1307" spans="1:22" x14ac:dyDescent="0.25">
      <c r="A1307" t="str">
        <f t="shared" si="20"/>
        <v>Panama2018</v>
      </c>
      <c r="B1307" t="s">
        <v>181</v>
      </c>
      <c r="C1307" t="s">
        <v>182</v>
      </c>
      <c r="D1307">
        <v>2018</v>
      </c>
      <c r="E1307">
        <v>16151.327343348599</v>
      </c>
      <c r="F1307">
        <v>3.9181980847880999</v>
      </c>
      <c r="G1307">
        <v>0.761578359399944</v>
      </c>
      <c r="H1307">
        <v>11</v>
      </c>
      <c r="I1307">
        <v>7.8290888094743103</v>
      </c>
      <c r="J1307">
        <v>5.1609999999999996</v>
      </c>
      <c r="K1307">
        <v>13.592094310431801</v>
      </c>
      <c r="L1307">
        <v>13.1867976123542</v>
      </c>
      <c r="M1307">
        <v>0.70053682492937197</v>
      </c>
      <c r="N1307">
        <v>53.624280829378002</v>
      </c>
      <c r="O1307">
        <v>41.199090985031098</v>
      </c>
      <c r="P1307">
        <v>0.71386871270427799</v>
      </c>
      <c r="Q1307">
        <v>31.552470590467301</v>
      </c>
      <c r="R1307">
        <v>42.3471044405144</v>
      </c>
      <c r="S1307">
        <v>-2.7608399064710398</v>
      </c>
      <c r="T1307">
        <v>36.264461461848001</v>
      </c>
      <c r="U1307">
        <v>-0.29526091559963002</v>
      </c>
      <c r="V1307">
        <v>35.38247444001</v>
      </c>
    </row>
    <row r="1308" spans="1:22" x14ac:dyDescent="0.25">
      <c r="A1308" t="str">
        <f t="shared" si="20"/>
        <v>Panama2019</v>
      </c>
      <c r="B1308" t="s">
        <v>181</v>
      </c>
      <c r="C1308" t="s">
        <v>182</v>
      </c>
      <c r="D1308">
        <v>2019</v>
      </c>
      <c r="E1308">
        <v>16477.906626811098</v>
      </c>
      <c r="F1308">
        <v>3.1030679327247301</v>
      </c>
      <c r="G1308">
        <v>-0.35508382102124503</v>
      </c>
      <c r="H1308">
        <v>11</v>
      </c>
      <c r="I1308">
        <v>8.0695435249789202</v>
      </c>
      <c r="J1308">
        <v>6.2560000000000002</v>
      </c>
      <c r="K1308">
        <v>15.0372968945625</v>
      </c>
      <c r="L1308">
        <v>11.830656700795799</v>
      </c>
      <c r="M1308">
        <v>0.53835071320509098</v>
      </c>
      <c r="N1308">
        <v>53.402090835685797</v>
      </c>
      <c r="O1308">
        <v>38.067465866472297</v>
      </c>
      <c r="P1308">
        <v>1.21543506107725</v>
      </c>
      <c r="Q1308">
        <v>31.5798942324598</v>
      </c>
      <c r="R1308">
        <v>40.214174485733203</v>
      </c>
      <c r="S1308">
        <v>-2.7419427642916099</v>
      </c>
      <c r="T1308">
        <v>42.456002148623703</v>
      </c>
      <c r="U1308">
        <v>-0.31097588355084599</v>
      </c>
      <c r="V1308">
        <v>35.081284031586598</v>
      </c>
    </row>
    <row r="1309" spans="1:22" x14ac:dyDescent="0.25">
      <c r="A1309" t="str">
        <f t="shared" si="20"/>
        <v>Panama2020</v>
      </c>
      <c r="B1309" t="s">
        <v>181</v>
      </c>
      <c r="C1309" t="s">
        <v>182</v>
      </c>
      <c r="D1309">
        <v>2020</v>
      </c>
      <c r="E1309">
        <v>13290.5608397749</v>
      </c>
      <c r="F1309">
        <v>-17.821229945932402</v>
      </c>
      <c r="G1309">
        <v>-1.5502754080376</v>
      </c>
      <c r="H1309">
        <v>11</v>
      </c>
      <c r="I1309">
        <v>8.2934161235480399</v>
      </c>
      <c r="J1309">
        <v>14.663</v>
      </c>
      <c r="K1309">
        <v>19.2689143780485</v>
      </c>
      <c r="L1309">
        <v>11.5147047797974</v>
      </c>
      <c r="M1309">
        <v>-0.49468573411883199</v>
      </c>
      <c r="N1309">
        <v>53.1002058685187</v>
      </c>
      <c r="O1309">
        <v>23.954607793622799</v>
      </c>
      <c r="P1309">
        <v>5.4739359014064997</v>
      </c>
      <c r="Q1309">
        <v>24.663601495310299</v>
      </c>
      <c r="R1309">
        <v>36.269088164048803</v>
      </c>
      <c r="S1309">
        <v>-9.6766821795014106</v>
      </c>
      <c r="T1309">
        <v>62.354333509420599</v>
      </c>
      <c r="U1309">
        <v>-0.93646552605319699</v>
      </c>
      <c r="V1309">
        <v>23.093255708857399</v>
      </c>
    </row>
    <row r="1310" spans="1:22" x14ac:dyDescent="0.25">
      <c r="A1310" t="str">
        <f t="shared" si="20"/>
        <v>Panama2021</v>
      </c>
      <c r="B1310" t="s">
        <v>181</v>
      </c>
      <c r="C1310" t="s">
        <v>182</v>
      </c>
      <c r="D1310">
        <v>2021</v>
      </c>
      <c r="E1310">
        <v>15509.8069124139</v>
      </c>
      <c r="F1310">
        <v>16.467124860420199</v>
      </c>
      <c r="G1310">
        <v>1.6307033730189799</v>
      </c>
      <c r="H1310">
        <v>11</v>
      </c>
      <c r="I1310">
        <v>8.5088616596151603</v>
      </c>
      <c r="J1310">
        <v>10.177</v>
      </c>
      <c r="K1310">
        <v>17.141256554090099</v>
      </c>
      <c r="L1310">
        <v>11.1554031256111</v>
      </c>
      <c r="M1310">
        <v>1.4151172817689599</v>
      </c>
      <c r="N1310">
        <v>52.792913040298401</v>
      </c>
      <c r="O1310">
        <v>31.298934282848499</v>
      </c>
      <c r="P1310">
        <v>3.5717872610938302</v>
      </c>
      <c r="Q1310">
        <v>28.7279343607286</v>
      </c>
      <c r="R1310">
        <v>41.606704010824402</v>
      </c>
      <c r="S1310">
        <v>-6.4472293522206403</v>
      </c>
      <c r="T1310">
        <v>57.963769990187998</v>
      </c>
      <c r="U1310">
        <v>-0.36777919111560498</v>
      </c>
      <c r="V1310">
        <v>33.992601480126901</v>
      </c>
    </row>
    <row r="1311" spans="1:22" x14ac:dyDescent="0.25">
      <c r="A1311" t="str">
        <f t="shared" si="20"/>
        <v>Panama2022</v>
      </c>
      <c r="B1311" t="s">
        <v>181</v>
      </c>
      <c r="C1311" t="s">
        <v>182</v>
      </c>
      <c r="D1311">
        <v>2022</v>
      </c>
      <c r="E1311">
        <v>17378.607001755699</v>
      </c>
      <c r="F1311">
        <v>11.0385475261766</v>
      </c>
      <c r="G1311">
        <v>2.8596512883471101</v>
      </c>
      <c r="H1311">
        <v>11</v>
      </c>
      <c r="I1311">
        <v>8.7663008294224696</v>
      </c>
      <c r="J1311">
        <v>8.0860000000000003</v>
      </c>
      <c r="K1311">
        <v>13.970605404710399</v>
      </c>
      <c r="L1311">
        <v>12.749685559982201</v>
      </c>
      <c r="M1311">
        <v>2.1959079705397202</v>
      </c>
      <c r="N1311">
        <v>52.523508755391099</v>
      </c>
      <c r="O1311">
        <v>35.854898108566303</v>
      </c>
      <c r="P1311">
        <v>2.1868051977748002</v>
      </c>
      <c r="Q1311">
        <v>33.838904023696401</v>
      </c>
      <c r="R1311">
        <v>48.026597833341498</v>
      </c>
      <c r="S1311">
        <v>-3.9810769999314002</v>
      </c>
      <c r="T1311">
        <v>56.199202090459501</v>
      </c>
      <c r="U1311">
        <v>-0.23556956230492401</v>
      </c>
      <c r="V1311">
        <v>36.526508785736702</v>
      </c>
    </row>
    <row r="1312" spans="1:22" x14ac:dyDescent="0.25">
      <c r="A1312" t="str">
        <f t="shared" si="20"/>
        <v>Panama2023</v>
      </c>
      <c r="B1312" t="s">
        <v>181</v>
      </c>
      <c r="C1312" t="s">
        <v>182</v>
      </c>
      <c r="D1312">
        <v>2023</v>
      </c>
      <c r="E1312">
        <v>18797.193399404499</v>
      </c>
      <c r="F1312">
        <v>7.1663294609994503</v>
      </c>
      <c r="G1312">
        <v>1.4864135527703799</v>
      </c>
      <c r="H1312">
        <v>11</v>
      </c>
      <c r="I1312">
        <v>9.0567352933854508</v>
      </c>
      <c r="J1312">
        <v>6.5439999999999996</v>
      </c>
      <c r="K1312">
        <v>13.970605404710399</v>
      </c>
      <c r="L1312">
        <v>12.749685559982201</v>
      </c>
      <c r="M1312">
        <v>2.25974916163428</v>
      </c>
      <c r="N1312">
        <v>52.283262925397601</v>
      </c>
      <c r="O1312">
        <v>37.492889940594999</v>
      </c>
      <c r="P1312">
        <v>1.84468483901908</v>
      </c>
      <c r="Q1312">
        <v>35.420911116032599</v>
      </c>
      <c r="R1312">
        <v>45.629244010382102</v>
      </c>
      <c r="S1312">
        <v>-3.9022979309687398</v>
      </c>
      <c r="T1312">
        <v>54.418395232811697</v>
      </c>
      <c r="U1312">
        <v>-0.23303655440294899</v>
      </c>
      <c r="V1312">
        <v>36.575055985253996</v>
      </c>
    </row>
    <row r="1313" spans="1:22" x14ac:dyDescent="0.25">
      <c r="A1313" t="str">
        <f t="shared" si="20"/>
        <v>Panama2024</v>
      </c>
      <c r="B1313" t="s">
        <v>181</v>
      </c>
      <c r="C1313" t="s">
        <v>182</v>
      </c>
      <c r="D1313">
        <v>2024</v>
      </c>
      <c r="E1313">
        <v>19161.218850159599</v>
      </c>
      <c r="F1313">
        <v>2.7478854554691599</v>
      </c>
      <c r="G1313">
        <v>0.69322555100453798</v>
      </c>
      <c r="H1313">
        <v>11</v>
      </c>
      <c r="I1313">
        <v>9.3531125701100901</v>
      </c>
      <c r="J1313">
        <v>8.4510000000000005</v>
      </c>
      <c r="K1313">
        <v>13.970605404710399</v>
      </c>
      <c r="L1313">
        <v>12.749685559982201</v>
      </c>
      <c r="M1313">
        <v>0.47464533737937098</v>
      </c>
      <c r="N1313">
        <v>52.086689450371999</v>
      </c>
      <c r="O1313">
        <v>33.533987559236301</v>
      </c>
      <c r="P1313">
        <v>2.06778816529506</v>
      </c>
      <c r="Q1313">
        <v>33.281144295316402</v>
      </c>
      <c r="R1313">
        <v>44.357842219770099</v>
      </c>
      <c r="S1313">
        <v>-6.2298351278544297</v>
      </c>
      <c r="T1313">
        <v>57.814039952036801</v>
      </c>
      <c r="U1313">
        <v>-0.39788302382621898</v>
      </c>
      <c r="V1313">
        <v>33.415636531972403</v>
      </c>
    </row>
    <row r="1314" spans="1:22" x14ac:dyDescent="0.25">
      <c r="A1314" t="str">
        <f t="shared" si="20"/>
        <v>Panama2025</v>
      </c>
      <c r="B1314" t="s">
        <v>181</v>
      </c>
      <c r="C1314" t="s">
        <v>182</v>
      </c>
      <c r="D1314">
        <v>2025</v>
      </c>
      <c r="E1314">
        <v>14832.3611652459</v>
      </c>
      <c r="F1314">
        <v>5.7440594698869303</v>
      </c>
      <c r="G1314">
        <v>1.4864135527703799</v>
      </c>
      <c r="H1314">
        <v>11</v>
      </c>
      <c r="I1314">
        <v>7.60642319638852</v>
      </c>
      <c r="J1314">
        <v>8.36</v>
      </c>
      <c r="K1314">
        <v>13.970605404710399</v>
      </c>
      <c r="L1314">
        <v>12.749685559982201</v>
      </c>
      <c r="M1314">
        <v>2.25974916163428</v>
      </c>
      <c r="N1314">
        <v>53.788922278700198</v>
      </c>
      <c r="O1314">
        <v>38.067465866472297</v>
      </c>
      <c r="P1314">
        <v>1.2768417774901799</v>
      </c>
      <c r="Q1314">
        <v>32.002324027090303</v>
      </c>
      <c r="R1314">
        <v>45.629244010382102</v>
      </c>
      <c r="S1314">
        <v>-3.6709074373984198</v>
      </c>
      <c r="T1314">
        <v>56.582465250470101</v>
      </c>
      <c r="U1314">
        <v>-0.39798755287510101</v>
      </c>
      <c r="V1314">
        <v>33.413633145963402</v>
      </c>
    </row>
    <row r="1315" spans="1:22" x14ac:dyDescent="0.25">
      <c r="A1315" t="str">
        <f t="shared" si="20"/>
        <v>Paraguay2010</v>
      </c>
      <c r="B1315" t="s">
        <v>183</v>
      </c>
      <c r="C1315" t="s">
        <v>184</v>
      </c>
      <c r="D1315">
        <v>2010</v>
      </c>
      <c r="E1315">
        <v>4750.9627366945797</v>
      </c>
      <c r="F1315">
        <v>11.0952312685449</v>
      </c>
      <c r="G1315">
        <v>4.6511627906976498</v>
      </c>
      <c r="H1315">
        <v>9</v>
      </c>
      <c r="I1315">
        <v>4.9860042002648504</v>
      </c>
      <c r="J1315">
        <v>4.569</v>
      </c>
      <c r="K1315">
        <v>11.8391195380723</v>
      </c>
      <c r="L1315">
        <v>14.6634544163848</v>
      </c>
      <c r="M1315">
        <v>4.6557013824977096</v>
      </c>
      <c r="N1315">
        <v>60.085450031344898</v>
      </c>
      <c r="O1315">
        <v>23.834958440668</v>
      </c>
      <c r="P1315">
        <v>4.1031382758108199</v>
      </c>
      <c r="Q1315">
        <v>23.3021136384938</v>
      </c>
      <c r="R1315">
        <v>42.139841625610899</v>
      </c>
      <c r="S1315">
        <v>1.5383936350357399</v>
      </c>
      <c r="T1315">
        <v>12.9758447552699</v>
      </c>
      <c r="U1315">
        <v>-0.12866285584260301</v>
      </c>
      <c r="V1315">
        <v>38.575464576327903</v>
      </c>
    </row>
    <row r="1316" spans="1:22" x14ac:dyDescent="0.25">
      <c r="A1316" t="str">
        <f t="shared" si="20"/>
        <v>Paraguay2011</v>
      </c>
      <c r="B1316" t="s">
        <v>183</v>
      </c>
      <c r="C1316" t="s">
        <v>184</v>
      </c>
      <c r="D1316">
        <v>2011</v>
      </c>
      <c r="E1316">
        <v>5805.4015454292503</v>
      </c>
      <c r="F1316">
        <v>4.2863712070623903</v>
      </c>
      <c r="G1316">
        <v>8.2539682539682993</v>
      </c>
      <c r="H1316">
        <v>13</v>
      </c>
      <c r="I1316">
        <v>5.0961231212463201</v>
      </c>
      <c r="J1316">
        <v>4.67</v>
      </c>
      <c r="K1316">
        <v>13.083281892120899</v>
      </c>
      <c r="L1316">
        <v>15.5615483849891</v>
      </c>
      <c r="M1316">
        <v>5.0957105386659496</v>
      </c>
      <c r="N1316">
        <v>58.883742103804899</v>
      </c>
      <c r="O1316">
        <v>24.661570008633799</v>
      </c>
      <c r="P1316">
        <v>4.1162956393268102</v>
      </c>
      <c r="Q1316">
        <v>24.190551258093201</v>
      </c>
      <c r="R1316">
        <v>40.238859668657</v>
      </c>
      <c r="S1316">
        <v>1.28516184304888</v>
      </c>
      <c r="T1316">
        <v>11.051859387317499</v>
      </c>
      <c r="U1316">
        <v>3.6047901120983702E-2</v>
      </c>
      <c r="V1316">
        <v>41.732282987641902</v>
      </c>
    </row>
    <row r="1317" spans="1:22" x14ac:dyDescent="0.25">
      <c r="A1317" t="str">
        <f t="shared" si="20"/>
        <v>Paraguay2012</v>
      </c>
      <c r="B1317" t="s">
        <v>183</v>
      </c>
      <c r="C1317" t="s">
        <v>184</v>
      </c>
      <c r="D1317">
        <v>2012</v>
      </c>
      <c r="E1317">
        <v>5642.1699167284596</v>
      </c>
      <c r="F1317">
        <v>-0.70804311230419603</v>
      </c>
      <c r="G1317">
        <v>3.6759189797449601</v>
      </c>
      <c r="H1317">
        <v>13</v>
      </c>
      <c r="I1317">
        <v>5.2053855107539304</v>
      </c>
      <c r="J1317">
        <v>4.085</v>
      </c>
      <c r="K1317">
        <v>15.704102901433901</v>
      </c>
      <c r="L1317">
        <v>16.692004661044599</v>
      </c>
      <c r="M1317">
        <v>4.7982758786347501</v>
      </c>
      <c r="N1317">
        <v>57.807598624932197</v>
      </c>
      <c r="O1317">
        <v>21.264211331026502</v>
      </c>
      <c r="P1317">
        <v>4.3035953280271801</v>
      </c>
      <c r="Q1317">
        <v>19.676372704160201</v>
      </c>
      <c r="R1317">
        <v>37.995519198228799</v>
      </c>
      <c r="S1317">
        <v>-0.58256834386190604</v>
      </c>
      <c r="T1317">
        <v>12.312065287297401</v>
      </c>
      <c r="U1317">
        <v>-5.4046450497552599E-2</v>
      </c>
      <c r="V1317">
        <v>40.005549936395703</v>
      </c>
    </row>
    <row r="1318" spans="1:22" x14ac:dyDescent="0.25">
      <c r="A1318" t="str">
        <f t="shared" si="20"/>
        <v>Paraguay2013</v>
      </c>
      <c r="B1318" t="s">
        <v>183</v>
      </c>
      <c r="C1318" t="s">
        <v>184</v>
      </c>
      <c r="D1318">
        <v>2013</v>
      </c>
      <c r="E1318">
        <v>6435.6834273300401</v>
      </c>
      <c r="F1318">
        <v>8.2930764893782101</v>
      </c>
      <c r="G1318">
        <v>2.68385738718582</v>
      </c>
      <c r="H1318">
        <v>13</v>
      </c>
      <c r="I1318">
        <v>5.3226816126182497</v>
      </c>
      <c r="J1318">
        <v>4.3849999999999998</v>
      </c>
      <c r="K1318">
        <v>14.361881110926699</v>
      </c>
      <c r="L1318">
        <v>15.7799856131503</v>
      </c>
      <c r="M1318">
        <v>4.3376760951793898</v>
      </c>
      <c r="N1318">
        <v>56.885850824769499</v>
      </c>
      <c r="O1318">
        <v>22.0169832494221</v>
      </c>
      <c r="P1318">
        <v>4.6736333462444497</v>
      </c>
      <c r="Q1318">
        <v>23.4081033688303</v>
      </c>
      <c r="R1318">
        <v>38.713665582239202</v>
      </c>
      <c r="S1318">
        <v>-1.1571358059563399</v>
      </c>
      <c r="T1318">
        <v>13.4947798069231</v>
      </c>
      <c r="U1318">
        <v>3.0142904171003002E-2</v>
      </c>
      <c r="V1318">
        <v>41.619108818364197</v>
      </c>
    </row>
    <row r="1319" spans="1:22" x14ac:dyDescent="0.25">
      <c r="A1319" t="str">
        <f t="shared" si="20"/>
        <v>Paraguay2014</v>
      </c>
      <c r="B1319" t="s">
        <v>183</v>
      </c>
      <c r="C1319" t="s">
        <v>184</v>
      </c>
      <c r="D1319">
        <v>2014</v>
      </c>
      <c r="E1319">
        <v>6652.25478942461</v>
      </c>
      <c r="F1319">
        <v>5.3012386447575803</v>
      </c>
      <c r="G1319">
        <v>5.0288276745676601</v>
      </c>
      <c r="H1319">
        <v>13</v>
      </c>
      <c r="I1319">
        <v>5.4466111053540196</v>
      </c>
      <c r="J1319">
        <v>5.0339999999999998</v>
      </c>
      <c r="K1319">
        <v>14.0013610516294</v>
      </c>
      <c r="L1319">
        <v>16.718201719072098</v>
      </c>
      <c r="M1319">
        <v>2.8570064335937699</v>
      </c>
      <c r="N1319">
        <v>56.135211644396797</v>
      </c>
      <c r="O1319">
        <v>22.658806410014101</v>
      </c>
      <c r="P1319">
        <v>5.5088680947651198</v>
      </c>
      <c r="Q1319">
        <v>21.772807650535999</v>
      </c>
      <c r="R1319">
        <v>35.464411898762698</v>
      </c>
      <c r="S1319">
        <v>-0.27114559022207002</v>
      </c>
      <c r="T1319">
        <v>15.588768199070399</v>
      </c>
      <c r="U1319">
        <v>1.36420653189672E-2</v>
      </c>
      <c r="V1319">
        <v>41.302856541642797</v>
      </c>
    </row>
    <row r="1320" spans="1:22" x14ac:dyDescent="0.25">
      <c r="A1320" t="str">
        <f t="shared" si="20"/>
        <v>Paraguay2015</v>
      </c>
      <c r="B1320" t="s">
        <v>183</v>
      </c>
      <c r="C1320" t="s">
        <v>184</v>
      </c>
      <c r="D1320">
        <v>2015</v>
      </c>
      <c r="E1320">
        <v>5879.3379230876199</v>
      </c>
      <c r="F1320">
        <v>2.95715168364671</v>
      </c>
      <c r="G1320">
        <v>3.1290027447392501</v>
      </c>
      <c r="H1320">
        <v>13</v>
      </c>
      <c r="I1320">
        <v>5.5630909241167101</v>
      </c>
      <c r="J1320">
        <v>4.556</v>
      </c>
      <c r="K1320">
        <v>14.8283479769749</v>
      </c>
      <c r="L1320">
        <v>17.358483664503002</v>
      </c>
      <c r="M1320">
        <v>1.6038880609203801</v>
      </c>
      <c r="N1320">
        <v>55.559773455819098</v>
      </c>
      <c r="O1320">
        <v>21.878682412934001</v>
      </c>
      <c r="P1320">
        <v>5.3435880796152597</v>
      </c>
      <c r="Q1320">
        <v>21.685744149145201</v>
      </c>
      <c r="R1320">
        <v>34.7346586999493</v>
      </c>
      <c r="S1320">
        <v>-0.43675512468435002</v>
      </c>
      <c r="T1320">
        <v>18.612920905880301</v>
      </c>
      <c r="U1320">
        <v>2.7318889888722901E-3</v>
      </c>
      <c r="V1320">
        <v>41.093753953903899</v>
      </c>
    </row>
    <row r="1321" spans="1:22" x14ac:dyDescent="0.25">
      <c r="A1321" t="str">
        <f t="shared" si="20"/>
        <v>Paraguay2016</v>
      </c>
      <c r="B1321" t="s">
        <v>183</v>
      </c>
      <c r="C1321" t="s">
        <v>184</v>
      </c>
      <c r="D1321">
        <v>2016</v>
      </c>
      <c r="E1321">
        <v>5775.1596339959597</v>
      </c>
      <c r="F1321">
        <v>4.2680258331435796</v>
      </c>
      <c r="G1321">
        <v>4.0868228057724103</v>
      </c>
      <c r="H1321">
        <v>13</v>
      </c>
      <c r="I1321">
        <v>5.67323334495096</v>
      </c>
      <c r="J1321">
        <v>5.2549999999999999</v>
      </c>
      <c r="K1321">
        <v>15.421614390361</v>
      </c>
      <c r="L1321">
        <v>16.864879662861799</v>
      </c>
      <c r="M1321">
        <v>4.1347544440408903</v>
      </c>
      <c r="N1321">
        <v>55.150975564400298</v>
      </c>
      <c r="O1321">
        <v>19.806173956136998</v>
      </c>
      <c r="P1321">
        <v>6.5038735252699302</v>
      </c>
      <c r="Q1321">
        <v>24.384790549246201</v>
      </c>
      <c r="R1321">
        <v>37.143232905214397</v>
      </c>
      <c r="S1321">
        <v>-0.37371149701102302</v>
      </c>
      <c r="T1321">
        <v>19.389945907372699</v>
      </c>
      <c r="U1321">
        <v>7.0675685312242803E-2</v>
      </c>
      <c r="V1321">
        <v>42.395953222016097</v>
      </c>
    </row>
    <row r="1322" spans="1:22" x14ac:dyDescent="0.25">
      <c r="A1322" t="str">
        <f t="shared" si="20"/>
        <v>Paraguay2017</v>
      </c>
      <c r="B1322" t="s">
        <v>183</v>
      </c>
      <c r="C1322" t="s">
        <v>184</v>
      </c>
      <c r="D1322">
        <v>2017</v>
      </c>
      <c r="E1322">
        <v>6152.2671153779002</v>
      </c>
      <c r="F1322">
        <v>4.8100788555217804</v>
      </c>
      <c r="G1322">
        <v>3.6024774134894302</v>
      </c>
      <c r="H1322">
        <v>13</v>
      </c>
      <c r="I1322">
        <v>5.7857807655103199</v>
      </c>
      <c r="J1322">
        <v>6.1379999999999999</v>
      </c>
      <c r="K1322">
        <v>14.4661468516924</v>
      </c>
      <c r="L1322">
        <v>17.443133371659801</v>
      </c>
      <c r="M1322">
        <v>2.15920929175478</v>
      </c>
      <c r="N1322">
        <v>54.889974325346998</v>
      </c>
      <c r="O1322">
        <v>20.600042901799199</v>
      </c>
      <c r="P1322">
        <v>6.4377740569020796</v>
      </c>
      <c r="Q1322">
        <v>24.283246646653598</v>
      </c>
      <c r="R1322">
        <v>38.169284540390102</v>
      </c>
      <c r="S1322">
        <v>-0.438696525990457</v>
      </c>
      <c r="T1322">
        <v>19.846714643482699</v>
      </c>
      <c r="U1322">
        <v>5.8091445311361997E-2</v>
      </c>
      <c r="V1322">
        <v>42.154765814104699</v>
      </c>
    </row>
    <row r="1323" spans="1:22" x14ac:dyDescent="0.25">
      <c r="A1323" t="str">
        <f t="shared" si="20"/>
        <v>Paraguay2018</v>
      </c>
      <c r="B1323" t="s">
        <v>183</v>
      </c>
      <c r="C1323" t="s">
        <v>184</v>
      </c>
      <c r="D1323">
        <v>2018</v>
      </c>
      <c r="E1323">
        <v>6258.4499164098397</v>
      </c>
      <c r="F1323">
        <v>3.2042503408019898</v>
      </c>
      <c r="G1323">
        <v>3.97561015740694</v>
      </c>
      <c r="H1323">
        <v>13</v>
      </c>
      <c r="I1323">
        <v>5.9044184634131298</v>
      </c>
      <c r="J1323">
        <v>6.2169999999999996</v>
      </c>
      <c r="K1323">
        <v>16.1304844057004</v>
      </c>
      <c r="L1323">
        <v>17.3317797902031</v>
      </c>
      <c r="M1323">
        <v>1.9602481984208</v>
      </c>
      <c r="N1323">
        <v>54.736852241949997</v>
      </c>
      <c r="O1323">
        <v>22.782084795335901</v>
      </c>
      <c r="P1323">
        <v>5.6794325746260501</v>
      </c>
      <c r="Q1323">
        <v>22.979443687011599</v>
      </c>
      <c r="R1323">
        <v>36.853223536448198</v>
      </c>
      <c r="S1323">
        <v>-1.0142985402334099</v>
      </c>
      <c r="T1323">
        <v>22.330612881103502</v>
      </c>
      <c r="U1323">
        <v>-2.36103834097528E-2</v>
      </c>
      <c r="V1323">
        <v>40.588882432232701</v>
      </c>
    </row>
    <row r="1324" spans="1:22" x14ac:dyDescent="0.25">
      <c r="A1324" t="str">
        <f t="shared" si="20"/>
        <v>Paraguay2019</v>
      </c>
      <c r="B1324" t="s">
        <v>183</v>
      </c>
      <c r="C1324" t="s">
        <v>184</v>
      </c>
      <c r="D1324">
        <v>2019</v>
      </c>
      <c r="E1324">
        <v>5821.1819954873799</v>
      </c>
      <c r="F1324">
        <v>-0.40185510070193697</v>
      </c>
      <c r="G1324">
        <v>2.7570972756277499</v>
      </c>
      <c r="H1324">
        <v>13</v>
      </c>
      <c r="I1324">
        <v>6.0317805305800798</v>
      </c>
      <c r="J1324">
        <v>6.5949999999999998</v>
      </c>
      <c r="K1324">
        <v>20.350230128210299</v>
      </c>
      <c r="L1324">
        <v>17.546121147344401</v>
      </c>
      <c r="M1324">
        <v>3.0618794546188899</v>
      </c>
      <c r="N1324">
        <v>54.6312782944239</v>
      </c>
      <c r="O1324">
        <v>21.685311621849898</v>
      </c>
      <c r="P1324">
        <v>6.0305363394185898</v>
      </c>
      <c r="Q1324">
        <v>21.540633566705498</v>
      </c>
      <c r="R1324">
        <v>36.087290943441303</v>
      </c>
      <c r="S1324">
        <v>-2.4418129166255902</v>
      </c>
      <c r="T1324">
        <v>25.767901901482698</v>
      </c>
      <c r="U1324">
        <v>-0.10796624813681099</v>
      </c>
      <c r="V1324">
        <v>38.972132246744998</v>
      </c>
    </row>
    <row r="1325" spans="1:22" x14ac:dyDescent="0.25">
      <c r="A1325" t="str">
        <f t="shared" si="20"/>
        <v>Paraguay2020</v>
      </c>
      <c r="B1325" t="s">
        <v>183</v>
      </c>
      <c r="C1325" t="s">
        <v>184</v>
      </c>
      <c r="D1325">
        <v>2020</v>
      </c>
      <c r="E1325">
        <v>5365.4722072110399</v>
      </c>
      <c r="F1325">
        <v>-0.81978539094556901</v>
      </c>
      <c r="G1325">
        <v>1.76751592356698</v>
      </c>
      <c r="H1325">
        <v>13</v>
      </c>
      <c r="I1325">
        <v>6.1500381715541597</v>
      </c>
      <c r="J1325">
        <v>7.548</v>
      </c>
      <c r="K1325">
        <v>18.472798697034602</v>
      </c>
      <c r="L1325">
        <v>16.7319714533199</v>
      </c>
      <c r="M1325">
        <v>2.2039214677246801</v>
      </c>
      <c r="N1325">
        <v>54.522019208382503</v>
      </c>
      <c r="O1325">
        <v>20.041460349626298</v>
      </c>
      <c r="P1325">
        <v>8.9557054483335108</v>
      </c>
      <c r="Q1325">
        <v>22.391319161559899</v>
      </c>
      <c r="R1325">
        <v>33.270626985022197</v>
      </c>
      <c r="S1325">
        <v>-5.7192859058558598</v>
      </c>
      <c r="T1325">
        <v>36.899085614573501</v>
      </c>
      <c r="U1325">
        <v>-0.28769826419914901</v>
      </c>
      <c r="V1325">
        <v>35.527418933129397</v>
      </c>
    </row>
    <row r="1326" spans="1:22" x14ac:dyDescent="0.25">
      <c r="A1326" t="str">
        <f t="shared" si="20"/>
        <v>Paraguay2021</v>
      </c>
      <c r="B1326" t="s">
        <v>183</v>
      </c>
      <c r="C1326" t="s">
        <v>184</v>
      </c>
      <c r="D1326">
        <v>2021</v>
      </c>
      <c r="E1326">
        <v>5976.9317978994904</v>
      </c>
      <c r="F1326">
        <v>4.01673731776404</v>
      </c>
      <c r="G1326">
        <v>4.7879831012359997</v>
      </c>
      <c r="H1326">
        <v>13</v>
      </c>
      <c r="I1326">
        <v>6.1875409736000604</v>
      </c>
      <c r="J1326">
        <v>7.3109999999999999</v>
      </c>
      <c r="K1326">
        <v>16.740069493258002</v>
      </c>
      <c r="L1326">
        <v>16.886852055340501</v>
      </c>
      <c r="M1326">
        <v>8.4481260266984499</v>
      </c>
      <c r="N1326">
        <v>54.343564818481603</v>
      </c>
      <c r="O1326">
        <v>23.9981273744216</v>
      </c>
      <c r="P1326">
        <v>7.2519897880507296</v>
      </c>
      <c r="Q1326">
        <v>23.503626872818</v>
      </c>
      <c r="R1326">
        <v>35.487092510142602</v>
      </c>
      <c r="S1326">
        <v>-3.39350761436173</v>
      </c>
      <c r="T1326">
        <v>37.513242417117397</v>
      </c>
      <c r="U1326">
        <v>-0.173153729365771</v>
      </c>
      <c r="V1326">
        <v>37.722760045897999</v>
      </c>
    </row>
    <row r="1327" spans="1:22" x14ac:dyDescent="0.25">
      <c r="A1327" t="str">
        <f t="shared" si="20"/>
        <v>Paraguay2022</v>
      </c>
      <c r="B1327" t="s">
        <v>183</v>
      </c>
      <c r="C1327" t="s">
        <v>184</v>
      </c>
      <c r="D1327">
        <v>2022</v>
      </c>
      <c r="E1327">
        <v>6205.6259537931901</v>
      </c>
      <c r="F1327">
        <v>0.176038366149214</v>
      </c>
      <c r="G1327">
        <v>9.7655666716440201</v>
      </c>
      <c r="H1327">
        <v>13</v>
      </c>
      <c r="I1327">
        <v>6.23091107355945</v>
      </c>
      <c r="J1327">
        <v>6.7549999999999999</v>
      </c>
      <c r="K1327">
        <v>16.535415857893899</v>
      </c>
      <c r="L1327">
        <v>17.3957386518946</v>
      </c>
      <c r="M1327">
        <v>8.0544605027104801</v>
      </c>
      <c r="N1327">
        <v>54.219471606520997</v>
      </c>
      <c r="O1327">
        <v>27.686435142655501</v>
      </c>
      <c r="P1327">
        <v>6.1107828338766197</v>
      </c>
      <c r="Q1327">
        <v>21.428238916929899</v>
      </c>
      <c r="R1327">
        <v>34.369384585053197</v>
      </c>
      <c r="S1327">
        <v>-2.6453084095111601</v>
      </c>
      <c r="T1327">
        <v>40.636422029522002</v>
      </c>
      <c r="U1327">
        <v>-0.24025356962911501</v>
      </c>
      <c r="V1327">
        <v>36.436735896386203</v>
      </c>
    </row>
    <row r="1328" spans="1:22" x14ac:dyDescent="0.25">
      <c r="A1328" t="str">
        <f t="shared" si="20"/>
        <v>Paraguay2023</v>
      </c>
      <c r="B1328" t="s">
        <v>183</v>
      </c>
      <c r="C1328" t="s">
        <v>184</v>
      </c>
      <c r="D1328">
        <v>2023</v>
      </c>
      <c r="E1328">
        <v>6299.99026533713</v>
      </c>
      <c r="F1328">
        <v>4.9992279112746001</v>
      </c>
      <c r="G1328">
        <v>4.6320228540335604</v>
      </c>
      <c r="H1328">
        <v>13</v>
      </c>
      <c r="I1328">
        <v>6.3692752901530696</v>
      </c>
      <c r="J1328">
        <v>5.7939999999999996</v>
      </c>
      <c r="K1328">
        <v>18.955534261477801</v>
      </c>
      <c r="L1328">
        <v>17.572966205917201</v>
      </c>
      <c r="M1328">
        <v>2.1749945013542802</v>
      </c>
      <c r="N1328">
        <v>54.202665865178297</v>
      </c>
      <c r="O1328">
        <v>20.158384966920501</v>
      </c>
      <c r="P1328">
        <v>5.9657653140037503</v>
      </c>
      <c r="Q1328">
        <v>20.3650572893056</v>
      </c>
      <c r="R1328">
        <v>42.064190212922703</v>
      </c>
      <c r="S1328">
        <v>-3.8074827886257001</v>
      </c>
      <c r="T1328">
        <v>41.038979389376202</v>
      </c>
      <c r="U1328">
        <v>-9.7580310898549794E-2</v>
      </c>
      <c r="V1328">
        <v>39.171187357029901</v>
      </c>
    </row>
    <row r="1329" spans="1:22" x14ac:dyDescent="0.25">
      <c r="A1329" t="str">
        <f t="shared" si="20"/>
        <v>Paraguay2024</v>
      </c>
      <c r="B1329" t="s">
        <v>183</v>
      </c>
      <c r="C1329" t="s">
        <v>184</v>
      </c>
      <c r="D1329">
        <v>2024</v>
      </c>
      <c r="E1329">
        <v>6416.0970897084499</v>
      </c>
      <c r="F1329">
        <v>4.2499601046407198</v>
      </c>
      <c r="G1329">
        <v>3.83540271728533</v>
      </c>
      <c r="H1329">
        <v>13</v>
      </c>
      <c r="I1329">
        <v>6.5376460874799598</v>
      </c>
      <c r="J1329">
        <v>5.6859999999999999</v>
      </c>
      <c r="K1329">
        <v>15.5628586458974</v>
      </c>
      <c r="L1329">
        <v>18.7875124788996</v>
      </c>
      <c r="M1329">
        <v>2.5868579429651102</v>
      </c>
      <c r="N1329">
        <v>54.143953792983197</v>
      </c>
      <c r="O1329">
        <v>22.835719963003399</v>
      </c>
      <c r="P1329">
        <v>5.55063003989381</v>
      </c>
      <c r="Q1329">
        <v>19.588182410612099</v>
      </c>
      <c r="R1329">
        <v>37.201681468997897</v>
      </c>
      <c r="S1329">
        <v>-2.1047962483561</v>
      </c>
      <c r="T1329">
        <v>44.632908509276703</v>
      </c>
      <c r="U1329">
        <v>-9.7515723172258706E-2</v>
      </c>
      <c r="V1329">
        <v>39.172425234429397</v>
      </c>
    </row>
    <row r="1330" spans="1:22" x14ac:dyDescent="0.25">
      <c r="A1330" t="str">
        <f t="shared" si="20"/>
        <v>Paraguay2025</v>
      </c>
      <c r="B1330" t="s">
        <v>183</v>
      </c>
      <c r="C1330" t="s">
        <v>184</v>
      </c>
      <c r="D1330">
        <v>2025</v>
      </c>
      <c r="E1330">
        <v>5976.9317978994904</v>
      </c>
      <c r="F1330">
        <v>4.2499601046407198</v>
      </c>
      <c r="G1330">
        <v>3.97561015740694</v>
      </c>
      <c r="H1330">
        <v>13</v>
      </c>
      <c r="I1330">
        <v>5.7857807655103199</v>
      </c>
      <c r="J1330">
        <v>4.8029999999999999</v>
      </c>
      <c r="K1330">
        <v>15.5628586458974</v>
      </c>
      <c r="L1330">
        <v>16.886852055340501</v>
      </c>
      <c r="M1330">
        <v>3.0618794546188899</v>
      </c>
      <c r="N1330">
        <v>54.889974325346998</v>
      </c>
      <c r="O1330">
        <v>22.0169832494221</v>
      </c>
      <c r="P1330">
        <v>5.6794325746260501</v>
      </c>
      <c r="Q1330">
        <v>22.391319161559899</v>
      </c>
      <c r="R1330">
        <v>37.143232905214397</v>
      </c>
      <c r="S1330">
        <v>-1.68785565068417</v>
      </c>
      <c r="T1330">
        <v>38.1325734873325</v>
      </c>
      <c r="U1330">
        <v>-6.5026893103473593E-2</v>
      </c>
      <c r="V1330">
        <v>39.795100637140798</v>
      </c>
    </row>
    <row r="1331" spans="1:22" x14ac:dyDescent="0.25">
      <c r="A1331" t="str">
        <f t="shared" si="20"/>
        <v>Peru2010</v>
      </c>
      <c r="B1331" t="s">
        <v>185</v>
      </c>
      <c r="C1331" t="s">
        <v>186</v>
      </c>
      <c r="D1331">
        <v>2010</v>
      </c>
      <c r="E1331">
        <v>5072.1149401961502</v>
      </c>
      <c r="F1331">
        <v>8.3324591074957706</v>
      </c>
      <c r="G1331">
        <v>1.5283205973290099</v>
      </c>
      <c r="H1331">
        <v>12</v>
      </c>
      <c r="I1331">
        <v>7.1940937122730002</v>
      </c>
      <c r="J1331">
        <v>3.6</v>
      </c>
      <c r="K1331">
        <v>17.822339894800699</v>
      </c>
      <c r="L1331">
        <v>20.286038761212001</v>
      </c>
      <c r="M1331">
        <v>5.7107285940752197</v>
      </c>
      <c r="N1331">
        <v>57.406511059848498</v>
      </c>
      <c r="O1331">
        <v>23.760509040654199</v>
      </c>
      <c r="P1331">
        <v>11.3343565365921</v>
      </c>
      <c r="Q1331">
        <v>22.446143370597401</v>
      </c>
      <c r="R1331">
        <v>27.826164152174702</v>
      </c>
      <c r="S1331">
        <v>-1.54998196502297E-2</v>
      </c>
      <c r="T1331">
        <v>25.1067132260813</v>
      </c>
      <c r="U1331">
        <v>0.119997318496771</v>
      </c>
      <c r="V1331">
        <v>43.341243272182098</v>
      </c>
    </row>
    <row r="1332" spans="1:22" x14ac:dyDescent="0.25">
      <c r="A1332" t="str">
        <f t="shared" si="20"/>
        <v>Peru2011</v>
      </c>
      <c r="B1332" t="s">
        <v>185</v>
      </c>
      <c r="C1332" t="s">
        <v>186</v>
      </c>
      <c r="D1332">
        <v>2011</v>
      </c>
      <c r="E1332">
        <v>5861.3579364524503</v>
      </c>
      <c r="F1332">
        <v>6.3271924016111702</v>
      </c>
      <c r="G1332">
        <v>3.3693109533385299</v>
      </c>
      <c r="H1332">
        <v>12</v>
      </c>
      <c r="I1332">
        <v>7.4052199991021697</v>
      </c>
      <c r="J1332">
        <v>3.4769999999999999</v>
      </c>
      <c r="K1332">
        <v>17.627884921283901</v>
      </c>
      <c r="L1332">
        <v>20.802561767661299</v>
      </c>
      <c r="M1332">
        <v>6.7457871247568999</v>
      </c>
      <c r="N1332">
        <v>56.973255540450303</v>
      </c>
      <c r="O1332">
        <v>24.200875596397001</v>
      </c>
      <c r="P1332">
        <v>10.1893973684482</v>
      </c>
      <c r="Q1332">
        <v>23.700102854868401</v>
      </c>
      <c r="R1332">
        <v>30.502759756388901</v>
      </c>
      <c r="S1332">
        <v>2.05114250625331</v>
      </c>
      <c r="T1332">
        <v>23.1075688151634</v>
      </c>
      <c r="U1332">
        <v>0.22398983980264001</v>
      </c>
      <c r="V1332">
        <v>45.334346284694597</v>
      </c>
    </row>
    <row r="1333" spans="1:22" x14ac:dyDescent="0.25">
      <c r="A1333" t="str">
        <f t="shared" si="20"/>
        <v>Peru2012</v>
      </c>
      <c r="B1333" t="s">
        <v>185</v>
      </c>
      <c r="C1333" t="s">
        <v>186</v>
      </c>
      <c r="D1333">
        <v>2012</v>
      </c>
      <c r="E1333">
        <v>6519.3785298152698</v>
      </c>
      <c r="F1333">
        <v>6.1397247056043502</v>
      </c>
      <c r="G1333">
        <v>3.6112129494016298</v>
      </c>
      <c r="H1333">
        <v>14</v>
      </c>
      <c r="I1333">
        <v>7.6133608632799996</v>
      </c>
      <c r="J1333">
        <v>3.238</v>
      </c>
      <c r="K1333">
        <v>17.917788498232301</v>
      </c>
      <c r="L1333">
        <v>21.5132965845721</v>
      </c>
      <c r="M1333">
        <v>1.2025849402273801</v>
      </c>
      <c r="N1333">
        <v>56.607830548928298</v>
      </c>
      <c r="O1333">
        <v>24.6060563122502</v>
      </c>
      <c r="P1333">
        <v>12.2049408234151</v>
      </c>
      <c r="Q1333">
        <v>22.892379436094298</v>
      </c>
      <c r="R1333">
        <v>27.449614371097201</v>
      </c>
      <c r="S1333">
        <v>2.0730558891709401</v>
      </c>
      <c r="T1333">
        <v>20.662935057961899</v>
      </c>
      <c r="U1333">
        <v>0.36009182855455901</v>
      </c>
      <c r="V1333">
        <v>47.942853900280902</v>
      </c>
    </row>
    <row r="1334" spans="1:22" x14ac:dyDescent="0.25">
      <c r="A1334" t="str">
        <f t="shared" si="20"/>
        <v>Peru2013</v>
      </c>
      <c r="B1334" t="s">
        <v>185</v>
      </c>
      <c r="C1334" t="s">
        <v>186</v>
      </c>
      <c r="D1334">
        <v>2013</v>
      </c>
      <c r="E1334">
        <v>6746.8002569660102</v>
      </c>
      <c r="F1334">
        <v>5.8525182108492801</v>
      </c>
      <c r="G1334">
        <v>2.7678966608200199</v>
      </c>
      <c r="H1334">
        <v>14</v>
      </c>
      <c r="I1334">
        <v>7.8222360185497903</v>
      </c>
      <c r="J1334">
        <v>3.5750000000000002</v>
      </c>
      <c r="K1334">
        <v>18.9583513319003</v>
      </c>
      <c r="L1334">
        <v>21.549204089125102</v>
      </c>
      <c r="M1334">
        <v>1.0572343514957701</v>
      </c>
      <c r="N1334">
        <v>56.2690728263129</v>
      </c>
      <c r="O1334">
        <v>25.574181869025502</v>
      </c>
      <c r="P1334">
        <v>12.375951982138799</v>
      </c>
      <c r="Q1334">
        <v>22.500258649403101</v>
      </c>
      <c r="R1334">
        <v>24.808299420850801</v>
      </c>
      <c r="S1334">
        <v>0.75421215494210303</v>
      </c>
      <c r="T1334">
        <v>19.902240961576201</v>
      </c>
      <c r="U1334">
        <v>0.28837571830562397</v>
      </c>
      <c r="V1334">
        <v>46.5683551037529</v>
      </c>
    </row>
    <row r="1335" spans="1:22" x14ac:dyDescent="0.25">
      <c r="A1335" t="str">
        <f t="shared" si="20"/>
        <v>Peru2014</v>
      </c>
      <c r="B1335" t="s">
        <v>185</v>
      </c>
      <c r="C1335" t="s">
        <v>186</v>
      </c>
      <c r="D1335">
        <v>2014</v>
      </c>
      <c r="E1335">
        <v>6667.1341036086096</v>
      </c>
      <c r="F1335">
        <v>2.3821573718054099</v>
      </c>
      <c r="G1335">
        <v>3.4119457980746501</v>
      </c>
      <c r="H1335">
        <v>14</v>
      </c>
      <c r="I1335">
        <v>8.0220080963411107</v>
      </c>
      <c r="J1335">
        <v>3.2080000000000002</v>
      </c>
      <c r="K1335">
        <v>20.511421911594802</v>
      </c>
      <c r="L1335">
        <v>21.829690728852299</v>
      </c>
      <c r="M1335">
        <v>2.43244108501779</v>
      </c>
      <c r="N1335">
        <v>55.926052641552502</v>
      </c>
      <c r="O1335">
        <v>24.666120507121398</v>
      </c>
      <c r="P1335">
        <v>12.410662570930199</v>
      </c>
      <c r="Q1335">
        <v>21.237893055694698</v>
      </c>
      <c r="R1335">
        <v>22.606970375815099</v>
      </c>
      <c r="S1335">
        <v>-0.188399428871622</v>
      </c>
      <c r="T1335">
        <v>20.459640370473501</v>
      </c>
      <c r="U1335">
        <v>0.22781212987479199</v>
      </c>
      <c r="V1335">
        <v>45.4076036474533</v>
      </c>
    </row>
    <row r="1336" spans="1:22" x14ac:dyDescent="0.25">
      <c r="A1336" t="str">
        <f t="shared" si="20"/>
        <v>Peru2015</v>
      </c>
      <c r="B1336" t="s">
        <v>185</v>
      </c>
      <c r="C1336" t="s">
        <v>186</v>
      </c>
      <c r="D1336">
        <v>2015</v>
      </c>
      <c r="E1336">
        <v>6231.7115033889404</v>
      </c>
      <c r="F1336">
        <v>3.2522447721845098</v>
      </c>
      <c r="G1336">
        <v>3.39809194746308</v>
      </c>
      <c r="H1336">
        <v>14</v>
      </c>
      <c r="I1336">
        <v>8.1944342298802297</v>
      </c>
      <c r="J1336">
        <v>3.2719999999999998</v>
      </c>
      <c r="K1336">
        <v>20.567582370092801</v>
      </c>
      <c r="L1336">
        <v>19.679565807863</v>
      </c>
      <c r="M1336">
        <v>2.69052090074331</v>
      </c>
      <c r="N1336">
        <v>55.524996179226903</v>
      </c>
      <c r="O1336">
        <v>24.305114358322701</v>
      </c>
      <c r="P1336">
        <v>13.5146151849289</v>
      </c>
      <c r="Q1336">
        <v>20.6492413442475</v>
      </c>
      <c r="R1336">
        <v>21.2873252858958</v>
      </c>
      <c r="S1336">
        <v>-2.0196183780540098</v>
      </c>
      <c r="T1336">
        <v>23.688922188054701</v>
      </c>
      <c r="U1336">
        <v>0.125385774241629</v>
      </c>
      <c r="V1336">
        <v>43.444517500395897</v>
      </c>
    </row>
    <row r="1337" spans="1:22" x14ac:dyDescent="0.25">
      <c r="A1337" t="str">
        <f t="shared" si="20"/>
        <v>Peru2016</v>
      </c>
      <c r="B1337" t="s">
        <v>185</v>
      </c>
      <c r="C1337" t="s">
        <v>186</v>
      </c>
      <c r="D1337">
        <v>2016</v>
      </c>
      <c r="E1337">
        <v>6217.0359999544698</v>
      </c>
      <c r="F1337">
        <v>3.9533187152076699</v>
      </c>
      <c r="G1337">
        <v>3.5571766355627901</v>
      </c>
      <c r="H1337">
        <v>14</v>
      </c>
      <c r="I1337">
        <v>8.3047722929719896</v>
      </c>
      <c r="J1337">
        <v>3.7410000000000001</v>
      </c>
      <c r="K1337">
        <v>19.188026935289798</v>
      </c>
      <c r="L1337">
        <v>18.276565220673401</v>
      </c>
      <c r="M1337">
        <v>3.0808826903773401</v>
      </c>
      <c r="N1337">
        <v>55.031522638730301</v>
      </c>
      <c r="O1337">
        <v>22.0213133889585</v>
      </c>
      <c r="P1337">
        <v>13.7928059022351</v>
      </c>
      <c r="Q1337">
        <v>20.4050878556308</v>
      </c>
      <c r="R1337">
        <v>22.600313740990799</v>
      </c>
      <c r="S1337">
        <v>-2.1180609148369398</v>
      </c>
      <c r="T1337">
        <v>23.9317616143279</v>
      </c>
      <c r="U1337">
        <v>0.12583337043064899</v>
      </c>
      <c r="V1337">
        <v>43.453096052983298</v>
      </c>
    </row>
    <row r="1338" spans="1:22" x14ac:dyDescent="0.25">
      <c r="A1338" t="str">
        <f t="shared" si="20"/>
        <v>Peru2017</v>
      </c>
      <c r="B1338" t="s">
        <v>185</v>
      </c>
      <c r="C1338" t="s">
        <v>186</v>
      </c>
      <c r="D1338">
        <v>2017</v>
      </c>
      <c r="E1338">
        <v>6736.1669372548704</v>
      </c>
      <c r="F1338">
        <v>2.5188354423313499</v>
      </c>
      <c r="G1338">
        <v>2.9949004580944298</v>
      </c>
      <c r="H1338">
        <v>14</v>
      </c>
      <c r="I1338">
        <v>8.4037750924898997</v>
      </c>
      <c r="J1338">
        <v>3.6909999999999998</v>
      </c>
      <c r="K1338">
        <v>20.150278468518501</v>
      </c>
      <c r="L1338">
        <v>17.823403398989399</v>
      </c>
      <c r="M1338">
        <v>3.6156582610597399</v>
      </c>
      <c r="N1338">
        <v>54.434279847722301</v>
      </c>
      <c r="O1338">
        <v>20.711813706323799</v>
      </c>
      <c r="P1338">
        <v>12.6238201396483</v>
      </c>
      <c r="Q1338">
        <v>20.619774583116499</v>
      </c>
      <c r="R1338">
        <v>24.719871974697298</v>
      </c>
      <c r="S1338">
        <v>-2.7884778287783298</v>
      </c>
      <c r="T1338">
        <v>24.799389071788099</v>
      </c>
      <c r="U1338">
        <v>0.105387741572518</v>
      </c>
      <c r="V1338">
        <v>43.061238600561403</v>
      </c>
    </row>
    <row r="1339" spans="1:22" x14ac:dyDescent="0.25">
      <c r="A1339" t="str">
        <f t="shared" si="20"/>
        <v>Peru2018</v>
      </c>
      <c r="B1339" t="s">
        <v>185</v>
      </c>
      <c r="C1339" t="s">
        <v>186</v>
      </c>
      <c r="D1339">
        <v>2018</v>
      </c>
      <c r="E1339">
        <v>6978.4912154862704</v>
      </c>
      <c r="F1339">
        <v>3.9693513413649999</v>
      </c>
      <c r="G1339">
        <v>1.5091542302474199</v>
      </c>
      <c r="H1339">
        <v>14</v>
      </c>
      <c r="I1339">
        <v>8.5039514043438391</v>
      </c>
      <c r="J1339">
        <v>3.492</v>
      </c>
      <c r="K1339">
        <v>19.8892517491084</v>
      </c>
      <c r="L1339">
        <v>19.037964270731901</v>
      </c>
      <c r="M1339">
        <v>2.2774153176213301</v>
      </c>
      <c r="N1339">
        <v>53.570295964892402</v>
      </c>
      <c r="O1339">
        <v>21.311175142293202</v>
      </c>
      <c r="P1339">
        <v>11.083038521869099</v>
      </c>
      <c r="Q1339">
        <v>20.405164169286401</v>
      </c>
      <c r="R1339">
        <v>25.192184672247201</v>
      </c>
      <c r="S1339">
        <v>-1.94437351722065</v>
      </c>
      <c r="T1339">
        <v>25.688619263133798</v>
      </c>
      <c r="U1339">
        <v>0.16502648571704201</v>
      </c>
      <c r="V1339">
        <v>44.2042646482451</v>
      </c>
    </row>
    <row r="1340" spans="1:22" x14ac:dyDescent="0.25">
      <c r="A1340" t="str">
        <f t="shared" si="20"/>
        <v>Peru2019</v>
      </c>
      <c r="B1340" t="s">
        <v>185</v>
      </c>
      <c r="C1340" t="s">
        <v>186</v>
      </c>
      <c r="D1340">
        <v>2019</v>
      </c>
      <c r="E1340">
        <v>7037.0080369260404</v>
      </c>
      <c r="F1340">
        <v>2.24063176875049</v>
      </c>
      <c r="G1340">
        <v>2.2521219135802699</v>
      </c>
      <c r="H1340">
        <v>14</v>
      </c>
      <c r="I1340">
        <v>8.6069737769097792</v>
      </c>
      <c r="J1340">
        <v>3.379</v>
      </c>
      <c r="K1340">
        <v>20.6619118591877</v>
      </c>
      <c r="L1340">
        <v>19.529002666156501</v>
      </c>
      <c r="M1340">
        <v>1.8722162677549501</v>
      </c>
      <c r="N1340">
        <v>52.7058864277693</v>
      </c>
      <c r="O1340">
        <v>20.833639551486598</v>
      </c>
      <c r="P1340">
        <v>12.7993509450421</v>
      </c>
      <c r="Q1340">
        <v>20.7209681530768</v>
      </c>
      <c r="R1340">
        <v>24.039087434906801</v>
      </c>
      <c r="S1340">
        <v>-1.3678525298147599</v>
      </c>
      <c r="T1340">
        <v>26.501346696322301</v>
      </c>
      <c r="U1340">
        <v>0.213889976172915</v>
      </c>
      <c r="V1340">
        <v>45.140774012635099</v>
      </c>
    </row>
    <row r="1341" spans="1:22" x14ac:dyDescent="0.25">
      <c r="A1341" t="str">
        <f t="shared" si="20"/>
        <v>Peru2020</v>
      </c>
      <c r="B1341" t="s">
        <v>185</v>
      </c>
      <c r="C1341" t="s">
        <v>186</v>
      </c>
      <c r="D1341">
        <v>2020</v>
      </c>
      <c r="E1341">
        <v>6133.3255241018296</v>
      </c>
      <c r="F1341">
        <v>-10.933306501038199</v>
      </c>
      <c r="G1341">
        <v>2.0024120575929198</v>
      </c>
      <c r="H1341">
        <v>14</v>
      </c>
      <c r="I1341">
        <v>8.7180750312296507</v>
      </c>
      <c r="J1341">
        <v>7.1790000000000003</v>
      </c>
      <c r="K1341">
        <v>26.906540274766598</v>
      </c>
      <c r="L1341">
        <v>18.050122306578601</v>
      </c>
      <c r="M1341">
        <v>3.71917119669504</v>
      </c>
      <c r="N1341">
        <v>52.025967936687799</v>
      </c>
      <c r="O1341">
        <v>18.1912588877919</v>
      </c>
      <c r="P1341">
        <v>17.726919419297499</v>
      </c>
      <c r="Q1341">
        <v>19.881478751876099</v>
      </c>
      <c r="R1341">
        <v>23.011443142993102</v>
      </c>
      <c r="S1341">
        <v>-8.1856896986314798</v>
      </c>
      <c r="T1341">
        <v>34.2893715944451</v>
      </c>
      <c r="U1341">
        <v>-0.23235140847965699</v>
      </c>
      <c r="V1341">
        <v>36.588187375728801</v>
      </c>
    </row>
    <row r="1342" spans="1:22" x14ac:dyDescent="0.25">
      <c r="A1342" t="str">
        <f t="shared" si="20"/>
        <v>Peru2021</v>
      </c>
      <c r="B1342" t="s">
        <v>185</v>
      </c>
      <c r="C1342" t="s">
        <v>186</v>
      </c>
      <c r="D1342">
        <v>2021</v>
      </c>
      <c r="E1342">
        <v>6826.2025561447699</v>
      </c>
      <c r="F1342">
        <v>13.362624090312501</v>
      </c>
      <c r="G1342">
        <v>4.2716638153679796</v>
      </c>
      <c r="H1342">
        <v>14</v>
      </c>
      <c r="I1342">
        <v>8.7540922603114595</v>
      </c>
      <c r="J1342">
        <v>5.0970000000000004</v>
      </c>
      <c r="K1342">
        <v>22.846765924465998</v>
      </c>
      <c r="L1342">
        <v>20.6771966687553</v>
      </c>
      <c r="M1342">
        <v>10.063514788767</v>
      </c>
      <c r="N1342">
        <v>51.273234571339401</v>
      </c>
      <c r="O1342">
        <v>22.314840011340301</v>
      </c>
      <c r="P1342">
        <v>12.0596433897054</v>
      </c>
      <c r="Q1342">
        <v>20.189545625423602</v>
      </c>
      <c r="R1342">
        <v>29.2358595939113</v>
      </c>
      <c r="S1342">
        <v>-2.48930059300368</v>
      </c>
      <c r="T1342">
        <v>35.527133950547999</v>
      </c>
      <c r="U1342">
        <v>0.262360915431879</v>
      </c>
      <c r="V1342">
        <v>46.069759807413597</v>
      </c>
    </row>
    <row r="1343" spans="1:22" x14ac:dyDescent="0.25">
      <c r="A1343" t="str">
        <f t="shared" si="20"/>
        <v>Peru2022</v>
      </c>
      <c r="B1343" t="s">
        <v>185</v>
      </c>
      <c r="C1343" t="s">
        <v>186</v>
      </c>
      <c r="D1343">
        <v>2022</v>
      </c>
      <c r="E1343">
        <v>7350.6303430041698</v>
      </c>
      <c r="F1343">
        <v>2.8090335533015001</v>
      </c>
      <c r="G1343">
        <v>8.3337063009623105</v>
      </c>
      <c r="H1343">
        <v>14</v>
      </c>
      <c r="I1343">
        <v>8.8106793404764403</v>
      </c>
      <c r="J1343">
        <v>4.2910000000000004</v>
      </c>
      <c r="K1343">
        <v>20.019765108813399</v>
      </c>
      <c r="L1343">
        <v>19.982802284537499</v>
      </c>
      <c r="M1343">
        <v>4.5133941373038802</v>
      </c>
      <c r="N1343">
        <v>50.547560961295297</v>
      </c>
      <c r="O1343">
        <v>22.3663937709414</v>
      </c>
      <c r="P1343">
        <v>9.6939907877911704</v>
      </c>
      <c r="Q1343">
        <v>18.285312248127699</v>
      </c>
      <c r="R1343">
        <v>28.831860770197501</v>
      </c>
      <c r="S1343">
        <v>-1.3805760411950301</v>
      </c>
      <c r="T1343">
        <v>33.457616525621297</v>
      </c>
      <c r="U1343">
        <v>0.16230748486763899</v>
      </c>
      <c r="V1343">
        <v>44.152152739466302</v>
      </c>
    </row>
    <row r="1344" spans="1:22" x14ac:dyDescent="0.25">
      <c r="A1344" t="str">
        <f t="shared" si="20"/>
        <v>Peru2023</v>
      </c>
      <c r="B1344" t="s">
        <v>185</v>
      </c>
      <c r="C1344" t="s">
        <v>186</v>
      </c>
      <c r="D1344">
        <v>2023</v>
      </c>
      <c r="E1344">
        <v>7887.5418592010801</v>
      </c>
      <c r="F1344">
        <v>-0.40324215149426801</v>
      </c>
      <c r="G1344">
        <v>6.4556134836958599</v>
      </c>
      <c r="H1344">
        <v>14</v>
      </c>
      <c r="I1344">
        <v>8.9925661570891204</v>
      </c>
      <c r="J1344">
        <v>4.899</v>
      </c>
      <c r="K1344">
        <v>20.019765108813399</v>
      </c>
      <c r="L1344">
        <v>19.982802284537499</v>
      </c>
      <c r="M1344">
        <v>6.3353956438818004</v>
      </c>
      <c r="N1344">
        <v>50.0391504388028</v>
      </c>
      <c r="O1344">
        <v>19.1844089781649</v>
      </c>
      <c r="P1344">
        <v>10.24496362671</v>
      </c>
      <c r="Q1344">
        <v>19.8758047957099</v>
      </c>
      <c r="R1344">
        <v>27.135305824120699</v>
      </c>
      <c r="S1344">
        <v>-2.7432049513741501</v>
      </c>
      <c r="T1344">
        <v>32.3982270772375</v>
      </c>
      <c r="U1344">
        <v>0.116767633487199</v>
      </c>
      <c r="V1344">
        <v>43.279343677468802</v>
      </c>
    </row>
    <row r="1345" spans="1:22" x14ac:dyDescent="0.25">
      <c r="A1345" t="str">
        <f t="shared" si="20"/>
        <v>Peru2024</v>
      </c>
      <c r="B1345" t="s">
        <v>185</v>
      </c>
      <c r="C1345" t="s">
        <v>186</v>
      </c>
      <c r="D1345">
        <v>2024</v>
      </c>
      <c r="E1345">
        <v>8452.37167056621</v>
      </c>
      <c r="F1345">
        <v>3.3039409817151602</v>
      </c>
      <c r="G1345">
        <v>2.0077073941271202</v>
      </c>
      <c r="H1345">
        <v>14</v>
      </c>
      <c r="I1345">
        <v>9.2281228385274705</v>
      </c>
      <c r="J1345">
        <v>5.1989999999999998</v>
      </c>
      <c r="K1345">
        <v>20.019765108813399</v>
      </c>
      <c r="L1345">
        <v>19.982802284537499</v>
      </c>
      <c r="M1345">
        <v>5.15659361057092</v>
      </c>
      <c r="N1345">
        <v>49.697301070529903</v>
      </c>
      <c r="O1345">
        <v>19.419702348687402</v>
      </c>
      <c r="P1345">
        <v>10.541729235702</v>
      </c>
      <c r="Q1345">
        <v>21.925955517134501</v>
      </c>
      <c r="R1345">
        <v>28.5375908827221</v>
      </c>
      <c r="S1345">
        <v>-3.5304772617873699</v>
      </c>
      <c r="T1345">
        <v>32.076644656050902</v>
      </c>
      <c r="U1345">
        <v>0.153143945950375</v>
      </c>
      <c r="V1345">
        <v>43.976525907921797</v>
      </c>
    </row>
    <row r="1346" spans="1:22" x14ac:dyDescent="0.25">
      <c r="A1346" t="str">
        <f t="shared" si="20"/>
        <v>Peru2025</v>
      </c>
      <c r="B1346" t="s">
        <v>185</v>
      </c>
      <c r="C1346" t="s">
        <v>186</v>
      </c>
      <c r="D1346">
        <v>2025</v>
      </c>
      <c r="E1346">
        <v>6736.1669372548704</v>
      </c>
      <c r="F1346">
        <v>3.3039409817151602</v>
      </c>
      <c r="G1346">
        <v>3.3693109533385299</v>
      </c>
      <c r="H1346">
        <v>14</v>
      </c>
      <c r="I1346">
        <v>8.4037750924898997</v>
      </c>
      <c r="J1346">
        <v>5.117</v>
      </c>
      <c r="K1346">
        <v>20.019765108813399</v>
      </c>
      <c r="L1346">
        <v>19.982802284537499</v>
      </c>
      <c r="M1346">
        <v>3.6156582610597399</v>
      </c>
      <c r="N1346">
        <v>54.434279847722301</v>
      </c>
      <c r="O1346">
        <v>22.314840011340301</v>
      </c>
      <c r="P1346">
        <v>12.2049408234151</v>
      </c>
      <c r="Q1346">
        <v>20.6492413442475</v>
      </c>
      <c r="R1346">
        <v>25.192184672247201</v>
      </c>
      <c r="S1346">
        <v>-2.3606645179533698</v>
      </c>
      <c r="T1346">
        <v>30.227220574509801</v>
      </c>
      <c r="U1346">
        <v>9.9692161194651394E-2</v>
      </c>
      <c r="V1346">
        <v>42.952078073760198</v>
      </c>
    </row>
    <row r="1347" spans="1:22" x14ac:dyDescent="0.25">
      <c r="A1347" t="str">
        <f t="shared" si="20"/>
        <v>Philippines2010</v>
      </c>
      <c r="B1347" t="s">
        <v>187</v>
      </c>
      <c r="C1347" t="s">
        <v>188</v>
      </c>
      <c r="D1347">
        <v>2010</v>
      </c>
      <c r="E1347">
        <v>2162.9137588561398</v>
      </c>
      <c r="F1347">
        <v>7.3344999603453802</v>
      </c>
      <c r="G1347">
        <v>3.7898363479759101</v>
      </c>
      <c r="H1347">
        <v>10</v>
      </c>
      <c r="I1347">
        <v>3.3413598340203698</v>
      </c>
      <c r="J1347">
        <v>3.605</v>
      </c>
      <c r="K1347">
        <v>13.7936889438216</v>
      </c>
      <c r="L1347">
        <v>12.8470591641686</v>
      </c>
      <c r="M1347">
        <v>4.3708843644488802</v>
      </c>
      <c r="N1347">
        <v>63.794367767516498</v>
      </c>
      <c r="O1347">
        <v>20.441771139065899</v>
      </c>
      <c r="P1347">
        <v>10.437269739215999</v>
      </c>
      <c r="Q1347">
        <v>39.7514910839799</v>
      </c>
      <c r="R1347">
        <v>32.874829719567799</v>
      </c>
      <c r="S1347">
        <v>-2.25363881512973</v>
      </c>
      <c r="T1347">
        <v>47.586513297425498</v>
      </c>
      <c r="U1347">
        <v>-0.25703209886990502</v>
      </c>
      <c r="V1347">
        <v>36.115161452806802</v>
      </c>
    </row>
    <row r="1348" spans="1:22" x14ac:dyDescent="0.25">
      <c r="A1348" t="str">
        <f t="shared" ref="A1348:A1411" si="21">C1348&amp;D1348</f>
        <v>Philippines2011</v>
      </c>
      <c r="B1348" t="s">
        <v>187</v>
      </c>
      <c r="C1348" t="s">
        <v>188</v>
      </c>
      <c r="D1348">
        <v>2011</v>
      </c>
      <c r="E1348">
        <v>2383.9189252208698</v>
      </c>
      <c r="F1348">
        <v>3.85823282795663</v>
      </c>
      <c r="G1348">
        <v>4.7184170471842002</v>
      </c>
      <c r="H1348">
        <v>10</v>
      </c>
      <c r="I1348">
        <v>3.37924918015002</v>
      </c>
      <c r="J1348">
        <v>3.5920000000000001</v>
      </c>
      <c r="K1348">
        <v>13.521190661893501</v>
      </c>
      <c r="L1348">
        <v>13.398278722319301</v>
      </c>
      <c r="M1348">
        <v>3.91880577530506</v>
      </c>
      <c r="N1348">
        <v>62.906028904795697</v>
      </c>
      <c r="O1348">
        <v>20.739936567834899</v>
      </c>
      <c r="P1348">
        <v>11.5996405959486</v>
      </c>
      <c r="Q1348">
        <v>36.875071088852302</v>
      </c>
      <c r="R1348">
        <v>29.105428878140501</v>
      </c>
      <c r="S1348">
        <v>-0.37959865000923598</v>
      </c>
      <c r="T1348">
        <v>45.433618192503602</v>
      </c>
      <c r="U1348">
        <v>-0.22122058409600101</v>
      </c>
      <c r="V1348">
        <v>36.801518866611303</v>
      </c>
    </row>
    <row r="1349" spans="1:22" x14ac:dyDescent="0.25">
      <c r="A1349" t="str">
        <f t="shared" si="21"/>
        <v>Philippines2012</v>
      </c>
      <c r="B1349" t="s">
        <v>187</v>
      </c>
      <c r="C1349" t="s">
        <v>188</v>
      </c>
      <c r="D1349">
        <v>2012</v>
      </c>
      <c r="E1349">
        <v>2614.6164440130801</v>
      </c>
      <c r="F1349">
        <v>6.8969517105098497</v>
      </c>
      <c r="G1349">
        <v>3.02696391124796</v>
      </c>
      <c r="H1349">
        <v>11</v>
      </c>
      <c r="I1349">
        <v>3.4318197274009501</v>
      </c>
      <c r="J1349">
        <v>3.504</v>
      </c>
      <c r="K1349">
        <v>13.5454813748711</v>
      </c>
      <c r="L1349">
        <v>13.8032343791337</v>
      </c>
      <c r="M1349">
        <v>1.9941760968025199</v>
      </c>
      <c r="N1349">
        <v>62.025549199916497</v>
      </c>
      <c r="O1349">
        <v>19.560727968789699</v>
      </c>
      <c r="P1349">
        <v>11.473876254014201</v>
      </c>
      <c r="Q1349">
        <v>35.132849351271098</v>
      </c>
      <c r="R1349">
        <v>27.4670738577233</v>
      </c>
      <c r="S1349">
        <v>-0.21999123756392999</v>
      </c>
      <c r="T1349">
        <v>45.691174312687998</v>
      </c>
      <c r="U1349">
        <v>-0.12246517731064099</v>
      </c>
      <c r="V1349">
        <v>38.694248231128398</v>
      </c>
    </row>
    <row r="1350" spans="1:22" x14ac:dyDescent="0.25">
      <c r="A1350" t="str">
        <f t="shared" si="21"/>
        <v>Philippines2013</v>
      </c>
      <c r="B1350" t="s">
        <v>187</v>
      </c>
      <c r="C1350" t="s">
        <v>188</v>
      </c>
      <c r="D1350">
        <v>2013</v>
      </c>
      <c r="E1350">
        <v>2781.2795767739699</v>
      </c>
      <c r="F1350">
        <v>6.7505313014225496</v>
      </c>
      <c r="G1350">
        <v>2.5826876614179501</v>
      </c>
      <c r="H1350">
        <v>11</v>
      </c>
      <c r="I1350">
        <v>3.5098227859589302</v>
      </c>
      <c r="J1350">
        <v>3.4969999999999999</v>
      </c>
      <c r="K1350">
        <v>13.20715199779</v>
      </c>
      <c r="L1350">
        <v>14.2155505906419</v>
      </c>
      <c r="M1350">
        <v>2.0610633590687</v>
      </c>
      <c r="N1350">
        <v>61.1835246269493</v>
      </c>
      <c r="O1350">
        <v>20.642224107669001</v>
      </c>
      <c r="P1350">
        <v>11.620931882498001</v>
      </c>
      <c r="Q1350">
        <v>36.354401714881803</v>
      </c>
      <c r="R1350">
        <v>26.1774198090007</v>
      </c>
      <c r="S1350">
        <v>0.36883432407973599</v>
      </c>
      <c r="T1350">
        <v>43.863144328250002</v>
      </c>
      <c r="U1350">
        <v>-8.4920241884550399E-2</v>
      </c>
      <c r="V1350">
        <v>39.4138280909361</v>
      </c>
    </row>
    <row r="1351" spans="1:22" x14ac:dyDescent="0.25">
      <c r="A1351" t="str">
        <f t="shared" si="21"/>
        <v>Philippines2014</v>
      </c>
      <c r="B1351" t="s">
        <v>187</v>
      </c>
      <c r="C1351" t="s">
        <v>188</v>
      </c>
      <c r="D1351">
        <v>2014</v>
      </c>
      <c r="E1351">
        <v>2866.8380376140699</v>
      </c>
      <c r="F1351">
        <v>6.3479874826086702</v>
      </c>
      <c r="G1351">
        <v>3.5978234386421102</v>
      </c>
      <c r="H1351">
        <v>11</v>
      </c>
      <c r="I1351">
        <v>3.6233771715571201</v>
      </c>
      <c r="J1351">
        <v>3.6</v>
      </c>
      <c r="K1351">
        <v>12.821647769834801</v>
      </c>
      <c r="L1351">
        <v>14.4354568990067</v>
      </c>
      <c r="M1351">
        <v>3.05305530085906</v>
      </c>
      <c r="N1351">
        <v>60.4579386236435</v>
      </c>
      <c r="O1351">
        <v>20.9239704373705</v>
      </c>
      <c r="P1351">
        <v>9.9405035921783593</v>
      </c>
      <c r="Q1351">
        <v>37.347447971315702</v>
      </c>
      <c r="R1351">
        <v>27.354504190928498</v>
      </c>
      <c r="S1351">
        <v>1.3213986453030899</v>
      </c>
      <c r="T1351">
        <v>40.299298211500897</v>
      </c>
      <c r="U1351">
        <v>-3.7100718979603098E-2</v>
      </c>
      <c r="V1351">
        <v>40.330328950439601</v>
      </c>
    </row>
    <row r="1352" spans="1:22" x14ac:dyDescent="0.25">
      <c r="A1352" t="str">
        <f t="shared" si="21"/>
        <v>Philippines2015</v>
      </c>
      <c r="B1352" t="s">
        <v>187</v>
      </c>
      <c r="C1352" t="s">
        <v>188</v>
      </c>
      <c r="D1352">
        <v>2015</v>
      </c>
      <c r="E1352">
        <v>2909.85818010301</v>
      </c>
      <c r="F1352">
        <v>6.3483097167276101</v>
      </c>
      <c r="G1352">
        <v>0.67419253684540803</v>
      </c>
      <c r="H1352">
        <v>11</v>
      </c>
      <c r="I1352">
        <v>3.77024234469686</v>
      </c>
      <c r="J1352">
        <v>3.0680000000000001</v>
      </c>
      <c r="K1352">
        <v>13.4767411156598</v>
      </c>
      <c r="L1352">
        <v>14.6770502818935</v>
      </c>
      <c r="M1352">
        <v>-0.71968278973592703</v>
      </c>
      <c r="N1352">
        <v>59.521198554701201</v>
      </c>
      <c r="O1352">
        <v>21.340947871106401</v>
      </c>
      <c r="P1352">
        <v>9.8983581716737792</v>
      </c>
      <c r="Q1352">
        <v>35.634833370096104</v>
      </c>
      <c r="R1352">
        <v>27.2080572390451</v>
      </c>
      <c r="S1352">
        <v>0.14390089329309799</v>
      </c>
      <c r="T1352">
        <v>39.6879923515923</v>
      </c>
      <c r="U1352">
        <v>-7.6095366264647496E-2</v>
      </c>
      <c r="V1352">
        <v>39.582964159205297</v>
      </c>
    </row>
    <row r="1353" spans="1:22" x14ac:dyDescent="0.25">
      <c r="A1353" t="str">
        <f t="shared" si="21"/>
        <v>Philippines2016</v>
      </c>
      <c r="B1353" t="s">
        <v>187</v>
      </c>
      <c r="C1353" t="s">
        <v>188</v>
      </c>
      <c r="D1353">
        <v>2016</v>
      </c>
      <c r="E1353">
        <v>2985.1956402404599</v>
      </c>
      <c r="F1353">
        <v>7.1494567500075199</v>
      </c>
      <c r="G1353">
        <v>1.25369880080982</v>
      </c>
      <c r="H1353">
        <v>11</v>
      </c>
      <c r="I1353">
        <v>3.9378111089503198</v>
      </c>
      <c r="J1353">
        <v>2.6949999999999998</v>
      </c>
      <c r="K1353">
        <v>13.435149014738199</v>
      </c>
      <c r="L1353">
        <v>14.5097320228406</v>
      </c>
      <c r="M1353">
        <v>1.2803117437396201</v>
      </c>
      <c r="N1353">
        <v>58.403124130521299</v>
      </c>
      <c r="O1353">
        <v>24.618503101685</v>
      </c>
      <c r="P1353">
        <v>8.8465616501929407</v>
      </c>
      <c r="Q1353">
        <v>35.054772423108503</v>
      </c>
      <c r="R1353">
        <v>26.673003343515699</v>
      </c>
      <c r="S1353">
        <v>-0.74459256781476901</v>
      </c>
      <c r="T1353">
        <v>37.376365276350199</v>
      </c>
      <c r="U1353">
        <v>-0.133531795759563</v>
      </c>
      <c r="V1353">
        <v>38.482147300293299</v>
      </c>
    </row>
    <row r="1354" spans="1:22" x14ac:dyDescent="0.25">
      <c r="A1354" t="str">
        <f t="shared" si="21"/>
        <v>Philippines2017</v>
      </c>
      <c r="B1354" t="s">
        <v>187</v>
      </c>
      <c r="C1354" t="s">
        <v>188</v>
      </c>
      <c r="D1354">
        <v>2017</v>
      </c>
      <c r="E1354">
        <v>3038.1212495928899</v>
      </c>
      <c r="F1354">
        <v>6.9309883258402003</v>
      </c>
      <c r="G1354">
        <v>2.85318772590947</v>
      </c>
      <c r="H1354">
        <v>11</v>
      </c>
      <c r="I1354">
        <v>4.1181554033909702</v>
      </c>
      <c r="J1354">
        <v>2.552</v>
      </c>
      <c r="K1354">
        <v>13.6131575683624</v>
      </c>
      <c r="L1354">
        <v>14.93213807295</v>
      </c>
      <c r="M1354">
        <v>2.32025994608939</v>
      </c>
      <c r="N1354">
        <v>57.366477904953101</v>
      </c>
      <c r="O1354">
        <v>25.558773863960202</v>
      </c>
      <c r="P1354">
        <v>7.7830227013178801</v>
      </c>
      <c r="Q1354">
        <v>35.488631675390501</v>
      </c>
      <c r="R1354">
        <v>29.552290854669199</v>
      </c>
      <c r="S1354">
        <v>-0.75180101321402504</v>
      </c>
      <c r="T1354">
        <v>38.130096479052398</v>
      </c>
      <c r="U1354">
        <v>-0.119512011703116</v>
      </c>
      <c r="V1354">
        <v>38.750848101916198</v>
      </c>
    </row>
    <row r="1355" spans="1:22" x14ac:dyDescent="0.25">
      <c r="A1355" t="str">
        <f t="shared" si="21"/>
        <v>Philippines2018</v>
      </c>
      <c r="B1355" t="s">
        <v>187</v>
      </c>
      <c r="C1355" t="s">
        <v>188</v>
      </c>
      <c r="D1355">
        <v>2018</v>
      </c>
      <c r="E1355">
        <v>3168.51036609727</v>
      </c>
      <c r="F1355">
        <v>6.3414855715347302</v>
      </c>
      <c r="G1355">
        <v>5.3093466162770699</v>
      </c>
      <c r="H1355">
        <v>13</v>
      </c>
      <c r="I1355">
        <v>4.3140891062300399</v>
      </c>
      <c r="J1355">
        <v>2.3380000000000001</v>
      </c>
      <c r="K1355">
        <v>14.2125593180425</v>
      </c>
      <c r="L1355">
        <v>15.518451436483</v>
      </c>
      <c r="M1355">
        <v>3.74065383022071</v>
      </c>
      <c r="N1355">
        <v>56.495114217187499</v>
      </c>
      <c r="O1355">
        <v>27.1505820415621</v>
      </c>
      <c r="P1355">
        <v>6.8831602449264704</v>
      </c>
      <c r="Q1355">
        <v>33.807050720873796</v>
      </c>
      <c r="R1355">
        <v>30.2136053733275</v>
      </c>
      <c r="S1355">
        <v>-1.48394386883526</v>
      </c>
      <c r="T1355">
        <v>37.147156030287299</v>
      </c>
      <c r="U1355">
        <v>-5.6919152076748601E-2</v>
      </c>
      <c r="V1355">
        <v>39.9504922255176</v>
      </c>
    </row>
    <row r="1356" spans="1:22" x14ac:dyDescent="0.25">
      <c r="A1356" t="str">
        <f t="shared" si="21"/>
        <v>Philippines2019</v>
      </c>
      <c r="B1356" t="s">
        <v>187</v>
      </c>
      <c r="C1356" t="s">
        <v>188</v>
      </c>
      <c r="D1356">
        <v>2019</v>
      </c>
      <c r="E1356">
        <v>3400.7894976707398</v>
      </c>
      <c r="F1356">
        <v>6.1185256622130302</v>
      </c>
      <c r="G1356">
        <v>2.39206534422404</v>
      </c>
      <c r="H1356">
        <v>13</v>
      </c>
      <c r="I1356">
        <v>4.5194267442675402</v>
      </c>
      <c r="J1356">
        <v>2.2370000000000001</v>
      </c>
      <c r="K1356">
        <v>14.8073074115535</v>
      </c>
      <c r="L1356">
        <v>16.069158352065799</v>
      </c>
      <c r="M1356">
        <v>0.69707629741948596</v>
      </c>
      <c r="N1356">
        <v>55.745826525597998</v>
      </c>
      <c r="O1356">
        <v>26.401808464728401</v>
      </c>
      <c r="P1356">
        <v>7.7202455792638398</v>
      </c>
      <c r="Q1356">
        <v>31.755187207514499</v>
      </c>
      <c r="R1356">
        <v>28.3829200126393</v>
      </c>
      <c r="S1356">
        <v>-1.5034208714351101</v>
      </c>
      <c r="T1356">
        <v>36.972652335317001</v>
      </c>
      <c r="U1356">
        <v>-4.1324439090265397E-2</v>
      </c>
      <c r="V1356">
        <v>40.249377847698199</v>
      </c>
    </row>
    <row r="1357" spans="1:22" x14ac:dyDescent="0.25">
      <c r="A1357" t="str">
        <f t="shared" si="21"/>
        <v>Philippines2020</v>
      </c>
      <c r="B1357" t="s">
        <v>187</v>
      </c>
      <c r="C1357" t="s">
        <v>188</v>
      </c>
      <c r="D1357">
        <v>2020</v>
      </c>
      <c r="E1357">
        <v>3227.5791023519901</v>
      </c>
      <c r="F1357">
        <v>-9.5182947404529692</v>
      </c>
      <c r="G1357">
        <v>2.3931623931624002</v>
      </c>
      <c r="H1357">
        <v>13</v>
      </c>
      <c r="I1357">
        <v>4.7256743107393904</v>
      </c>
      <c r="J1357">
        <v>2.5219999999999998</v>
      </c>
      <c r="K1357">
        <v>19.560302924463901</v>
      </c>
      <c r="L1357">
        <v>15.9052544996477</v>
      </c>
      <c r="M1357">
        <v>1.6504901868136701</v>
      </c>
      <c r="N1357">
        <v>54.817865769175199</v>
      </c>
      <c r="O1357">
        <v>17.4333790282876</v>
      </c>
      <c r="P1357">
        <v>12.2854455443743</v>
      </c>
      <c r="Q1357">
        <v>24.8181733606399</v>
      </c>
      <c r="R1357">
        <v>25.202839310203199</v>
      </c>
      <c r="S1357">
        <v>-5.5456458635114698</v>
      </c>
      <c r="T1357">
        <v>51.6436078728468</v>
      </c>
      <c r="U1357">
        <v>-0.31642024358681797</v>
      </c>
      <c r="V1357">
        <v>34.976938351218003</v>
      </c>
    </row>
    <row r="1358" spans="1:22" x14ac:dyDescent="0.25">
      <c r="A1358" t="str">
        <f t="shared" si="21"/>
        <v>Philippines2021</v>
      </c>
      <c r="B1358" t="s">
        <v>187</v>
      </c>
      <c r="C1358" t="s">
        <v>188</v>
      </c>
      <c r="D1358">
        <v>2021</v>
      </c>
      <c r="E1358">
        <v>3484.3859388281899</v>
      </c>
      <c r="F1358">
        <v>5.7147331318511601</v>
      </c>
      <c r="G1358">
        <v>3.92718022100332</v>
      </c>
      <c r="H1358">
        <v>13</v>
      </c>
      <c r="I1358">
        <v>4.8807304447929001</v>
      </c>
      <c r="J1358">
        <v>3.3980000000000001</v>
      </c>
      <c r="K1358">
        <v>19.139229222450499</v>
      </c>
      <c r="L1358">
        <v>15.480512438883901</v>
      </c>
      <c r="M1358">
        <v>2.2824784625814201</v>
      </c>
      <c r="N1358">
        <v>53.596568570119999</v>
      </c>
      <c r="O1358">
        <v>21.140737148313502</v>
      </c>
      <c r="P1358">
        <v>9.6618096626443108</v>
      </c>
      <c r="Q1358">
        <v>20.202918833169299</v>
      </c>
      <c r="R1358">
        <v>25.752034916018701</v>
      </c>
      <c r="S1358">
        <v>-6.23285927659379</v>
      </c>
      <c r="T1358">
        <v>57.0046257161545</v>
      </c>
      <c r="U1358">
        <v>-0.31314041891500999</v>
      </c>
      <c r="V1358">
        <v>35.039798914187401</v>
      </c>
    </row>
    <row r="1359" spans="1:22" x14ac:dyDescent="0.25">
      <c r="A1359" t="str">
        <f t="shared" si="21"/>
        <v>Philippines2022</v>
      </c>
      <c r="B1359" t="s">
        <v>187</v>
      </c>
      <c r="C1359" t="s">
        <v>188</v>
      </c>
      <c r="D1359">
        <v>2022</v>
      </c>
      <c r="E1359">
        <v>3548.0693057211602</v>
      </c>
      <c r="F1359">
        <v>7.5809821278556297</v>
      </c>
      <c r="G1359">
        <v>5.8211581121395497</v>
      </c>
      <c r="H1359">
        <v>13</v>
      </c>
      <c r="I1359">
        <v>5.0413151829947198</v>
      </c>
      <c r="J1359">
        <v>2.5979999999999999</v>
      </c>
      <c r="K1359">
        <v>18.606889332440399</v>
      </c>
      <c r="L1359">
        <v>16.082742678948499</v>
      </c>
      <c r="M1359">
        <v>5.48864820202009</v>
      </c>
      <c r="N1359">
        <v>52.374740689680699</v>
      </c>
      <c r="O1359">
        <v>24.6858616763102</v>
      </c>
      <c r="P1359">
        <v>7.1710271113457402</v>
      </c>
      <c r="Q1359">
        <v>22.473717544706801</v>
      </c>
      <c r="R1359">
        <v>28.3874015457939</v>
      </c>
      <c r="S1359">
        <v>-5.4808986867605496</v>
      </c>
      <c r="T1359">
        <v>57.388785214058501</v>
      </c>
      <c r="U1359">
        <v>-0.25756890202829602</v>
      </c>
      <c r="V1359">
        <v>36.104873174585698</v>
      </c>
    </row>
    <row r="1360" spans="1:22" x14ac:dyDescent="0.25">
      <c r="A1360" t="str">
        <f t="shared" si="21"/>
        <v>Philippines2023</v>
      </c>
      <c r="B1360" t="s">
        <v>187</v>
      </c>
      <c r="C1360" t="s">
        <v>188</v>
      </c>
      <c r="D1360">
        <v>2023</v>
      </c>
      <c r="E1360">
        <v>3804.0827413109701</v>
      </c>
      <c r="F1360">
        <v>5.5189496786286298</v>
      </c>
      <c r="G1360">
        <v>5.9780251554140902</v>
      </c>
      <c r="H1360">
        <v>13</v>
      </c>
      <c r="I1360">
        <v>5.2621715611132203</v>
      </c>
      <c r="J1360">
        <v>2.2000000000000002</v>
      </c>
      <c r="K1360">
        <v>16.880590340118399</v>
      </c>
      <c r="L1360">
        <v>15.7220468648443</v>
      </c>
      <c r="M1360">
        <v>4.6014330707824103</v>
      </c>
      <c r="N1360">
        <v>51.216658187004803</v>
      </c>
      <c r="O1360">
        <v>23.4061516163008</v>
      </c>
      <c r="P1360">
        <v>7.6156581707365802</v>
      </c>
      <c r="Q1360">
        <v>27.340541899809299</v>
      </c>
      <c r="R1360">
        <v>26.636849347055499</v>
      </c>
      <c r="S1360">
        <v>-4.3766907640525199</v>
      </c>
      <c r="T1360">
        <v>56.484456881719602</v>
      </c>
      <c r="U1360">
        <v>-0.170234180708184</v>
      </c>
      <c r="V1360">
        <v>37.778715619929102</v>
      </c>
    </row>
    <row r="1361" spans="1:22" x14ac:dyDescent="0.25">
      <c r="A1361" t="str">
        <f t="shared" si="21"/>
        <v>Philippines2024</v>
      </c>
      <c r="B1361" t="s">
        <v>187</v>
      </c>
      <c r="C1361" t="s">
        <v>188</v>
      </c>
      <c r="D1361">
        <v>2024</v>
      </c>
      <c r="E1361">
        <v>3984.8315387655998</v>
      </c>
      <c r="F1361">
        <v>5.69201612823412</v>
      </c>
      <c r="G1361">
        <v>3.21260487006347</v>
      </c>
      <c r="H1361">
        <v>13</v>
      </c>
      <c r="I1361">
        <v>5.4919341103917603</v>
      </c>
      <c r="J1361">
        <v>2.202</v>
      </c>
      <c r="K1361">
        <v>13.703423256092</v>
      </c>
      <c r="L1361">
        <v>16.695162816018101</v>
      </c>
      <c r="M1361">
        <v>2.91419205577037</v>
      </c>
      <c r="N1361">
        <v>50.060027290784703</v>
      </c>
      <c r="O1361">
        <v>23.684644595954499</v>
      </c>
      <c r="P1361">
        <v>7.3435098465737898</v>
      </c>
      <c r="Q1361">
        <v>29.240409380647399</v>
      </c>
      <c r="R1361">
        <v>25.7734411549927</v>
      </c>
      <c r="S1361">
        <v>-4.4374605290297504</v>
      </c>
      <c r="T1361">
        <v>56.627440991994</v>
      </c>
      <c r="U1361">
        <v>-0.15665224478192499</v>
      </c>
      <c r="V1361">
        <v>38.039024698605701</v>
      </c>
    </row>
    <row r="1362" spans="1:22" x14ac:dyDescent="0.25">
      <c r="A1362" t="str">
        <f t="shared" si="21"/>
        <v>Philippines2025</v>
      </c>
      <c r="B1362" t="s">
        <v>187</v>
      </c>
      <c r="C1362" t="s">
        <v>188</v>
      </c>
      <c r="D1362">
        <v>2025</v>
      </c>
      <c r="E1362">
        <v>3038.1212495928899</v>
      </c>
      <c r="F1362">
        <v>6.3479874826086702</v>
      </c>
      <c r="G1362">
        <v>3.21260487006347</v>
      </c>
      <c r="H1362">
        <v>13</v>
      </c>
      <c r="I1362">
        <v>4.1181554033909702</v>
      </c>
      <c r="J1362">
        <v>2.2349999999999999</v>
      </c>
      <c r="K1362">
        <v>13.703423256092</v>
      </c>
      <c r="L1362">
        <v>14.93213807295</v>
      </c>
      <c r="M1362">
        <v>2.32025994608939</v>
      </c>
      <c r="N1362">
        <v>57.366477904953101</v>
      </c>
      <c r="O1362">
        <v>21.340947871106401</v>
      </c>
      <c r="P1362">
        <v>9.6618096626443108</v>
      </c>
      <c r="Q1362">
        <v>35.054772423108503</v>
      </c>
      <c r="R1362">
        <v>27.354504190928498</v>
      </c>
      <c r="S1362">
        <v>-3.9726292835990602</v>
      </c>
      <c r="T1362">
        <v>59.371233168931298</v>
      </c>
      <c r="U1362">
        <v>-0.15890549167253101</v>
      </c>
      <c r="V1362">
        <v>37.9958393511479</v>
      </c>
    </row>
    <row r="1363" spans="1:22" x14ac:dyDescent="0.25">
      <c r="A1363" t="str">
        <f t="shared" si="21"/>
        <v>Poland2010</v>
      </c>
      <c r="B1363" t="s">
        <v>189</v>
      </c>
      <c r="C1363" t="s">
        <v>190</v>
      </c>
      <c r="D1363">
        <v>2010</v>
      </c>
      <c r="E1363">
        <v>12567.731767638201</v>
      </c>
      <c r="F1363">
        <v>3.1689274825803602</v>
      </c>
      <c r="G1363">
        <v>2.5806937025054801</v>
      </c>
      <c r="H1363">
        <v>10</v>
      </c>
      <c r="I1363">
        <v>13.5707882889596</v>
      </c>
      <c r="J1363">
        <v>9.5779999999999994</v>
      </c>
      <c r="K1363">
        <v>36.734574966184603</v>
      </c>
      <c r="L1363">
        <v>31.970658620330902</v>
      </c>
      <c r="M1363">
        <v>1.57921733174169</v>
      </c>
      <c r="N1363">
        <v>40.142725841061697</v>
      </c>
      <c r="O1363">
        <v>20.858668886345502</v>
      </c>
      <c r="P1363">
        <v>4.8772928245856004</v>
      </c>
      <c r="Q1363">
        <v>15.698109013977</v>
      </c>
      <c r="R1363">
        <v>39.892206846321898</v>
      </c>
      <c r="S1363">
        <v>-7.4297526944134002</v>
      </c>
      <c r="T1363">
        <v>53.747734539655099</v>
      </c>
      <c r="U1363">
        <v>4.0660584948232298E-2</v>
      </c>
      <c r="V1363">
        <v>41.820688902955901</v>
      </c>
    </row>
    <row r="1364" spans="1:22" x14ac:dyDescent="0.25">
      <c r="A1364" t="str">
        <f t="shared" si="21"/>
        <v>Poland2011</v>
      </c>
      <c r="B1364" t="s">
        <v>189</v>
      </c>
      <c r="C1364" t="s">
        <v>190</v>
      </c>
      <c r="D1364">
        <v>2011</v>
      </c>
      <c r="E1364">
        <v>13867.666940819199</v>
      </c>
      <c r="F1364">
        <v>5.2554625661279601</v>
      </c>
      <c r="G1364">
        <v>4.2394014962593198</v>
      </c>
      <c r="H1364">
        <v>10</v>
      </c>
      <c r="I1364">
        <v>13.7095291987932</v>
      </c>
      <c r="J1364">
        <v>9.5760000000000005</v>
      </c>
      <c r="K1364">
        <v>34.8359106996135</v>
      </c>
      <c r="L1364">
        <v>32.537093932932002</v>
      </c>
      <c r="M1364">
        <v>3.0657145464975701</v>
      </c>
      <c r="N1364">
        <v>40.603886748119798</v>
      </c>
      <c r="O1364">
        <v>22.345046309469399</v>
      </c>
      <c r="P1364">
        <v>4.3872814372110698</v>
      </c>
      <c r="Q1364">
        <v>17.2750228642495</v>
      </c>
      <c r="R1364">
        <v>42.318190973409997</v>
      </c>
      <c r="S1364">
        <v>-4.9744573848766303</v>
      </c>
      <c r="T1364">
        <v>54.780203837063802</v>
      </c>
      <c r="U1364">
        <v>0.17567993563325901</v>
      </c>
      <c r="V1364">
        <v>44.408446861110299</v>
      </c>
    </row>
    <row r="1365" spans="1:22" x14ac:dyDescent="0.25">
      <c r="A1365" t="str">
        <f t="shared" si="21"/>
        <v>Poland2012</v>
      </c>
      <c r="B1365" t="s">
        <v>189</v>
      </c>
      <c r="C1365" t="s">
        <v>190</v>
      </c>
      <c r="D1365">
        <v>2012</v>
      </c>
      <c r="E1365">
        <v>13087.420943321</v>
      </c>
      <c r="F1365">
        <v>1.5117816764457499</v>
      </c>
      <c r="G1365">
        <v>3.5603715170279302</v>
      </c>
      <c r="H1365">
        <v>10</v>
      </c>
      <c r="I1365">
        <v>14.024618496704401</v>
      </c>
      <c r="J1365">
        <v>10.031000000000001</v>
      </c>
      <c r="K1365">
        <v>35.058086278126197</v>
      </c>
      <c r="L1365">
        <v>32.753621222974097</v>
      </c>
      <c r="M1365">
        <v>2.1834335739452402</v>
      </c>
      <c r="N1365">
        <v>41.1812976961914</v>
      </c>
      <c r="O1365">
        <v>20.8019518666142</v>
      </c>
      <c r="P1365">
        <v>5.1389164078949401</v>
      </c>
      <c r="Q1365">
        <v>16.6821027877468</v>
      </c>
      <c r="R1365">
        <v>44.022901638596501</v>
      </c>
      <c r="S1365">
        <v>-3.7953646866497102</v>
      </c>
      <c r="T1365">
        <v>54.472205749820297</v>
      </c>
      <c r="U1365">
        <v>0.20661904552383301</v>
      </c>
      <c r="V1365">
        <v>45.001420589922802</v>
      </c>
    </row>
    <row r="1366" spans="1:22" x14ac:dyDescent="0.25">
      <c r="A1366" t="str">
        <f t="shared" si="21"/>
        <v>Poland2013</v>
      </c>
      <c r="B1366" t="s">
        <v>189</v>
      </c>
      <c r="C1366" t="s">
        <v>190</v>
      </c>
      <c r="D1366">
        <v>2013</v>
      </c>
      <c r="E1366">
        <v>13621.9023794031</v>
      </c>
      <c r="F1366">
        <v>0.68424060705180501</v>
      </c>
      <c r="G1366">
        <v>0.99198260633233504</v>
      </c>
      <c r="H1366">
        <v>10</v>
      </c>
      <c r="I1366">
        <v>14.4308218173312</v>
      </c>
      <c r="J1366">
        <v>10.292999999999999</v>
      </c>
      <c r="K1366">
        <v>35.912962031252299</v>
      </c>
      <c r="L1366">
        <v>32.441896532353802</v>
      </c>
      <c r="M1366">
        <v>0.27097578994485599</v>
      </c>
      <c r="N1366">
        <v>41.9187994358197</v>
      </c>
      <c r="O1366">
        <v>19.128044997826301</v>
      </c>
      <c r="P1366">
        <v>4.8377418283833604</v>
      </c>
      <c r="Q1366">
        <v>17.1350208464813</v>
      </c>
      <c r="R1366">
        <v>45.767288162914397</v>
      </c>
      <c r="S1366">
        <v>-4.2460849906961702</v>
      </c>
      <c r="T1366">
        <v>56.859047453316698</v>
      </c>
      <c r="U1366">
        <v>0.20223658959986399</v>
      </c>
      <c r="V1366">
        <v>44.917427183526001</v>
      </c>
    </row>
    <row r="1367" spans="1:22" x14ac:dyDescent="0.25">
      <c r="A1367" t="str">
        <f t="shared" si="21"/>
        <v>Poland2014</v>
      </c>
      <c r="B1367" t="s">
        <v>189</v>
      </c>
      <c r="C1367" t="s">
        <v>190</v>
      </c>
      <c r="D1367">
        <v>2014</v>
      </c>
      <c r="E1367">
        <v>14262.2841914116</v>
      </c>
      <c r="F1367">
        <v>3.9205086239003202</v>
      </c>
      <c r="G1367">
        <v>5.3821313239980198E-2</v>
      </c>
      <c r="H1367">
        <v>10</v>
      </c>
      <c r="I1367">
        <v>14.8828006858362</v>
      </c>
      <c r="J1367">
        <v>8.9710000000000001</v>
      </c>
      <c r="K1367">
        <v>35.0749023643641</v>
      </c>
      <c r="L1367">
        <v>32.289773328616498</v>
      </c>
      <c r="M1367">
        <v>0.48227238752302498</v>
      </c>
      <c r="N1367">
        <v>42.806035689660597</v>
      </c>
      <c r="O1367">
        <v>20.8272789201168</v>
      </c>
      <c r="P1367">
        <v>4.25066485654916</v>
      </c>
      <c r="Q1367">
        <v>17.9226914764192</v>
      </c>
      <c r="R1367">
        <v>46.2206720325579</v>
      </c>
      <c r="S1367">
        <v>-3.6621593570286199</v>
      </c>
      <c r="T1367">
        <v>51.129965471571701</v>
      </c>
      <c r="U1367">
        <v>0.28891891980661799</v>
      </c>
      <c r="V1367">
        <v>46.578766011522397</v>
      </c>
    </row>
    <row r="1368" spans="1:22" x14ac:dyDescent="0.25">
      <c r="A1368" t="str">
        <f t="shared" si="21"/>
        <v>Poland2015</v>
      </c>
      <c r="B1368" t="s">
        <v>189</v>
      </c>
      <c r="C1368" t="s">
        <v>190</v>
      </c>
      <c r="D1368">
        <v>2015</v>
      </c>
      <c r="E1368">
        <v>12637.5220324406</v>
      </c>
      <c r="F1368">
        <v>4.4317670026447802</v>
      </c>
      <c r="G1368">
        <v>-0.87412587412586196</v>
      </c>
      <c r="H1368">
        <v>10</v>
      </c>
      <c r="I1368">
        <v>15.377532834753801</v>
      </c>
      <c r="J1368">
        <v>7.4749999999999996</v>
      </c>
      <c r="K1368">
        <v>34.1387372869929</v>
      </c>
      <c r="L1368">
        <v>32.482117239290801</v>
      </c>
      <c r="M1368">
        <v>1.32071091723995</v>
      </c>
      <c r="N1368">
        <v>43.836252158504898</v>
      </c>
      <c r="O1368">
        <v>20.801695878123098</v>
      </c>
      <c r="P1368">
        <v>4.6236827805907499</v>
      </c>
      <c r="Q1368">
        <v>19.500921769000701</v>
      </c>
      <c r="R1368">
        <v>47.1616367257527</v>
      </c>
      <c r="S1368">
        <v>-2.5945252453601801</v>
      </c>
      <c r="T1368">
        <v>51.056160372757098</v>
      </c>
      <c r="U1368">
        <v>0.37899015870445801</v>
      </c>
      <c r="V1368">
        <v>48.305056088286698</v>
      </c>
    </row>
    <row r="1369" spans="1:22" x14ac:dyDescent="0.25">
      <c r="A1369" t="str">
        <f t="shared" si="21"/>
        <v>Poland2016</v>
      </c>
      <c r="B1369" t="s">
        <v>189</v>
      </c>
      <c r="C1369" t="s">
        <v>190</v>
      </c>
      <c r="D1369">
        <v>2016</v>
      </c>
      <c r="E1369">
        <v>12464.011050847599</v>
      </c>
      <c r="F1369">
        <v>3.0311776759484701</v>
      </c>
      <c r="G1369">
        <v>-0.66476733143396205</v>
      </c>
      <c r="H1369">
        <v>10</v>
      </c>
      <c r="I1369">
        <v>15.912911509250501</v>
      </c>
      <c r="J1369">
        <v>6.141</v>
      </c>
      <c r="K1369">
        <v>34.8011532937469</v>
      </c>
      <c r="L1369">
        <v>32.812611202812498</v>
      </c>
      <c r="M1369">
        <v>8.2862448389306606E-2</v>
      </c>
      <c r="N1369">
        <v>45.028041683187702</v>
      </c>
      <c r="O1369">
        <v>20.087300906771802</v>
      </c>
      <c r="P1369">
        <v>5.3923045238789502</v>
      </c>
      <c r="Q1369">
        <v>19.038531067118999</v>
      </c>
      <c r="R1369">
        <v>49.906428862355</v>
      </c>
      <c r="S1369">
        <v>-2.3831376467729499</v>
      </c>
      <c r="T1369">
        <v>54.128807248943403</v>
      </c>
      <c r="U1369">
        <v>0.426091811599286</v>
      </c>
      <c r="V1369">
        <v>49.207798373021497</v>
      </c>
    </row>
    <row r="1370" spans="1:22" x14ac:dyDescent="0.25">
      <c r="A1370" t="str">
        <f t="shared" si="21"/>
        <v>Poland2017</v>
      </c>
      <c r="B1370" t="s">
        <v>189</v>
      </c>
      <c r="C1370" t="s">
        <v>190</v>
      </c>
      <c r="D1370">
        <v>2017</v>
      </c>
      <c r="E1370">
        <v>13913.340291992699</v>
      </c>
      <c r="F1370">
        <v>5.1524577332590704</v>
      </c>
      <c r="G1370">
        <v>2.0759355367385899</v>
      </c>
      <c r="H1370">
        <v>10</v>
      </c>
      <c r="I1370">
        <v>16.4659360432975</v>
      </c>
      <c r="J1370">
        <v>4.867</v>
      </c>
      <c r="K1370">
        <v>34.2617520918092</v>
      </c>
      <c r="L1370">
        <v>33.531897461784503</v>
      </c>
      <c r="M1370">
        <v>1.77020284945432</v>
      </c>
      <c r="N1370">
        <v>46.3552256954314</v>
      </c>
      <c r="O1370">
        <v>19.9081446848915</v>
      </c>
      <c r="P1370">
        <v>4.6023689487681603</v>
      </c>
      <c r="Q1370">
        <v>18.7418167207165</v>
      </c>
      <c r="R1370">
        <v>51.692527578629402</v>
      </c>
      <c r="S1370">
        <v>-1.4858956869767901</v>
      </c>
      <c r="T1370">
        <v>50.444302887167503</v>
      </c>
      <c r="U1370">
        <v>0.54115062820647397</v>
      </c>
      <c r="V1370">
        <v>51.412996122976999</v>
      </c>
    </row>
    <row r="1371" spans="1:22" x14ac:dyDescent="0.25">
      <c r="A1371" t="str">
        <f t="shared" si="21"/>
        <v>Poland2018</v>
      </c>
      <c r="B1371" t="s">
        <v>189</v>
      </c>
      <c r="C1371" t="s">
        <v>190</v>
      </c>
      <c r="D1371">
        <v>2018</v>
      </c>
      <c r="E1371">
        <v>15658.212031679401</v>
      </c>
      <c r="F1371">
        <v>6.2458584723942003</v>
      </c>
      <c r="G1371">
        <v>1.81295156542689</v>
      </c>
      <c r="H1371">
        <v>10</v>
      </c>
      <c r="I1371">
        <v>17.014561608572102</v>
      </c>
      <c r="J1371">
        <v>3.835</v>
      </c>
      <c r="K1371">
        <v>33.058963385418103</v>
      </c>
      <c r="L1371">
        <v>34.100364734932697</v>
      </c>
      <c r="M1371">
        <v>1.22699825174134</v>
      </c>
      <c r="N1371">
        <v>47.761253440797603</v>
      </c>
      <c r="O1371">
        <v>21.443880969664999</v>
      </c>
      <c r="P1371">
        <v>4.1489432706358302</v>
      </c>
      <c r="Q1371">
        <v>19.471062874288499</v>
      </c>
      <c r="R1371">
        <v>52.232575443975001</v>
      </c>
      <c r="S1371">
        <v>-0.244846936556598</v>
      </c>
      <c r="T1371">
        <v>48.233677747849597</v>
      </c>
      <c r="U1371">
        <v>0.63666236706384305</v>
      </c>
      <c r="V1371">
        <v>53.243557898539798</v>
      </c>
    </row>
    <row r="1372" spans="1:22" x14ac:dyDescent="0.25">
      <c r="A1372" t="str">
        <f t="shared" si="21"/>
        <v>Poland2019</v>
      </c>
      <c r="B1372" t="s">
        <v>189</v>
      </c>
      <c r="C1372" t="s">
        <v>190</v>
      </c>
      <c r="D1372">
        <v>2019</v>
      </c>
      <c r="E1372">
        <v>15874.5220531254</v>
      </c>
      <c r="F1372">
        <v>4.5804581725619897</v>
      </c>
      <c r="G1372">
        <v>2.2274788093829101</v>
      </c>
      <c r="H1372">
        <v>10</v>
      </c>
      <c r="I1372">
        <v>17.5584217024462</v>
      </c>
      <c r="J1372">
        <v>3.2669999999999999</v>
      </c>
      <c r="K1372">
        <v>33.827053466203999</v>
      </c>
      <c r="L1372">
        <v>34.146726196006902</v>
      </c>
      <c r="M1372">
        <v>3.02644690867653</v>
      </c>
      <c r="N1372">
        <v>49.2108489415536</v>
      </c>
      <c r="O1372">
        <v>20.707679449110099</v>
      </c>
      <c r="P1372">
        <v>4.6033131497259703</v>
      </c>
      <c r="Q1372">
        <v>20.436103187478999</v>
      </c>
      <c r="R1372">
        <v>52.612893481174197</v>
      </c>
      <c r="S1372">
        <v>-0.73360943517363197</v>
      </c>
      <c r="T1372">
        <v>45.2110713173197</v>
      </c>
      <c r="U1372">
        <v>0.64680872439193804</v>
      </c>
      <c r="V1372">
        <v>53.438021260930803</v>
      </c>
    </row>
    <row r="1373" spans="1:22" x14ac:dyDescent="0.25">
      <c r="A1373" t="str">
        <f t="shared" si="21"/>
        <v>Poland2020</v>
      </c>
      <c r="B1373" t="s">
        <v>189</v>
      </c>
      <c r="C1373" t="s">
        <v>190</v>
      </c>
      <c r="D1373">
        <v>2020</v>
      </c>
      <c r="E1373">
        <v>16150.930481347301</v>
      </c>
      <c r="F1373">
        <v>-2.0355688239997698</v>
      </c>
      <c r="G1373">
        <v>3.37446972618589</v>
      </c>
      <c r="H1373">
        <v>9</v>
      </c>
      <c r="I1373">
        <v>18.076046817936099</v>
      </c>
      <c r="J1373">
        <v>3.1549999999999998</v>
      </c>
      <c r="K1373">
        <v>40.522296880667</v>
      </c>
      <c r="L1373">
        <v>34.708192317181897</v>
      </c>
      <c r="M1373">
        <v>4.2385943485677702</v>
      </c>
      <c r="N1373">
        <v>50.522706408095097</v>
      </c>
      <c r="O1373">
        <v>18.839405156948501</v>
      </c>
      <c r="P1373">
        <v>5.7679346914963601</v>
      </c>
      <c r="Q1373">
        <v>21.225588928382901</v>
      </c>
      <c r="R1373">
        <v>52.4338855199248</v>
      </c>
      <c r="S1373">
        <v>-6.8531726895053202</v>
      </c>
      <c r="T1373">
        <v>56.584670968003998</v>
      </c>
      <c r="U1373">
        <v>0.32211194024532702</v>
      </c>
      <c r="V1373">
        <v>47.214937807340299</v>
      </c>
    </row>
    <row r="1374" spans="1:22" x14ac:dyDescent="0.25">
      <c r="A1374" t="str">
        <f t="shared" si="21"/>
        <v>Poland2021</v>
      </c>
      <c r="B1374" t="s">
        <v>189</v>
      </c>
      <c r="C1374" t="s">
        <v>190</v>
      </c>
      <c r="D1374">
        <v>2021</v>
      </c>
      <c r="E1374">
        <v>18635.510489575401</v>
      </c>
      <c r="F1374">
        <v>6.92718266052501</v>
      </c>
      <c r="G1374">
        <v>5.0550270471927199</v>
      </c>
      <c r="H1374">
        <v>9</v>
      </c>
      <c r="I1374">
        <v>18.5352368986876</v>
      </c>
      <c r="J1374">
        <v>3.2679999999999998</v>
      </c>
      <c r="K1374">
        <v>36.998547445480398</v>
      </c>
      <c r="L1374">
        <v>35.788636409748101</v>
      </c>
      <c r="M1374">
        <v>5.3402360280074799</v>
      </c>
      <c r="N1374">
        <v>51.509034748307101</v>
      </c>
      <c r="O1374">
        <v>21.810673457778599</v>
      </c>
      <c r="P1374">
        <v>4.7807705856432596</v>
      </c>
      <c r="Q1374">
        <v>20.465253353535999</v>
      </c>
      <c r="R1374">
        <v>57.037976072301603</v>
      </c>
      <c r="S1374">
        <v>-1.67566040700535</v>
      </c>
      <c r="T1374">
        <v>53.013584955170998</v>
      </c>
      <c r="U1374">
        <v>0.63624406845639003</v>
      </c>
      <c r="V1374">
        <v>53.235540858428003</v>
      </c>
    </row>
    <row r="1375" spans="1:22" x14ac:dyDescent="0.25">
      <c r="A1375" t="str">
        <f t="shared" si="21"/>
        <v>Poland2022</v>
      </c>
      <c r="B1375" t="s">
        <v>189</v>
      </c>
      <c r="C1375" t="s">
        <v>190</v>
      </c>
      <c r="D1375">
        <v>2022</v>
      </c>
      <c r="E1375">
        <v>18891.212116927902</v>
      </c>
      <c r="F1375">
        <v>5.25545697386036</v>
      </c>
      <c r="G1375">
        <v>14.4294507575758</v>
      </c>
      <c r="H1375">
        <v>9</v>
      </c>
      <c r="I1375">
        <v>19.019215704040501</v>
      </c>
      <c r="J1375">
        <v>2.8109999999999999</v>
      </c>
      <c r="K1375">
        <v>36.063240724317502</v>
      </c>
      <c r="L1375">
        <v>33.809181353499802</v>
      </c>
      <c r="M1375">
        <v>10.689577427513999</v>
      </c>
      <c r="N1375">
        <v>52.306617945756003</v>
      </c>
      <c r="O1375">
        <v>22.059467565344999</v>
      </c>
      <c r="P1375">
        <v>4.2561457082166498</v>
      </c>
      <c r="Q1375">
        <v>19.385598275475999</v>
      </c>
      <c r="R1375">
        <v>62.352516245545601</v>
      </c>
      <c r="S1375">
        <v>-3.3692053265783599</v>
      </c>
      <c r="T1375">
        <v>48.7870115867265</v>
      </c>
      <c r="U1375">
        <v>0.54075691977225404</v>
      </c>
      <c r="V1375">
        <v>51.405450373951602</v>
      </c>
    </row>
    <row r="1376" spans="1:22" x14ac:dyDescent="0.25">
      <c r="A1376" t="str">
        <f t="shared" si="21"/>
        <v>Poland2023</v>
      </c>
      <c r="B1376" t="s">
        <v>189</v>
      </c>
      <c r="C1376" t="s">
        <v>190</v>
      </c>
      <c r="D1376">
        <v>2023</v>
      </c>
      <c r="E1376">
        <v>22145.2660647429</v>
      </c>
      <c r="F1376">
        <v>0.24961083401787201</v>
      </c>
      <c r="G1376">
        <v>11.5289127961105</v>
      </c>
      <c r="H1376">
        <v>9</v>
      </c>
      <c r="I1376">
        <v>19.560911469252801</v>
      </c>
      <c r="J1376">
        <v>2.7429999999999999</v>
      </c>
      <c r="K1376">
        <v>39.098239262794102</v>
      </c>
      <c r="L1376">
        <v>35.8946310017879</v>
      </c>
      <c r="M1376">
        <v>9.8656927023499694</v>
      </c>
      <c r="N1376">
        <v>53.040171083640999</v>
      </c>
      <c r="O1376">
        <v>17.668450613332901</v>
      </c>
      <c r="P1376">
        <v>4.8546148136994196</v>
      </c>
      <c r="Q1376">
        <v>19.069188211543999</v>
      </c>
      <c r="R1376">
        <v>57.881271019543398</v>
      </c>
      <c r="S1376">
        <v>-5.1956010086219102</v>
      </c>
      <c r="T1376">
        <v>49.520509892940296</v>
      </c>
      <c r="U1376">
        <v>0.52041356219315105</v>
      </c>
      <c r="V1376">
        <v>51.015553035504801</v>
      </c>
    </row>
    <row r="1377" spans="1:22" x14ac:dyDescent="0.25">
      <c r="A1377" t="str">
        <f t="shared" si="21"/>
        <v>Poland2024</v>
      </c>
      <c r="B1377" t="s">
        <v>189</v>
      </c>
      <c r="C1377" t="s">
        <v>190</v>
      </c>
      <c r="D1377">
        <v>2024</v>
      </c>
      <c r="E1377">
        <v>25103.565661422999</v>
      </c>
      <c r="F1377">
        <v>3.0284163070027299</v>
      </c>
      <c r="G1377">
        <v>3.7906089763019701</v>
      </c>
      <c r="H1377">
        <v>9</v>
      </c>
      <c r="I1377">
        <v>20.1434028173028</v>
      </c>
      <c r="J1377">
        <v>2.8069999999999999</v>
      </c>
      <c r="K1377">
        <v>35.066494321245102</v>
      </c>
      <c r="L1377">
        <v>33.1722543322985</v>
      </c>
      <c r="M1377">
        <v>3.8289476599033199</v>
      </c>
      <c r="N1377">
        <v>53.7259735061021</v>
      </c>
      <c r="O1377">
        <v>17.8032326864165</v>
      </c>
      <c r="P1377">
        <v>5.3671882432715403</v>
      </c>
      <c r="Q1377">
        <v>18.115690593121801</v>
      </c>
      <c r="R1377">
        <v>52.179813391901099</v>
      </c>
      <c r="S1377">
        <v>-6.47509025555342</v>
      </c>
      <c r="T1377">
        <v>55.0890276667824</v>
      </c>
      <c r="U1377">
        <v>0.41770820365178102</v>
      </c>
      <c r="V1377">
        <v>49.047119566064303</v>
      </c>
    </row>
    <row r="1378" spans="1:22" x14ac:dyDescent="0.25">
      <c r="A1378" t="str">
        <f t="shared" si="21"/>
        <v>Poland2025</v>
      </c>
      <c r="B1378" t="s">
        <v>189</v>
      </c>
      <c r="C1378" t="s">
        <v>190</v>
      </c>
      <c r="D1378">
        <v>2025</v>
      </c>
      <c r="E1378">
        <v>14262.2841914116</v>
      </c>
      <c r="F1378">
        <v>3.9205086239003202</v>
      </c>
      <c r="G1378">
        <v>2.5806937025054801</v>
      </c>
      <c r="H1378">
        <v>9</v>
      </c>
      <c r="I1378">
        <v>16.4659360432975</v>
      </c>
      <c r="J1378">
        <v>2.976</v>
      </c>
      <c r="K1378">
        <v>35.066494321245102</v>
      </c>
      <c r="L1378">
        <v>33.1722543322985</v>
      </c>
      <c r="M1378">
        <v>2.1834335739452402</v>
      </c>
      <c r="N1378">
        <v>46.3552256954314</v>
      </c>
      <c r="O1378">
        <v>20.801695878123098</v>
      </c>
      <c r="P1378">
        <v>4.7807705856432596</v>
      </c>
      <c r="Q1378">
        <v>19.038531067118999</v>
      </c>
      <c r="R1378">
        <v>51.692527578629402</v>
      </c>
      <c r="S1378">
        <v>-7.0114618228756198</v>
      </c>
      <c r="T1378">
        <v>58.804283386240101</v>
      </c>
      <c r="U1378">
        <v>0.24783706937871899</v>
      </c>
      <c r="V1378">
        <v>45.791398239116901</v>
      </c>
    </row>
    <row r="1379" spans="1:22" x14ac:dyDescent="0.25">
      <c r="A1379" t="str">
        <f t="shared" si="21"/>
        <v>Portugal2010</v>
      </c>
      <c r="B1379" t="s">
        <v>191</v>
      </c>
      <c r="C1379" t="s">
        <v>192</v>
      </c>
      <c r="D1379">
        <v>2010</v>
      </c>
      <c r="E1379">
        <v>22551.935098809001</v>
      </c>
      <c r="F1379">
        <v>1.73762453640036</v>
      </c>
      <c r="G1379">
        <v>1.4025728989536901</v>
      </c>
      <c r="H1379">
        <v>12</v>
      </c>
      <c r="I1379">
        <v>18.5177045107792</v>
      </c>
      <c r="J1379">
        <v>10.771000000000001</v>
      </c>
      <c r="K1379">
        <v>44.145527103969698</v>
      </c>
      <c r="L1379">
        <v>34.571265792759398</v>
      </c>
      <c r="M1379">
        <v>0.78213584453736495</v>
      </c>
      <c r="N1379">
        <v>50.840593529993498</v>
      </c>
      <c r="O1379">
        <v>21.199452679818201</v>
      </c>
      <c r="P1379">
        <v>2.1700946997455799</v>
      </c>
      <c r="Q1379">
        <v>10.687520313972099</v>
      </c>
      <c r="R1379">
        <v>30.027585123527299</v>
      </c>
      <c r="S1379">
        <v>-11.4183722486995</v>
      </c>
      <c r="T1379">
        <v>100.075391803865</v>
      </c>
      <c r="U1379">
        <v>-0.106446133331076</v>
      </c>
      <c r="V1379">
        <v>39.001266509099899</v>
      </c>
    </row>
    <row r="1380" spans="1:22" x14ac:dyDescent="0.25">
      <c r="A1380" t="str">
        <f t="shared" si="21"/>
        <v>Portugal2011</v>
      </c>
      <c r="B1380" t="s">
        <v>191</v>
      </c>
      <c r="C1380" t="s">
        <v>192</v>
      </c>
      <c r="D1380">
        <v>2011</v>
      </c>
      <c r="E1380">
        <v>23246.542541648101</v>
      </c>
      <c r="F1380">
        <v>-1.71352745905065</v>
      </c>
      <c r="G1380">
        <v>3.6530110043072401</v>
      </c>
      <c r="H1380">
        <v>12</v>
      </c>
      <c r="I1380">
        <v>18.865582983507899</v>
      </c>
      <c r="J1380">
        <v>12.715</v>
      </c>
      <c r="K1380">
        <v>44.475719753651198</v>
      </c>
      <c r="L1380">
        <v>36.4502204173696</v>
      </c>
      <c r="M1380">
        <v>-0.260435388033883</v>
      </c>
      <c r="N1380">
        <v>51.318162664503397</v>
      </c>
      <c r="O1380">
        <v>18.6613799007397</v>
      </c>
      <c r="P1380">
        <v>2.08440153916575</v>
      </c>
      <c r="Q1380">
        <v>13.2527010798894</v>
      </c>
      <c r="R1380">
        <v>34.411513093322803</v>
      </c>
      <c r="S1380">
        <v>-7.7269522833472903</v>
      </c>
      <c r="T1380">
        <v>114.02387392318001</v>
      </c>
      <c r="U1380">
        <v>4.7592478096893001E-2</v>
      </c>
      <c r="V1380">
        <v>41.953544390480502</v>
      </c>
    </row>
    <row r="1381" spans="1:22" x14ac:dyDescent="0.25">
      <c r="A1381" t="str">
        <f t="shared" si="21"/>
        <v>Portugal2012</v>
      </c>
      <c r="B1381" t="s">
        <v>191</v>
      </c>
      <c r="C1381" t="s">
        <v>192</v>
      </c>
      <c r="D1381">
        <v>2012</v>
      </c>
      <c r="E1381">
        <v>20593.427422410899</v>
      </c>
      <c r="F1381">
        <v>-4.0509026762193496</v>
      </c>
      <c r="G1381">
        <v>2.7733385405158599</v>
      </c>
      <c r="H1381">
        <v>12</v>
      </c>
      <c r="I1381">
        <v>19.200372866362599</v>
      </c>
      <c r="J1381">
        <v>15.509</v>
      </c>
      <c r="K1381">
        <v>44.362913573287997</v>
      </c>
      <c r="L1381">
        <v>36.4004717016117</v>
      </c>
      <c r="M1381">
        <v>-0.37640217672651499</v>
      </c>
      <c r="N1381">
        <v>51.847563868263997</v>
      </c>
      <c r="O1381">
        <v>15.7536608050077</v>
      </c>
      <c r="P1381">
        <v>2.7289889016542701</v>
      </c>
      <c r="Q1381">
        <v>13.950758684031101</v>
      </c>
      <c r="R1381">
        <v>37.723505721977901</v>
      </c>
      <c r="S1381">
        <v>-6.2024330317013199</v>
      </c>
      <c r="T1381">
        <v>128.603519547735</v>
      </c>
      <c r="U1381">
        <v>3.3189128057327197E-2</v>
      </c>
      <c r="V1381">
        <v>41.677492228328497</v>
      </c>
    </row>
    <row r="1382" spans="1:22" x14ac:dyDescent="0.25">
      <c r="A1382" t="str">
        <f t="shared" si="21"/>
        <v>Portugal2013</v>
      </c>
      <c r="B1382" t="s">
        <v>191</v>
      </c>
      <c r="C1382" t="s">
        <v>192</v>
      </c>
      <c r="D1382">
        <v>2013</v>
      </c>
      <c r="E1382">
        <v>21676.4859642714</v>
      </c>
      <c r="F1382">
        <v>-0.98410657414832803</v>
      </c>
      <c r="G1382">
        <v>0.27441666666666298</v>
      </c>
      <c r="H1382">
        <v>12</v>
      </c>
      <c r="I1382">
        <v>19.627659282019799</v>
      </c>
      <c r="J1382">
        <v>16.236999999999998</v>
      </c>
      <c r="K1382">
        <v>45.580960409882501</v>
      </c>
      <c r="L1382">
        <v>38.675171523736203</v>
      </c>
      <c r="M1382">
        <v>2.2743867018534298</v>
      </c>
      <c r="N1382">
        <v>52.452022042744296</v>
      </c>
      <c r="O1382">
        <v>14.6835299275763</v>
      </c>
      <c r="P1382">
        <v>2.0652064440695201</v>
      </c>
      <c r="Q1382">
        <v>15.5586765901727</v>
      </c>
      <c r="R1382">
        <v>39.563950332481198</v>
      </c>
      <c r="S1382">
        <v>-5.2135806172645598</v>
      </c>
      <c r="T1382">
        <v>130.840788021252</v>
      </c>
      <c r="U1382">
        <v>0.16824655640701799</v>
      </c>
      <c r="V1382">
        <v>44.265979976540798</v>
      </c>
    </row>
    <row r="1383" spans="1:22" x14ac:dyDescent="0.25">
      <c r="A1383" t="str">
        <f t="shared" si="21"/>
        <v>Portugal2014</v>
      </c>
      <c r="B1383" t="s">
        <v>191</v>
      </c>
      <c r="C1383" t="s">
        <v>192</v>
      </c>
      <c r="D1383">
        <v>2014</v>
      </c>
      <c r="E1383">
        <v>22120.685012710699</v>
      </c>
      <c r="F1383">
        <v>0.74139142070650599</v>
      </c>
      <c r="G1383">
        <v>-0.27815336746742803</v>
      </c>
      <c r="H1383">
        <v>12</v>
      </c>
      <c r="I1383">
        <v>20.114103147273202</v>
      </c>
      <c r="J1383">
        <v>13.88</v>
      </c>
      <c r="K1383">
        <v>47.560533270165998</v>
      </c>
      <c r="L1383">
        <v>38.393776536902102</v>
      </c>
      <c r="M1383">
        <v>0.724456767129396</v>
      </c>
      <c r="N1383">
        <v>53.068451851416903</v>
      </c>
      <c r="O1383">
        <v>15.3444039472278</v>
      </c>
      <c r="P1383">
        <v>2.1714742054810898</v>
      </c>
      <c r="Q1383">
        <v>15.0540114332393</v>
      </c>
      <c r="R1383">
        <v>40.185090581629197</v>
      </c>
      <c r="S1383">
        <v>-7.3160423496967999</v>
      </c>
      <c r="T1383">
        <v>132.45326139551199</v>
      </c>
      <c r="U1383">
        <v>0.14988168683405001</v>
      </c>
      <c r="V1383">
        <v>43.914002003407397</v>
      </c>
    </row>
    <row r="1384" spans="1:22" x14ac:dyDescent="0.25">
      <c r="A1384" t="str">
        <f t="shared" si="21"/>
        <v>Portugal2015</v>
      </c>
      <c r="B1384" t="s">
        <v>191</v>
      </c>
      <c r="C1384" t="s">
        <v>192</v>
      </c>
      <c r="D1384">
        <v>2015</v>
      </c>
      <c r="E1384">
        <v>19215.781301434701</v>
      </c>
      <c r="F1384">
        <v>1.5897980370268101</v>
      </c>
      <c r="G1384">
        <v>0.48793862390471998</v>
      </c>
      <c r="H1384">
        <v>12</v>
      </c>
      <c r="I1384">
        <v>20.5742532955034</v>
      </c>
      <c r="J1384">
        <v>12.404999999999999</v>
      </c>
      <c r="K1384">
        <v>44.003627817449399</v>
      </c>
      <c r="L1384">
        <v>37.965645526875903</v>
      </c>
      <c r="M1384">
        <v>1.9624469913727201</v>
      </c>
      <c r="N1384">
        <v>53.546174618876101</v>
      </c>
      <c r="O1384">
        <v>15.937988873338201</v>
      </c>
      <c r="P1384">
        <v>2.4675011938571498</v>
      </c>
      <c r="Q1384">
        <v>15.888028176578301</v>
      </c>
      <c r="R1384">
        <v>40.687666409006603</v>
      </c>
      <c r="S1384">
        <v>-4.3718637240332097</v>
      </c>
      <c r="T1384">
        <v>131.023297505025</v>
      </c>
      <c r="U1384">
        <v>0.28001055148151799</v>
      </c>
      <c r="V1384">
        <v>46.408029736236799</v>
      </c>
    </row>
    <row r="1385" spans="1:22" x14ac:dyDescent="0.25">
      <c r="A1385" t="str">
        <f t="shared" si="21"/>
        <v>Portugal2016</v>
      </c>
      <c r="B1385" t="s">
        <v>191</v>
      </c>
      <c r="C1385" t="s">
        <v>192</v>
      </c>
      <c r="D1385">
        <v>2016</v>
      </c>
      <c r="E1385">
        <v>19980.280886651599</v>
      </c>
      <c r="F1385">
        <v>2.0041412966657499</v>
      </c>
      <c r="G1385">
        <v>0.60739707464171899</v>
      </c>
      <c r="H1385">
        <v>12</v>
      </c>
      <c r="I1385">
        <v>21.026998642616</v>
      </c>
      <c r="J1385">
        <v>11.058</v>
      </c>
      <c r="K1385">
        <v>41.319932671801901</v>
      </c>
      <c r="L1385">
        <v>37.263934377686198</v>
      </c>
      <c r="M1385">
        <v>1.8540870315521001</v>
      </c>
      <c r="N1385">
        <v>54.106416680434897</v>
      </c>
      <c r="O1385">
        <v>16.0283624571119</v>
      </c>
      <c r="P1385">
        <v>3.1628447530592898</v>
      </c>
      <c r="Q1385">
        <v>16.723154082958601</v>
      </c>
      <c r="R1385">
        <v>40.355088926056403</v>
      </c>
      <c r="S1385">
        <v>-1.94335468031041</v>
      </c>
      <c r="T1385">
        <v>131.18025032621301</v>
      </c>
      <c r="U1385">
        <v>0.41366692278053602</v>
      </c>
      <c r="V1385">
        <v>48.9696650628198</v>
      </c>
    </row>
    <row r="1386" spans="1:22" x14ac:dyDescent="0.25">
      <c r="A1386" t="str">
        <f t="shared" si="21"/>
        <v>Portugal2017</v>
      </c>
      <c r="B1386" t="s">
        <v>191</v>
      </c>
      <c r="C1386" t="s">
        <v>192</v>
      </c>
      <c r="D1386">
        <v>2017</v>
      </c>
      <c r="E1386">
        <v>21442.3842768879</v>
      </c>
      <c r="F1386">
        <v>3.3147200817598601</v>
      </c>
      <c r="G1386">
        <v>1.3686141164347201</v>
      </c>
      <c r="H1386">
        <v>12</v>
      </c>
      <c r="I1386">
        <v>21.488283048316301</v>
      </c>
      <c r="J1386">
        <v>8.8780000000000001</v>
      </c>
      <c r="K1386">
        <v>41.668947889984999</v>
      </c>
      <c r="L1386">
        <v>37.299177671165197</v>
      </c>
      <c r="M1386">
        <v>1.5322008986414799</v>
      </c>
      <c r="N1386">
        <v>54.778705955470699</v>
      </c>
      <c r="O1386">
        <v>17.446286499879999</v>
      </c>
      <c r="P1386">
        <v>2.91110295630823</v>
      </c>
      <c r="Q1386">
        <v>18.403716866774001</v>
      </c>
      <c r="R1386">
        <v>42.9426786480198</v>
      </c>
      <c r="S1386">
        <v>-3.00220296651153</v>
      </c>
      <c r="T1386">
        <v>126.029223192168</v>
      </c>
      <c r="U1386">
        <v>0.465735038135348</v>
      </c>
      <c r="V1386">
        <v>49.967593724096197</v>
      </c>
    </row>
    <row r="1387" spans="1:22" x14ac:dyDescent="0.25">
      <c r="A1387" t="str">
        <f t="shared" si="21"/>
        <v>Portugal2018</v>
      </c>
      <c r="B1387" t="s">
        <v>191</v>
      </c>
      <c r="C1387" t="s">
        <v>192</v>
      </c>
      <c r="D1387">
        <v>2018</v>
      </c>
      <c r="E1387">
        <v>23541.1401075289</v>
      </c>
      <c r="F1387">
        <v>2.9462834344920199</v>
      </c>
      <c r="G1387">
        <v>0.99371568346832595</v>
      </c>
      <c r="H1387">
        <v>12</v>
      </c>
      <c r="I1387">
        <v>21.932393013585099</v>
      </c>
      <c r="J1387">
        <v>6.9660000000000002</v>
      </c>
      <c r="K1387">
        <v>39.2823047343675</v>
      </c>
      <c r="L1387">
        <v>37.605944021425501</v>
      </c>
      <c r="M1387">
        <v>1.8523714541605301</v>
      </c>
      <c r="N1387">
        <v>55.400095683628699</v>
      </c>
      <c r="O1387">
        <v>18.524721498509301</v>
      </c>
      <c r="P1387">
        <v>2.4754661938403002</v>
      </c>
      <c r="Q1387">
        <v>18.757352303159202</v>
      </c>
      <c r="R1387">
        <v>43.677580570852001</v>
      </c>
      <c r="S1387">
        <v>-0.42577571639863099</v>
      </c>
      <c r="T1387">
        <v>121.11229594883</v>
      </c>
      <c r="U1387">
        <v>0.62791091629052798</v>
      </c>
      <c r="V1387">
        <v>53.075829078417797</v>
      </c>
    </row>
    <row r="1388" spans="1:22" x14ac:dyDescent="0.25">
      <c r="A1388" t="str">
        <f t="shared" si="21"/>
        <v>Portugal2019</v>
      </c>
      <c r="B1388" t="s">
        <v>191</v>
      </c>
      <c r="C1388" t="s">
        <v>192</v>
      </c>
      <c r="D1388">
        <v>2019</v>
      </c>
      <c r="E1388">
        <v>23343.362897003401</v>
      </c>
      <c r="F1388">
        <v>2.7456843264859598</v>
      </c>
      <c r="G1388">
        <v>0.33817841004603399</v>
      </c>
      <c r="H1388">
        <v>12</v>
      </c>
      <c r="I1388">
        <v>22.390078402136702</v>
      </c>
      <c r="J1388">
        <v>6.4219999999999997</v>
      </c>
      <c r="K1388">
        <v>38.668954544455303</v>
      </c>
      <c r="L1388">
        <v>37.454258626029898</v>
      </c>
      <c r="M1388">
        <v>1.8343682486321899</v>
      </c>
      <c r="N1388">
        <v>56.0597690902446</v>
      </c>
      <c r="O1388">
        <v>18.768265982879999</v>
      </c>
      <c r="P1388">
        <v>2.53215922234252</v>
      </c>
      <c r="Q1388">
        <v>18.9539022967354</v>
      </c>
      <c r="R1388">
        <v>43.653125943299102</v>
      </c>
      <c r="S1388">
        <v>0.116066071176311</v>
      </c>
      <c r="T1388">
        <v>116.109709594717</v>
      </c>
      <c r="U1388">
        <v>0.67018567083983005</v>
      </c>
      <c r="V1388">
        <v>53.886059848740302</v>
      </c>
    </row>
    <row r="1389" spans="1:22" x14ac:dyDescent="0.25">
      <c r="A1389" t="str">
        <f t="shared" si="21"/>
        <v>Portugal2020</v>
      </c>
      <c r="B1389" t="s">
        <v>191</v>
      </c>
      <c r="C1389" t="s">
        <v>192</v>
      </c>
      <c r="D1389">
        <v>2020</v>
      </c>
      <c r="E1389">
        <v>22299.404406217302</v>
      </c>
      <c r="F1389">
        <v>-8.2046315932438691</v>
      </c>
      <c r="G1389">
        <v>-1.2438329957530501E-2</v>
      </c>
      <c r="H1389">
        <v>12</v>
      </c>
      <c r="I1389">
        <v>22.862703399897299</v>
      </c>
      <c r="J1389">
        <v>6.85</v>
      </c>
      <c r="K1389">
        <v>44.527332007993401</v>
      </c>
      <c r="L1389">
        <v>37.7665912618546</v>
      </c>
      <c r="M1389">
        <v>2.10314290097442</v>
      </c>
      <c r="N1389">
        <v>56.740806296251598</v>
      </c>
      <c r="O1389">
        <v>19.418579180934799</v>
      </c>
      <c r="P1389">
        <v>3.45546829789917</v>
      </c>
      <c r="Q1389">
        <v>18.3681830489435</v>
      </c>
      <c r="R1389">
        <v>37.256015134452902</v>
      </c>
      <c r="S1389">
        <v>-5.75224043041732</v>
      </c>
      <c r="T1389">
        <v>134.09637631272099</v>
      </c>
      <c r="U1389">
        <v>0.254852238044462</v>
      </c>
      <c r="V1389">
        <v>45.925849771067497</v>
      </c>
    </row>
    <row r="1390" spans="1:22" x14ac:dyDescent="0.25">
      <c r="A1390" t="str">
        <f t="shared" si="21"/>
        <v>Portugal2021</v>
      </c>
      <c r="B1390" t="s">
        <v>191</v>
      </c>
      <c r="C1390" t="s">
        <v>192</v>
      </c>
      <c r="D1390">
        <v>2021</v>
      </c>
      <c r="E1390">
        <v>24711.4510062111</v>
      </c>
      <c r="F1390">
        <v>5.5587567207037401</v>
      </c>
      <c r="G1390">
        <v>1.2656571906904399</v>
      </c>
      <c r="H1390">
        <v>12</v>
      </c>
      <c r="I1390">
        <v>23.290870603766901</v>
      </c>
      <c r="J1390">
        <v>6.7119999999999997</v>
      </c>
      <c r="K1390">
        <v>42.453928634289198</v>
      </c>
      <c r="L1390">
        <v>37.705292594019298</v>
      </c>
      <c r="M1390">
        <v>2.0197771028245501</v>
      </c>
      <c r="N1390">
        <v>57.322620483125903</v>
      </c>
      <c r="O1390">
        <v>20.934767422495302</v>
      </c>
      <c r="P1390">
        <v>3.0841320477574898</v>
      </c>
      <c r="Q1390">
        <v>19.824112544058</v>
      </c>
      <c r="R1390">
        <v>41.548427184351198</v>
      </c>
      <c r="S1390">
        <v>-2.8255174051173699</v>
      </c>
      <c r="T1390">
        <v>123.87818958325801</v>
      </c>
      <c r="U1390">
        <v>0.57580225117052297</v>
      </c>
      <c r="V1390">
        <v>52.0771232472243</v>
      </c>
    </row>
    <row r="1391" spans="1:22" x14ac:dyDescent="0.25">
      <c r="A1391" t="str">
        <f t="shared" si="21"/>
        <v>Portugal2022</v>
      </c>
      <c r="B1391" t="s">
        <v>191</v>
      </c>
      <c r="C1391" t="s">
        <v>192</v>
      </c>
      <c r="D1391">
        <v>2022</v>
      </c>
      <c r="E1391">
        <v>24620.519758718099</v>
      </c>
      <c r="F1391">
        <v>6.9858413758027798</v>
      </c>
      <c r="G1391">
        <v>7.8326912423332304</v>
      </c>
      <c r="H1391">
        <v>12</v>
      </c>
      <c r="I1391">
        <v>23.688003515382999</v>
      </c>
      <c r="J1391">
        <v>6.1379999999999999</v>
      </c>
      <c r="K1391">
        <v>39.311176228756899</v>
      </c>
      <c r="L1391">
        <v>38.083132375175197</v>
      </c>
      <c r="M1391">
        <v>5.3275003610224303</v>
      </c>
      <c r="N1391">
        <v>57.953494061113403</v>
      </c>
      <c r="O1391">
        <v>21.3735177177842</v>
      </c>
      <c r="P1391">
        <v>2.5831003120423501</v>
      </c>
      <c r="Q1391">
        <v>18.8786209302211</v>
      </c>
      <c r="R1391">
        <v>49.481682200450599</v>
      </c>
      <c r="S1391">
        <v>-0.31041100652081499</v>
      </c>
      <c r="T1391">
        <v>111.231683262473</v>
      </c>
      <c r="U1391">
        <v>0.746733670908585</v>
      </c>
      <c r="V1391">
        <v>55.353165825429699</v>
      </c>
    </row>
    <row r="1392" spans="1:22" x14ac:dyDescent="0.25">
      <c r="A1392" t="str">
        <f t="shared" si="21"/>
        <v>Portugal2023</v>
      </c>
      <c r="B1392" t="s">
        <v>191</v>
      </c>
      <c r="C1392" t="s">
        <v>192</v>
      </c>
      <c r="D1392">
        <v>2023</v>
      </c>
      <c r="E1392">
        <v>27634.618313977298</v>
      </c>
      <c r="F1392">
        <v>3.0999790901826301</v>
      </c>
      <c r="G1392">
        <v>4.3112819189867198</v>
      </c>
      <c r="H1392">
        <v>12</v>
      </c>
      <c r="I1392">
        <v>24.1115106141099</v>
      </c>
      <c r="J1392">
        <v>6.4980000000000002</v>
      </c>
      <c r="K1392">
        <v>37.159507408500602</v>
      </c>
      <c r="L1392">
        <v>37.5005435031579</v>
      </c>
      <c r="M1392">
        <v>7.4876480834025001</v>
      </c>
      <c r="N1392">
        <v>58.743155458285699</v>
      </c>
      <c r="O1392">
        <v>20.497276861923499</v>
      </c>
      <c r="P1392">
        <v>2.6684232120298899</v>
      </c>
      <c r="Q1392">
        <v>20.657369099874401</v>
      </c>
      <c r="R1392">
        <v>47.155476931488202</v>
      </c>
      <c r="S1392">
        <v>1.2571656422020701</v>
      </c>
      <c r="T1392">
        <v>96.860211442390394</v>
      </c>
      <c r="U1392">
        <v>0.82549068073019605</v>
      </c>
      <c r="V1392">
        <v>56.862609308103202</v>
      </c>
    </row>
    <row r="1393" spans="1:22" x14ac:dyDescent="0.25">
      <c r="A1393" t="str">
        <f t="shared" si="21"/>
        <v>Portugal2024</v>
      </c>
      <c r="B1393" t="s">
        <v>191</v>
      </c>
      <c r="C1393" t="s">
        <v>192</v>
      </c>
      <c r="D1393">
        <v>2024</v>
      </c>
      <c r="E1393">
        <v>29292.242104753001</v>
      </c>
      <c r="F1393">
        <v>2.13967177177636</v>
      </c>
      <c r="G1393">
        <v>2.4161318779188399</v>
      </c>
      <c r="H1393">
        <v>12</v>
      </c>
      <c r="I1393">
        <v>24.5306498594644</v>
      </c>
      <c r="J1393">
        <v>6.5</v>
      </c>
      <c r="K1393">
        <v>43.228778225869299</v>
      </c>
      <c r="L1393">
        <v>37.429726946261702</v>
      </c>
      <c r="M1393">
        <v>4.8130769308759804</v>
      </c>
      <c r="N1393">
        <v>59.5712560251323</v>
      </c>
      <c r="O1393">
        <v>20.367142950622799</v>
      </c>
      <c r="P1393">
        <v>3.1420671862425298</v>
      </c>
      <c r="Q1393">
        <v>21.860317837527099</v>
      </c>
      <c r="R1393">
        <v>45.771725043315001</v>
      </c>
      <c r="S1393">
        <v>0.50087254554508298</v>
      </c>
      <c r="T1393">
        <v>93.476630721540104</v>
      </c>
      <c r="U1393">
        <v>0.85808879788924997</v>
      </c>
      <c r="V1393">
        <v>57.4873792886372</v>
      </c>
    </row>
    <row r="1394" spans="1:22" x14ac:dyDescent="0.25">
      <c r="A1394" t="str">
        <f t="shared" si="21"/>
        <v>Portugal2025</v>
      </c>
      <c r="B1394" t="s">
        <v>191</v>
      </c>
      <c r="C1394" t="s">
        <v>192</v>
      </c>
      <c r="D1394">
        <v>2025</v>
      </c>
      <c r="E1394">
        <v>22551.935098809001</v>
      </c>
      <c r="F1394">
        <v>2.0041412966657499</v>
      </c>
      <c r="G1394">
        <v>1.2656571906904399</v>
      </c>
      <c r="H1394">
        <v>12</v>
      </c>
      <c r="I1394">
        <v>21.488283048316301</v>
      </c>
      <c r="J1394">
        <v>6.1639999999999997</v>
      </c>
      <c r="K1394">
        <v>43.228778225869299</v>
      </c>
      <c r="L1394">
        <v>37.5005435031579</v>
      </c>
      <c r="M1394">
        <v>1.8540870315521001</v>
      </c>
      <c r="N1394">
        <v>54.778705955470699</v>
      </c>
      <c r="O1394">
        <v>18.6613799007397</v>
      </c>
      <c r="P1394">
        <v>2.5831003120423501</v>
      </c>
      <c r="Q1394">
        <v>18.3681830489435</v>
      </c>
      <c r="R1394">
        <v>40.687666409006603</v>
      </c>
      <c r="S1394">
        <v>0.30873243330385097</v>
      </c>
      <c r="T1394">
        <v>89.906014283846702</v>
      </c>
      <c r="U1394">
        <v>0.74136235555430097</v>
      </c>
      <c r="V1394">
        <v>55.250220107032398</v>
      </c>
    </row>
    <row r="1395" spans="1:22" x14ac:dyDescent="0.25">
      <c r="A1395" t="str">
        <f t="shared" si="21"/>
        <v>Romania2010</v>
      </c>
      <c r="B1395" t="s">
        <v>193</v>
      </c>
      <c r="C1395" t="s">
        <v>194</v>
      </c>
      <c r="D1395">
        <v>2010</v>
      </c>
      <c r="E1395">
        <v>8399.5374234284009</v>
      </c>
      <c r="F1395">
        <v>-3.90581157302972</v>
      </c>
      <c r="G1395">
        <v>6.0914166860189098</v>
      </c>
      <c r="H1395">
        <v>10</v>
      </c>
      <c r="I1395">
        <v>15.8399964683843</v>
      </c>
      <c r="J1395">
        <v>6.9589999999999996</v>
      </c>
      <c r="K1395">
        <v>34.8305247040647</v>
      </c>
      <c r="L1395">
        <v>29.080567492679702</v>
      </c>
      <c r="M1395">
        <v>5.9321118598994396</v>
      </c>
      <c r="N1395">
        <v>46.1712166992167</v>
      </c>
      <c r="O1395">
        <v>27.189079420295201</v>
      </c>
      <c r="P1395">
        <v>8.4415392664971698</v>
      </c>
      <c r="Q1395">
        <v>22.489667084693199</v>
      </c>
      <c r="R1395">
        <v>31.6415933092484</v>
      </c>
      <c r="S1395">
        <v>-6.2197790798617802</v>
      </c>
      <c r="T1395">
        <v>30.1643592052882</v>
      </c>
      <c r="U1395">
        <v>3.6825101213391803E-2</v>
      </c>
      <c r="V1395">
        <v>41.747178672697402</v>
      </c>
    </row>
    <row r="1396" spans="1:22" x14ac:dyDescent="0.25">
      <c r="A1396" t="str">
        <f t="shared" si="21"/>
        <v>Romania2011</v>
      </c>
      <c r="B1396" t="s">
        <v>193</v>
      </c>
      <c r="C1396" t="s">
        <v>194</v>
      </c>
      <c r="D1396">
        <v>2011</v>
      </c>
      <c r="E1396">
        <v>9560.6755277457996</v>
      </c>
      <c r="F1396">
        <v>4.49558909946313</v>
      </c>
      <c r="G1396">
        <v>5.7892532881588004</v>
      </c>
      <c r="H1396">
        <v>10</v>
      </c>
      <c r="I1396">
        <v>16.0573968725291</v>
      </c>
      <c r="J1396">
        <v>7.1769999999999996</v>
      </c>
      <c r="K1396">
        <v>33.654601650106002</v>
      </c>
      <c r="L1396">
        <v>29.298389912045401</v>
      </c>
      <c r="M1396">
        <v>3.9825494579230298</v>
      </c>
      <c r="N1396">
        <v>46.684989372224102</v>
      </c>
      <c r="O1396">
        <v>27.809701397226</v>
      </c>
      <c r="P1396">
        <v>6.8828180372536103</v>
      </c>
      <c r="Q1396">
        <v>23.5315920711434</v>
      </c>
      <c r="R1396">
        <v>35.236608853355101</v>
      </c>
      <c r="S1396">
        <v>-4.1353246376663497</v>
      </c>
      <c r="T1396">
        <v>32.597324750738601</v>
      </c>
      <c r="U1396">
        <v>0.212733574568053</v>
      </c>
      <c r="V1396">
        <v>45.118610615754399</v>
      </c>
    </row>
    <row r="1397" spans="1:22" x14ac:dyDescent="0.25">
      <c r="A1397" t="str">
        <f t="shared" si="21"/>
        <v>Romania2012</v>
      </c>
      <c r="B1397" t="s">
        <v>193</v>
      </c>
      <c r="C1397" t="s">
        <v>194</v>
      </c>
      <c r="D1397">
        <v>2012</v>
      </c>
      <c r="E1397">
        <v>8929.9536623147396</v>
      </c>
      <c r="F1397">
        <v>1.90361696799603</v>
      </c>
      <c r="G1397">
        <v>3.3349226769344198</v>
      </c>
      <c r="H1397">
        <v>10</v>
      </c>
      <c r="I1397">
        <v>16.266352786752901</v>
      </c>
      <c r="J1397">
        <v>6.7939999999999996</v>
      </c>
      <c r="K1397">
        <v>32.300088842070203</v>
      </c>
      <c r="L1397">
        <v>28.932155018224801</v>
      </c>
      <c r="M1397">
        <v>3.81023942192328</v>
      </c>
      <c r="N1397">
        <v>47.085921185754799</v>
      </c>
      <c r="O1397">
        <v>26.722242728641199</v>
      </c>
      <c r="P1397">
        <v>7.1472522875136697</v>
      </c>
      <c r="Q1397">
        <v>22.523734056129499</v>
      </c>
      <c r="R1397">
        <v>35.708362986258997</v>
      </c>
      <c r="S1397">
        <v>-2.3851044653321898</v>
      </c>
      <c r="T1397">
        <v>36.167366934491398</v>
      </c>
      <c r="U1397">
        <v>0.25219733148756601</v>
      </c>
      <c r="V1397">
        <v>45.8749662826201</v>
      </c>
    </row>
    <row r="1398" spans="1:22" x14ac:dyDescent="0.25">
      <c r="A1398" t="str">
        <f t="shared" si="21"/>
        <v>Romania2013</v>
      </c>
      <c r="B1398" t="s">
        <v>193</v>
      </c>
      <c r="C1398" t="s">
        <v>194</v>
      </c>
      <c r="D1398">
        <v>2013</v>
      </c>
      <c r="E1398">
        <v>9497.6741161523696</v>
      </c>
      <c r="F1398">
        <v>0.27877187747023402</v>
      </c>
      <c r="G1398">
        <v>3.9847123554813</v>
      </c>
      <c r="H1398">
        <v>10</v>
      </c>
      <c r="I1398">
        <v>16.458281423726898</v>
      </c>
      <c r="J1398">
        <v>7.0960000000000001</v>
      </c>
      <c r="K1398">
        <v>32.025714258573799</v>
      </c>
      <c r="L1398">
        <v>29.879819642387801</v>
      </c>
      <c r="M1398">
        <v>1.3945866153537201</v>
      </c>
      <c r="N1398">
        <v>47.396230244957103</v>
      </c>
      <c r="O1398">
        <v>25.251490578404599</v>
      </c>
      <c r="P1398">
        <v>6.8486755131164099</v>
      </c>
      <c r="Q1398">
        <v>24.1379679501193</v>
      </c>
      <c r="R1398">
        <v>40.245363612471799</v>
      </c>
      <c r="S1398">
        <v>-2.44267621959869</v>
      </c>
      <c r="T1398">
        <v>39.262468454832998</v>
      </c>
      <c r="U1398">
        <v>0.28099828649987801</v>
      </c>
      <c r="V1398">
        <v>46.426960497948599</v>
      </c>
    </row>
    <row r="1399" spans="1:22" x14ac:dyDescent="0.25">
      <c r="A1399" t="str">
        <f t="shared" si="21"/>
        <v>Romania2014</v>
      </c>
      <c r="B1399" t="s">
        <v>193</v>
      </c>
      <c r="C1399" t="s">
        <v>194</v>
      </c>
      <c r="D1399">
        <v>2014</v>
      </c>
      <c r="E1399">
        <v>10031.7710755404</v>
      </c>
      <c r="F1399">
        <v>4.1160010926783199</v>
      </c>
      <c r="G1399">
        <v>1.06830987684298</v>
      </c>
      <c r="H1399">
        <v>10</v>
      </c>
      <c r="I1399">
        <v>16.793926675518801</v>
      </c>
      <c r="J1399">
        <v>6.8019999999999996</v>
      </c>
      <c r="K1399">
        <v>32.441602320209903</v>
      </c>
      <c r="L1399">
        <v>30.530733063738499</v>
      </c>
      <c r="M1399">
        <v>1.71417093292732</v>
      </c>
      <c r="N1399">
        <v>48.0460231839618</v>
      </c>
      <c r="O1399">
        <v>25.225719646287601</v>
      </c>
      <c r="P1399">
        <v>5.7907183838050402</v>
      </c>
      <c r="Q1399">
        <v>24.904697519072698</v>
      </c>
      <c r="R1399">
        <v>41.4767119396626</v>
      </c>
      <c r="S1399">
        <v>-1.75897686843273</v>
      </c>
      <c r="T1399">
        <v>40.474491893467601</v>
      </c>
      <c r="U1399">
        <v>0.37500174452848101</v>
      </c>
      <c r="V1399">
        <v>48.228614819150501</v>
      </c>
    </row>
    <row r="1400" spans="1:22" x14ac:dyDescent="0.25">
      <c r="A1400" t="str">
        <f t="shared" si="21"/>
        <v>Romania2015</v>
      </c>
      <c r="B1400" t="s">
        <v>193</v>
      </c>
      <c r="C1400" t="s">
        <v>194</v>
      </c>
      <c r="D1400">
        <v>2015</v>
      </c>
      <c r="E1400">
        <v>8977.0174815819591</v>
      </c>
      <c r="F1400">
        <v>3.1570360543853999</v>
      </c>
      <c r="G1400">
        <v>-0.59415643749520297</v>
      </c>
      <c r="H1400">
        <v>10</v>
      </c>
      <c r="I1400">
        <v>17.209625303825</v>
      </c>
      <c r="J1400">
        <v>6.8120000000000003</v>
      </c>
      <c r="K1400">
        <v>33.013579705300103</v>
      </c>
      <c r="L1400">
        <v>31.304531368106002</v>
      </c>
      <c r="M1400">
        <v>3.2645349433255899</v>
      </c>
      <c r="N1400">
        <v>48.957260179688802</v>
      </c>
      <c r="O1400">
        <v>25.496015289343099</v>
      </c>
      <c r="P1400">
        <v>5.6812554642989301</v>
      </c>
      <c r="Q1400">
        <v>24.835125193291201</v>
      </c>
      <c r="R1400">
        <v>41.349193584830601</v>
      </c>
      <c r="S1400">
        <v>-1.34754318694893</v>
      </c>
      <c r="T1400">
        <v>39.353736713537799</v>
      </c>
      <c r="U1400">
        <v>0.38931412719907899</v>
      </c>
      <c r="V1400">
        <v>48.502923516149004</v>
      </c>
    </row>
    <row r="1401" spans="1:22" x14ac:dyDescent="0.25">
      <c r="A1401" t="str">
        <f t="shared" si="21"/>
        <v>Romania2016</v>
      </c>
      <c r="B1401" t="s">
        <v>193</v>
      </c>
      <c r="C1401" t="s">
        <v>194</v>
      </c>
      <c r="D1401">
        <v>2016</v>
      </c>
      <c r="E1401">
        <v>9404.5400587071508</v>
      </c>
      <c r="F1401">
        <v>2.8599325230208898</v>
      </c>
      <c r="G1401">
        <v>-1.54479666813897</v>
      </c>
      <c r="H1401">
        <v>10</v>
      </c>
      <c r="I1401">
        <v>17.574192875727299</v>
      </c>
      <c r="J1401">
        <v>5.9009999999999998</v>
      </c>
      <c r="K1401">
        <v>32.224760350317503</v>
      </c>
      <c r="L1401">
        <v>29.4048588201148</v>
      </c>
      <c r="M1401">
        <v>2.6199185739438802</v>
      </c>
      <c r="N1401">
        <v>49.8906722812143</v>
      </c>
      <c r="O1401">
        <v>23.6646873522112</v>
      </c>
      <c r="P1401">
        <v>5.4081930176084398</v>
      </c>
      <c r="Q1401">
        <v>21.5772817635035</v>
      </c>
      <c r="R1401">
        <v>42.4163351743737</v>
      </c>
      <c r="S1401">
        <v>-2.49650484358071</v>
      </c>
      <c r="T1401">
        <v>39.547585647197998</v>
      </c>
      <c r="U1401">
        <v>0.32067578375657402</v>
      </c>
      <c r="V1401">
        <v>47.187412675838203</v>
      </c>
    </row>
    <row r="1402" spans="1:22" x14ac:dyDescent="0.25">
      <c r="A1402" t="str">
        <f t="shared" si="21"/>
        <v>Romania2017</v>
      </c>
      <c r="B1402" t="s">
        <v>193</v>
      </c>
      <c r="C1402" t="s">
        <v>194</v>
      </c>
      <c r="D1402">
        <v>2017</v>
      </c>
      <c r="E1402">
        <v>10727.982200742599</v>
      </c>
      <c r="F1402">
        <v>8.1954782664126107</v>
      </c>
      <c r="G1402">
        <v>1.3390212110438999</v>
      </c>
      <c r="H1402">
        <v>10</v>
      </c>
      <c r="I1402">
        <v>17.9121340991497</v>
      </c>
      <c r="J1402">
        <v>4.9269999999999996</v>
      </c>
      <c r="K1402">
        <v>31.596734508301001</v>
      </c>
      <c r="L1402">
        <v>28.3423275576002</v>
      </c>
      <c r="M1402">
        <v>4.6513066470014897</v>
      </c>
      <c r="N1402">
        <v>50.912867024870103</v>
      </c>
      <c r="O1402">
        <v>23.986737756226201</v>
      </c>
      <c r="P1402">
        <v>5.1602722380716797</v>
      </c>
      <c r="Q1402">
        <v>20.811064623489901</v>
      </c>
      <c r="R1402">
        <v>42.334274206143</v>
      </c>
      <c r="S1402">
        <v>-2.8561795000285302</v>
      </c>
      <c r="T1402">
        <v>37.107427885140403</v>
      </c>
      <c r="U1402">
        <v>0.36425977225542899</v>
      </c>
      <c r="V1402">
        <v>48.022736001819297</v>
      </c>
    </row>
    <row r="1403" spans="1:22" x14ac:dyDescent="0.25">
      <c r="A1403" t="str">
        <f t="shared" si="21"/>
        <v>Romania2018</v>
      </c>
      <c r="B1403" t="s">
        <v>193</v>
      </c>
      <c r="C1403" t="s">
        <v>194</v>
      </c>
      <c r="D1403">
        <v>2018</v>
      </c>
      <c r="E1403">
        <v>12416.134317959</v>
      </c>
      <c r="F1403">
        <v>5.3945222818567498</v>
      </c>
      <c r="G1403">
        <v>4.6254844313777896</v>
      </c>
      <c r="H1403">
        <v>10</v>
      </c>
      <c r="I1403">
        <v>18.249677822163498</v>
      </c>
      <c r="J1403">
        <v>4.1870000000000003</v>
      </c>
      <c r="K1403">
        <v>32.745350397440099</v>
      </c>
      <c r="L1403">
        <v>29.125757620907699</v>
      </c>
      <c r="M1403">
        <v>6.1820542951097703</v>
      </c>
      <c r="N1403">
        <v>51.9746076994291</v>
      </c>
      <c r="O1403">
        <v>23.043574245694799</v>
      </c>
      <c r="P1403">
        <v>4.2130779810580599</v>
      </c>
      <c r="Q1403">
        <v>18.399025990680698</v>
      </c>
      <c r="R1403">
        <v>41.784191204399498</v>
      </c>
      <c r="S1403">
        <v>-2.7566120640382401</v>
      </c>
      <c r="T1403">
        <v>36.417500796391202</v>
      </c>
      <c r="U1403">
        <v>0.36490804290391199</v>
      </c>
      <c r="V1403">
        <v>48.035160647036001</v>
      </c>
    </row>
    <row r="1404" spans="1:22" x14ac:dyDescent="0.25">
      <c r="A1404" t="str">
        <f t="shared" si="21"/>
        <v>Romania2019</v>
      </c>
      <c r="B1404" t="s">
        <v>193</v>
      </c>
      <c r="C1404" t="s">
        <v>194</v>
      </c>
      <c r="D1404">
        <v>2019</v>
      </c>
      <c r="E1404">
        <v>12909.6104013244</v>
      </c>
      <c r="F1404">
        <v>3.96028958497598</v>
      </c>
      <c r="G1404">
        <v>3.8278543259943798</v>
      </c>
      <c r="H1404">
        <v>10</v>
      </c>
      <c r="I1404">
        <v>18.604236526527</v>
      </c>
      <c r="J1404">
        <v>3.9119999999999999</v>
      </c>
      <c r="K1404">
        <v>33.817439738235301</v>
      </c>
      <c r="L1404">
        <v>29.108224861512099</v>
      </c>
      <c r="M1404">
        <v>6.9670871839178297</v>
      </c>
      <c r="N1404">
        <v>53.018331964026601</v>
      </c>
      <c r="O1404">
        <v>24.407379313943299</v>
      </c>
      <c r="P1404">
        <v>4.13981461361315</v>
      </c>
      <c r="Q1404">
        <v>19.523635171471099</v>
      </c>
      <c r="R1404">
        <v>40.3352034270657</v>
      </c>
      <c r="S1404">
        <v>-4.5810128744965697</v>
      </c>
      <c r="T1404">
        <v>36.766699807448802</v>
      </c>
      <c r="U1404">
        <v>0.273568609157262</v>
      </c>
      <c r="V1404">
        <v>46.284564563052399</v>
      </c>
    </row>
    <row r="1405" spans="1:22" x14ac:dyDescent="0.25">
      <c r="A1405" t="str">
        <f t="shared" si="21"/>
        <v>Romania2020</v>
      </c>
      <c r="B1405" t="s">
        <v>193</v>
      </c>
      <c r="C1405" t="s">
        <v>194</v>
      </c>
      <c r="D1405">
        <v>2020</v>
      </c>
      <c r="E1405">
        <v>13009.1770573223</v>
      </c>
      <c r="F1405">
        <v>-3.5980254603475701</v>
      </c>
      <c r="G1405">
        <v>2.6310731118474302</v>
      </c>
      <c r="H1405">
        <v>10</v>
      </c>
      <c r="I1405">
        <v>19.0166656963587</v>
      </c>
      <c r="J1405">
        <v>5.0350000000000001</v>
      </c>
      <c r="K1405">
        <v>38.216587456765701</v>
      </c>
      <c r="L1405">
        <v>28.950716621537499</v>
      </c>
      <c r="M1405">
        <v>4.1070473784785397</v>
      </c>
      <c r="N1405">
        <v>54.119423123245397</v>
      </c>
      <c r="O1405">
        <v>24.331963491398099</v>
      </c>
      <c r="P1405">
        <v>5.4703694107081402</v>
      </c>
      <c r="Q1405">
        <v>19.249771405810002</v>
      </c>
      <c r="R1405">
        <v>36.9711409958175</v>
      </c>
      <c r="S1405">
        <v>-9.5957372074225091</v>
      </c>
      <c r="T1405">
        <v>49.536754876389402</v>
      </c>
      <c r="U1405">
        <v>-5.4744762598666903E-2</v>
      </c>
      <c r="V1405">
        <v>39.992166205191502</v>
      </c>
    </row>
    <row r="1406" spans="1:22" x14ac:dyDescent="0.25">
      <c r="A1406" t="str">
        <f t="shared" si="21"/>
        <v>Romania2021</v>
      </c>
      <c r="B1406" t="s">
        <v>193</v>
      </c>
      <c r="C1406" t="s">
        <v>194</v>
      </c>
      <c r="D1406">
        <v>2021</v>
      </c>
      <c r="E1406">
        <v>14907.9803652143</v>
      </c>
      <c r="F1406">
        <v>5.5873507253886903</v>
      </c>
      <c r="G1406">
        <v>5.0523287609658203</v>
      </c>
      <c r="H1406">
        <v>10</v>
      </c>
      <c r="I1406">
        <v>19.3269658332554</v>
      </c>
      <c r="J1406">
        <v>5.59</v>
      </c>
      <c r="K1406">
        <v>37.196085312214301</v>
      </c>
      <c r="L1406">
        <v>28.972886861334199</v>
      </c>
      <c r="M1406">
        <v>5.6037656756262599</v>
      </c>
      <c r="N1406">
        <v>54.858631811031302</v>
      </c>
      <c r="O1406">
        <v>26.423113898858301</v>
      </c>
      <c r="P1406">
        <v>4.2780492546128102</v>
      </c>
      <c r="Q1406">
        <v>19.193220798772799</v>
      </c>
      <c r="R1406">
        <v>40.694387273554803</v>
      </c>
      <c r="S1406">
        <v>-6.7361670353099896</v>
      </c>
      <c r="T1406">
        <v>51.804650260021901</v>
      </c>
      <c r="U1406">
        <v>0.141144721374409</v>
      </c>
      <c r="V1406">
        <v>43.746550806348601</v>
      </c>
    </row>
    <row r="1407" spans="1:22" x14ac:dyDescent="0.25">
      <c r="A1407" t="str">
        <f t="shared" si="21"/>
        <v>Romania2022</v>
      </c>
      <c r="B1407" t="s">
        <v>193</v>
      </c>
      <c r="C1407" t="s">
        <v>194</v>
      </c>
      <c r="D1407">
        <v>2022</v>
      </c>
      <c r="E1407">
        <v>15503.551804598001</v>
      </c>
      <c r="F1407">
        <v>4.18771305104109</v>
      </c>
      <c r="G1407">
        <v>13.795488743252101</v>
      </c>
      <c r="H1407">
        <v>10</v>
      </c>
      <c r="I1407">
        <v>19.515247024505602</v>
      </c>
      <c r="J1407">
        <v>5.6139999999999999</v>
      </c>
      <c r="K1407">
        <v>37.303063748909601</v>
      </c>
      <c r="L1407">
        <v>30.080497022312201</v>
      </c>
      <c r="M1407">
        <v>12.051275290788</v>
      </c>
      <c r="N1407">
        <v>55.1136103150113</v>
      </c>
      <c r="O1407">
        <v>27.061165343466499</v>
      </c>
      <c r="P1407">
        <v>4.0391490548722198</v>
      </c>
      <c r="Q1407">
        <v>17.6222500617252</v>
      </c>
      <c r="R1407">
        <v>43.513105394216304</v>
      </c>
      <c r="S1407">
        <v>-5.8529998955898899</v>
      </c>
      <c r="T1407">
        <v>51.902375549058299</v>
      </c>
      <c r="U1407">
        <v>0.175657023917867</v>
      </c>
      <c r="V1407">
        <v>44.408007739061901</v>
      </c>
    </row>
    <row r="1408" spans="1:22" x14ac:dyDescent="0.25">
      <c r="A1408" t="str">
        <f t="shared" si="21"/>
        <v>Romania2023</v>
      </c>
      <c r="B1408" t="s">
        <v>193</v>
      </c>
      <c r="C1408" t="s">
        <v>194</v>
      </c>
      <c r="D1408">
        <v>2023</v>
      </c>
      <c r="E1408">
        <v>18244.4186876321</v>
      </c>
      <c r="F1408">
        <v>2.2577341655512102</v>
      </c>
      <c r="G1408">
        <v>10.3971874764996</v>
      </c>
      <c r="H1408">
        <v>10</v>
      </c>
      <c r="I1408">
        <v>19.753140920706599</v>
      </c>
      <c r="J1408">
        <v>5.5890000000000004</v>
      </c>
      <c r="K1408">
        <v>33.013579705300103</v>
      </c>
      <c r="L1408">
        <v>29.196836409305</v>
      </c>
      <c r="M1408">
        <v>12.352299504207799</v>
      </c>
      <c r="N1408">
        <v>55.350930097606501</v>
      </c>
      <c r="O1408">
        <v>26.209728571954798</v>
      </c>
      <c r="P1408">
        <v>5.0884742337265196</v>
      </c>
      <c r="Q1408">
        <v>19.370826123672501</v>
      </c>
      <c r="R1408">
        <v>39.244597546288603</v>
      </c>
      <c r="S1408">
        <v>-5.65794219213912</v>
      </c>
      <c r="T1408">
        <v>52.594915327329304</v>
      </c>
      <c r="U1408">
        <v>0.16375689826006301</v>
      </c>
      <c r="V1408">
        <v>44.179931950533998</v>
      </c>
    </row>
    <row r="1409" spans="1:22" x14ac:dyDescent="0.25">
      <c r="A1409" t="str">
        <f t="shared" si="21"/>
        <v>Romania2024</v>
      </c>
      <c r="B1409" t="s">
        <v>193</v>
      </c>
      <c r="C1409" t="s">
        <v>194</v>
      </c>
      <c r="D1409">
        <v>2024</v>
      </c>
      <c r="E1409">
        <v>20080.209621559501</v>
      </c>
      <c r="F1409">
        <v>0.91600376438259401</v>
      </c>
      <c r="G1409">
        <v>5.7214057435443904</v>
      </c>
      <c r="H1409">
        <v>10</v>
      </c>
      <c r="I1409">
        <v>19.980998773184702</v>
      </c>
      <c r="J1409">
        <v>5.4</v>
      </c>
      <c r="K1409">
        <v>33.013579705300103</v>
      </c>
      <c r="L1409">
        <v>30.709795846743202</v>
      </c>
      <c r="M1409">
        <v>9.5845380475584392</v>
      </c>
      <c r="N1409">
        <v>55.513170554358901</v>
      </c>
      <c r="O1409">
        <v>24.997025608417299</v>
      </c>
      <c r="P1409">
        <v>4.9465343327057898</v>
      </c>
      <c r="Q1409">
        <v>16.8381220133057</v>
      </c>
      <c r="R1409">
        <v>35.603026699946497</v>
      </c>
      <c r="S1409">
        <v>-8.6811435748054198</v>
      </c>
      <c r="T1409">
        <v>57.467655470871001</v>
      </c>
      <c r="U1409">
        <v>2.3738529697452299E-2</v>
      </c>
      <c r="V1409">
        <v>41.496363664230003</v>
      </c>
    </row>
    <row r="1410" spans="1:22" x14ac:dyDescent="0.25">
      <c r="A1410" t="str">
        <f t="shared" si="21"/>
        <v>Romania2025</v>
      </c>
      <c r="B1410" t="s">
        <v>193</v>
      </c>
      <c r="C1410" t="s">
        <v>194</v>
      </c>
      <c r="D1410">
        <v>2025</v>
      </c>
      <c r="E1410">
        <v>10727.982200742599</v>
      </c>
      <c r="F1410">
        <v>3.1570360543853999</v>
      </c>
      <c r="G1410">
        <v>3.9847123554813</v>
      </c>
      <c r="H1410">
        <v>10</v>
      </c>
      <c r="I1410">
        <v>17.9121340991497</v>
      </c>
      <c r="J1410">
        <v>5.992</v>
      </c>
      <c r="K1410">
        <v>33.013579705300103</v>
      </c>
      <c r="L1410">
        <v>29.196836409305</v>
      </c>
      <c r="M1410">
        <v>4.6513066470014897</v>
      </c>
      <c r="N1410">
        <v>50.912867024870103</v>
      </c>
      <c r="O1410">
        <v>25.251490578404599</v>
      </c>
      <c r="P1410">
        <v>5.4081930176084398</v>
      </c>
      <c r="Q1410">
        <v>20.811064623489901</v>
      </c>
      <c r="R1410">
        <v>40.3352034270657</v>
      </c>
      <c r="S1410">
        <v>-7.64415015769554</v>
      </c>
      <c r="T1410">
        <v>60.563258037552103</v>
      </c>
      <c r="U1410">
        <v>2.1290795445091899E-2</v>
      </c>
      <c r="V1410">
        <v>41.449450805007601</v>
      </c>
    </row>
    <row r="1411" spans="1:22" x14ac:dyDescent="0.25">
      <c r="A1411" t="str">
        <f t="shared" si="21"/>
        <v>Russian Federation2010</v>
      </c>
      <c r="B1411" t="s">
        <v>195</v>
      </c>
      <c r="C1411" t="s">
        <v>196</v>
      </c>
      <c r="D1411">
        <v>2010</v>
      </c>
      <c r="E1411">
        <v>10674.990234375</v>
      </c>
      <c r="F1411">
        <v>4.4999999992067199</v>
      </c>
      <c r="G1411">
        <v>6.8493923025502497</v>
      </c>
      <c r="H1411">
        <v>9</v>
      </c>
      <c r="I1411">
        <v>12.700611307025699</v>
      </c>
      <c r="J1411">
        <v>7.407</v>
      </c>
      <c r="K1411">
        <v>27.37723900216</v>
      </c>
      <c r="L1411">
        <v>26.054156943742001</v>
      </c>
      <c r="M1411">
        <v>14.1911095688207</v>
      </c>
      <c r="N1411">
        <v>38.642521135056001</v>
      </c>
      <c r="O1411">
        <v>22.615050551973599</v>
      </c>
      <c r="P1411">
        <v>14.1597902374813</v>
      </c>
      <c r="Q1411">
        <v>26.283714313897999</v>
      </c>
      <c r="R1411">
        <v>29.2155607849758</v>
      </c>
      <c r="S1411">
        <v>-3.1938762964484599</v>
      </c>
      <c r="T1411">
        <v>10.1052642893463</v>
      </c>
      <c r="U1411">
        <v>0.28827424152834102</v>
      </c>
      <c r="V1411">
        <v>46.5664102170634</v>
      </c>
    </row>
    <row r="1412" spans="1:22" x14ac:dyDescent="0.25">
      <c r="A1412" t="str">
        <f t="shared" ref="A1412:A1475" si="22">C1412&amp;D1412</f>
        <v>Russian Federation2011</v>
      </c>
      <c r="B1412" t="s">
        <v>195</v>
      </c>
      <c r="C1412" t="s">
        <v>196</v>
      </c>
      <c r="D1412">
        <v>2011</v>
      </c>
      <c r="E1412">
        <v>14305.33203125</v>
      </c>
      <c r="F1412">
        <v>4.3000291856774897</v>
      </c>
      <c r="G1412">
        <v>8.4404648593257008</v>
      </c>
      <c r="H1412">
        <v>9</v>
      </c>
      <c r="I1412">
        <v>12.596349504192499</v>
      </c>
      <c r="J1412">
        <v>6.5709999999999997</v>
      </c>
      <c r="K1412">
        <v>23.3499683933859</v>
      </c>
      <c r="L1412">
        <v>29.148284925308602</v>
      </c>
      <c r="M1412">
        <v>24.460086062189799</v>
      </c>
      <c r="N1412">
        <v>38.832431509764199</v>
      </c>
      <c r="O1412">
        <v>24.2607379312639</v>
      </c>
      <c r="P1412">
        <v>11.632229448834</v>
      </c>
      <c r="Q1412">
        <v>28.757564309685101</v>
      </c>
      <c r="R1412">
        <v>28.055361479854898</v>
      </c>
      <c r="S1412">
        <v>1.4318188410500201</v>
      </c>
      <c r="T1412">
        <v>10.3401540143368</v>
      </c>
      <c r="U1412">
        <v>0.52149949494874104</v>
      </c>
      <c r="V1412">
        <v>51.036365838381201</v>
      </c>
    </row>
    <row r="1413" spans="1:22" x14ac:dyDescent="0.25">
      <c r="A1413" t="str">
        <f t="shared" si="22"/>
        <v>Russian Federation2012</v>
      </c>
      <c r="B1413" t="s">
        <v>195</v>
      </c>
      <c r="C1413" t="s">
        <v>196</v>
      </c>
      <c r="D1413">
        <v>2012</v>
      </c>
      <c r="E1413">
        <v>15401.8515625</v>
      </c>
      <c r="F1413">
        <v>4.0240861574692097</v>
      </c>
      <c r="G1413">
        <v>5.0747430079914899</v>
      </c>
      <c r="H1413">
        <v>9</v>
      </c>
      <c r="I1413">
        <v>12.712996176636899</v>
      </c>
      <c r="J1413">
        <v>5.484</v>
      </c>
      <c r="K1413">
        <v>24.1958551261758</v>
      </c>
      <c r="L1413">
        <v>27.237700320395199</v>
      </c>
      <c r="M1413">
        <v>8.9078684208783407</v>
      </c>
      <c r="N1413">
        <v>39.712207662337804</v>
      </c>
      <c r="O1413">
        <v>24.553693354516799</v>
      </c>
      <c r="P1413">
        <v>11.522228825836301</v>
      </c>
      <c r="Q1413">
        <v>27.244171350790399</v>
      </c>
      <c r="R1413">
        <v>26.907320339366301</v>
      </c>
      <c r="S1413">
        <v>0.38234050642515099</v>
      </c>
      <c r="T1413">
        <v>11.1674313582645</v>
      </c>
      <c r="U1413">
        <v>0.45423160283031699</v>
      </c>
      <c r="V1413">
        <v>49.747120835538603</v>
      </c>
    </row>
    <row r="1414" spans="1:22" x14ac:dyDescent="0.25">
      <c r="A1414" t="str">
        <f t="shared" si="22"/>
        <v>Russian Federation2013</v>
      </c>
      <c r="B1414" t="s">
        <v>195</v>
      </c>
      <c r="C1414" t="s">
        <v>196</v>
      </c>
      <c r="D1414">
        <v>2013</v>
      </c>
      <c r="E1414">
        <v>15941.4482421875</v>
      </c>
      <c r="F1414">
        <v>1.75542214874298</v>
      </c>
      <c r="G1414">
        <v>6.7546683390348603</v>
      </c>
      <c r="H1414">
        <v>11</v>
      </c>
      <c r="I1414">
        <v>12.883783946716999</v>
      </c>
      <c r="J1414">
        <v>5.5129999999999999</v>
      </c>
      <c r="K1414">
        <v>24.606189979681002</v>
      </c>
      <c r="L1414">
        <v>26.541500595322098</v>
      </c>
      <c r="M1414">
        <v>5.3201388723791503</v>
      </c>
      <c r="N1414">
        <v>40.784041793246601</v>
      </c>
      <c r="O1414">
        <v>23.271681987019399</v>
      </c>
      <c r="P1414">
        <v>10.341518370102801</v>
      </c>
      <c r="Q1414">
        <v>24.282095838187701</v>
      </c>
      <c r="R1414">
        <v>25.845336826255</v>
      </c>
      <c r="S1414">
        <v>-1.1621778606383399</v>
      </c>
      <c r="T1414">
        <v>12.3480620274374</v>
      </c>
      <c r="U1414">
        <v>0.42935049992865498</v>
      </c>
      <c r="V1414">
        <v>49.270253840439203</v>
      </c>
    </row>
    <row r="1415" spans="1:22" x14ac:dyDescent="0.25">
      <c r="A1415" t="str">
        <f t="shared" si="22"/>
        <v>Russian Federation2014</v>
      </c>
      <c r="B1415" t="s">
        <v>195</v>
      </c>
      <c r="C1415" t="s">
        <v>196</v>
      </c>
      <c r="D1415">
        <v>2014</v>
      </c>
      <c r="E1415">
        <v>14055.47265625</v>
      </c>
      <c r="F1415">
        <v>0.73626722176567205</v>
      </c>
      <c r="G1415">
        <v>7.8201697001384503</v>
      </c>
      <c r="H1415">
        <v>11</v>
      </c>
      <c r="I1415">
        <v>13.1683587965298</v>
      </c>
      <c r="J1415">
        <v>5.2119999999999997</v>
      </c>
      <c r="K1415">
        <v>26.461753978490201</v>
      </c>
      <c r="L1415">
        <v>27.151734707171101</v>
      </c>
      <c r="M1415">
        <v>7.4900711169660896</v>
      </c>
      <c r="N1415">
        <v>42.1236258137655</v>
      </c>
      <c r="O1415">
        <v>22.3908642287739</v>
      </c>
      <c r="P1415">
        <v>8.5189692361743798</v>
      </c>
      <c r="Q1415">
        <v>24.512180821126201</v>
      </c>
      <c r="R1415">
        <v>27.111097051752498</v>
      </c>
      <c r="S1415">
        <v>-1.0699557905309101</v>
      </c>
      <c r="T1415">
        <v>15.135824219954801</v>
      </c>
      <c r="U1415">
        <v>0.42115505306644102</v>
      </c>
      <c r="V1415">
        <v>49.1131812969058</v>
      </c>
    </row>
    <row r="1416" spans="1:22" x14ac:dyDescent="0.25">
      <c r="A1416" t="str">
        <f t="shared" si="22"/>
        <v>Russian Federation2015</v>
      </c>
      <c r="B1416" t="s">
        <v>195</v>
      </c>
      <c r="C1416" t="s">
        <v>196</v>
      </c>
      <c r="D1416">
        <v>2015</v>
      </c>
      <c r="E1416">
        <v>9277.7138671875</v>
      </c>
      <c r="F1416">
        <v>-1.97271922580408</v>
      </c>
      <c r="G1416">
        <v>15.534395993570101</v>
      </c>
      <c r="H1416">
        <v>11</v>
      </c>
      <c r="I1416">
        <v>13.534464750748</v>
      </c>
      <c r="J1416">
        <v>5.6150000000000002</v>
      </c>
      <c r="K1416">
        <v>30.647650515882798</v>
      </c>
      <c r="L1416">
        <v>24.472047668492799</v>
      </c>
      <c r="M1416">
        <v>7.2497359067888896</v>
      </c>
      <c r="N1416">
        <v>43.656040039155599</v>
      </c>
      <c r="O1416">
        <v>22.148725318158998</v>
      </c>
      <c r="P1416">
        <v>12.3779655076395</v>
      </c>
      <c r="Q1416">
        <v>26.366709537342</v>
      </c>
      <c r="R1416">
        <v>28.703389442923999</v>
      </c>
      <c r="S1416">
        <v>-3.3864254370132798</v>
      </c>
      <c r="T1416">
        <v>15.286419896130999</v>
      </c>
      <c r="U1416">
        <v>0.29024080006234099</v>
      </c>
      <c r="V1416">
        <v>46.604100944138501</v>
      </c>
    </row>
    <row r="1417" spans="1:22" x14ac:dyDescent="0.25">
      <c r="A1417" t="str">
        <f t="shared" si="22"/>
        <v>Russian Federation2016</v>
      </c>
      <c r="B1417" t="s">
        <v>195</v>
      </c>
      <c r="C1417" t="s">
        <v>196</v>
      </c>
      <c r="D1417">
        <v>2016</v>
      </c>
      <c r="E1417">
        <v>8663.158203125</v>
      </c>
      <c r="F1417">
        <v>0.193690071260534</v>
      </c>
      <c r="G1417">
        <v>7.0424372541370701</v>
      </c>
      <c r="H1417">
        <v>11</v>
      </c>
      <c r="I1417">
        <v>13.8715252574284</v>
      </c>
      <c r="J1417">
        <v>5.5910000000000002</v>
      </c>
      <c r="K1417">
        <v>31.028446752421601</v>
      </c>
      <c r="L1417">
        <v>24.268430820838599</v>
      </c>
      <c r="M1417">
        <v>2.8442226980264298</v>
      </c>
      <c r="N1417">
        <v>45.0865219275749</v>
      </c>
      <c r="O1417">
        <v>23.095422473109601</v>
      </c>
      <c r="P1417">
        <v>13.2258115719456</v>
      </c>
      <c r="Q1417">
        <v>25.0134122865718</v>
      </c>
      <c r="R1417">
        <v>25.854482976916699</v>
      </c>
      <c r="S1417">
        <v>-3.6700326074245502</v>
      </c>
      <c r="T1417">
        <v>14.849323079761501</v>
      </c>
      <c r="U1417">
        <v>0.27016133880376902</v>
      </c>
      <c r="V1417">
        <v>46.219261397779498</v>
      </c>
    </row>
    <row r="1418" spans="1:22" x14ac:dyDescent="0.25">
      <c r="A1418" t="str">
        <f t="shared" si="22"/>
        <v>Russian Federation2017</v>
      </c>
      <c r="B1418" t="s">
        <v>195</v>
      </c>
      <c r="C1418" t="s">
        <v>196</v>
      </c>
      <c r="D1418">
        <v>2017</v>
      </c>
      <c r="E1418">
        <v>10658.9130859375</v>
      </c>
      <c r="F1418">
        <v>1.82579006401834</v>
      </c>
      <c r="G1418">
        <v>3.6833307233449499</v>
      </c>
      <c r="H1418">
        <v>11</v>
      </c>
      <c r="I1418">
        <v>14.2409291689874</v>
      </c>
      <c r="J1418">
        <v>5.2380000000000004</v>
      </c>
      <c r="K1418">
        <v>30.710305172293701</v>
      </c>
      <c r="L1418">
        <v>24.484585685167801</v>
      </c>
      <c r="M1418">
        <v>5.3498150876761796</v>
      </c>
      <c r="N1418">
        <v>46.410908165004699</v>
      </c>
      <c r="O1418">
        <v>23.606755862165102</v>
      </c>
      <c r="P1418">
        <v>12.486232414356801</v>
      </c>
      <c r="Q1418">
        <v>25.6686851355845</v>
      </c>
      <c r="R1418">
        <v>26.0908809797568</v>
      </c>
      <c r="S1418">
        <v>-1.46892589046223</v>
      </c>
      <c r="T1418">
        <v>14.311071628082299</v>
      </c>
      <c r="U1418">
        <v>0.40289320974950998</v>
      </c>
      <c r="V1418">
        <v>48.763177907508698</v>
      </c>
    </row>
    <row r="1419" spans="1:22" x14ac:dyDescent="0.25">
      <c r="A1419" t="str">
        <f t="shared" si="22"/>
        <v>Russian Federation2018</v>
      </c>
      <c r="B1419" t="s">
        <v>195</v>
      </c>
      <c r="C1419" t="s">
        <v>196</v>
      </c>
      <c r="D1419">
        <v>2018</v>
      </c>
      <c r="E1419">
        <v>11211.8876953125</v>
      </c>
      <c r="F1419">
        <v>2.8072454105960101</v>
      </c>
      <c r="G1419">
        <v>2.8783138261498098</v>
      </c>
      <c r="H1419">
        <v>11</v>
      </c>
      <c r="I1419">
        <v>14.630250094233499</v>
      </c>
      <c r="J1419">
        <v>4.8710000000000004</v>
      </c>
      <c r="K1419">
        <v>28.944147842756301</v>
      </c>
      <c r="L1419">
        <v>27.5163963231875</v>
      </c>
      <c r="M1419">
        <v>9.99797671148308</v>
      </c>
      <c r="N1419">
        <v>47.529073473591197</v>
      </c>
      <c r="O1419">
        <v>21.918089151246299</v>
      </c>
      <c r="P1419">
        <v>12.8721612352105</v>
      </c>
      <c r="Q1419">
        <v>28.9492684952112</v>
      </c>
      <c r="R1419">
        <v>30.7932568020743</v>
      </c>
      <c r="S1419">
        <v>2.92332462706548</v>
      </c>
      <c r="T1419">
        <v>13.6196164084663</v>
      </c>
      <c r="U1419">
        <v>0.718973553595745</v>
      </c>
      <c r="V1419">
        <v>54.821120128785999</v>
      </c>
    </row>
    <row r="1420" spans="1:22" x14ac:dyDescent="0.25">
      <c r="A1420" t="str">
        <f t="shared" si="22"/>
        <v>Russian Federation2019</v>
      </c>
      <c r="B1420" t="s">
        <v>195</v>
      </c>
      <c r="C1420" t="s">
        <v>196</v>
      </c>
      <c r="D1420">
        <v>2019</v>
      </c>
      <c r="E1420">
        <v>11447.701171875</v>
      </c>
      <c r="F1420">
        <v>2.1980757133500899</v>
      </c>
      <c r="G1420">
        <v>4.4720263183790303</v>
      </c>
      <c r="H1420">
        <v>11</v>
      </c>
      <c r="I1420">
        <v>15.063299330246</v>
      </c>
      <c r="J1420">
        <v>4.5129999999999999</v>
      </c>
      <c r="K1420">
        <v>29.6140297769421</v>
      </c>
      <c r="L1420">
        <v>27.4804517541099</v>
      </c>
      <c r="M1420">
        <v>3.2631328188168398</v>
      </c>
      <c r="N1420">
        <v>48.594375495569402</v>
      </c>
      <c r="O1420">
        <v>22.6615137722235</v>
      </c>
      <c r="P1420">
        <v>14.4905418216873</v>
      </c>
      <c r="Q1420">
        <v>26.5372798751328</v>
      </c>
      <c r="R1420">
        <v>28.433430679975899</v>
      </c>
      <c r="S1420">
        <v>1.9296148258977699</v>
      </c>
      <c r="T1420">
        <v>13.747518115699</v>
      </c>
      <c r="U1420">
        <v>0.65951947356642804</v>
      </c>
      <c r="V1420">
        <v>53.681633322190997</v>
      </c>
    </row>
    <row r="1421" spans="1:22" x14ac:dyDescent="0.25">
      <c r="A1421" t="str">
        <f t="shared" si="22"/>
        <v>Russian Federation2020</v>
      </c>
      <c r="B1421" t="s">
        <v>195</v>
      </c>
      <c r="C1421" t="s">
        <v>196</v>
      </c>
      <c r="D1421">
        <v>2020</v>
      </c>
      <c r="E1421">
        <v>10108.3271484375</v>
      </c>
      <c r="F1421">
        <v>-2.6536545010277299</v>
      </c>
      <c r="G1421">
        <v>3.3821979694806799</v>
      </c>
      <c r="H1421">
        <v>11</v>
      </c>
      <c r="I1421">
        <v>15.4721422383228</v>
      </c>
      <c r="J1421">
        <v>5.62</v>
      </c>
      <c r="K1421">
        <v>35.2998185923772</v>
      </c>
      <c r="L1421">
        <v>27.676717311563198</v>
      </c>
      <c r="M1421">
        <v>0.89824602719524205</v>
      </c>
      <c r="N1421">
        <v>49.5678005245706</v>
      </c>
      <c r="O1421">
        <v>23.455829148015798</v>
      </c>
      <c r="P1421">
        <v>18.618607575830499</v>
      </c>
      <c r="Q1421">
        <v>25.768498151527801</v>
      </c>
      <c r="R1421">
        <v>25.522185511354898</v>
      </c>
      <c r="S1421">
        <v>-3.9887495708581402</v>
      </c>
      <c r="T1421">
        <v>19.162486967721399</v>
      </c>
      <c r="U1421">
        <v>0.35771245062141799</v>
      </c>
      <c r="V1421">
        <v>47.897251146670399</v>
      </c>
    </row>
    <row r="1422" spans="1:22" x14ac:dyDescent="0.25">
      <c r="A1422" t="str">
        <f t="shared" si="22"/>
        <v>Russian Federation2021</v>
      </c>
      <c r="B1422" t="s">
        <v>195</v>
      </c>
      <c r="C1422" t="s">
        <v>196</v>
      </c>
      <c r="D1422">
        <v>2021</v>
      </c>
      <c r="E1422">
        <v>12425.029296875</v>
      </c>
      <c r="F1422">
        <v>5.8664917729259498</v>
      </c>
      <c r="G1422">
        <v>6.6944589195761202</v>
      </c>
      <c r="H1422">
        <v>11</v>
      </c>
      <c r="I1422">
        <v>15.733398794914899</v>
      </c>
      <c r="J1422">
        <v>4.7489999999999997</v>
      </c>
      <c r="K1422">
        <v>30.78279492703</v>
      </c>
      <c r="L1422">
        <v>26.575660992575202</v>
      </c>
      <c r="M1422">
        <v>18.209100744106799</v>
      </c>
      <c r="N1422">
        <v>50.271723309629003</v>
      </c>
      <c r="O1422">
        <v>23.009339222606101</v>
      </c>
      <c r="P1422">
        <v>15.121498531694</v>
      </c>
      <c r="Q1422">
        <v>29.8125329121196</v>
      </c>
      <c r="R1422">
        <v>30.002419536404101</v>
      </c>
      <c r="S1422">
        <v>0.77624260215260998</v>
      </c>
      <c r="T1422">
        <v>16.529283428594201</v>
      </c>
      <c r="U1422">
        <v>0.677644925151621</v>
      </c>
      <c r="V1422">
        <v>54.029022650807597</v>
      </c>
    </row>
    <row r="1423" spans="1:22" x14ac:dyDescent="0.25">
      <c r="A1423" t="str">
        <f t="shared" si="22"/>
        <v>Russian Federation2022</v>
      </c>
      <c r="B1423" t="s">
        <v>195</v>
      </c>
      <c r="C1423" t="s">
        <v>196</v>
      </c>
      <c r="D1423">
        <v>2022</v>
      </c>
      <c r="E1423">
        <v>15619.6142578125</v>
      </c>
      <c r="F1423">
        <v>-1.43588213859842</v>
      </c>
      <c r="G1423">
        <v>13.7436797398232</v>
      </c>
      <c r="H1423">
        <v>11</v>
      </c>
      <c r="I1423">
        <v>16.0755362936472</v>
      </c>
      <c r="J1423">
        <v>3.867</v>
      </c>
      <c r="K1423">
        <v>31.3980432829166</v>
      </c>
      <c r="L1423">
        <v>27.003501783690599</v>
      </c>
      <c r="M1423">
        <v>18.184689261661799</v>
      </c>
      <c r="N1423">
        <v>50.977252025790598</v>
      </c>
      <c r="O1423">
        <v>23.202871025461299</v>
      </c>
      <c r="P1423">
        <v>16.096335590074499</v>
      </c>
      <c r="Q1423">
        <v>32.705716142674099</v>
      </c>
      <c r="R1423">
        <v>27.7203033526803</v>
      </c>
      <c r="S1423">
        <v>-1.3424192358114899</v>
      </c>
      <c r="T1423">
        <v>15.134145606520599</v>
      </c>
      <c r="U1423">
        <v>0.58715719268148803</v>
      </c>
      <c r="V1423">
        <v>52.294750128929003</v>
      </c>
    </row>
    <row r="1424" spans="1:22" x14ac:dyDescent="0.25">
      <c r="A1424" t="str">
        <f t="shared" si="22"/>
        <v>Russian Federation2023</v>
      </c>
      <c r="B1424" t="s">
        <v>195</v>
      </c>
      <c r="C1424" t="s">
        <v>196</v>
      </c>
      <c r="D1424">
        <v>2023</v>
      </c>
      <c r="E1424">
        <v>14159.3876953125</v>
      </c>
      <c r="F1424">
        <v>4.0825248125928102</v>
      </c>
      <c r="G1424">
        <v>5.8657193174896696</v>
      </c>
      <c r="H1424">
        <v>11</v>
      </c>
      <c r="I1424">
        <v>16.6046427349856</v>
      </c>
      <c r="J1424">
        <v>3.0760000000000001</v>
      </c>
      <c r="K1424">
        <v>29.604254893571799</v>
      </c>
      <c r="L1424">
        <v>28.733412105882699</v>
      </c>
      <c r="M1424">
        <v>7.9985709974205204</v>
      </c>
      <c r="N1424">
        <v>51.7902694468508</v>
      </c>
      <c r="O1424">
        <v>27.0076136288036</v>
      </c>
      <c r="P1424">
        <v>16.258594204534798</v>
      </c>
      <c r="Q1424">
        <v>31.038388430014901</v>
      </c>
      <c r="R1424">
        <v>22.4927119538767</v>
      </c>
      <c r="S1424">
        <v>-2.2438214704994199</v>
      </c>
      <c r="T1424">
        <v>15.189820367375001</v>
      </c>
      <c r="U1424">
        <v>0.552813084033282</v>
      </c>
      <c r="V1424">
        <v>51.636516771864201</v>
      </c>
    </row>
    <row r="1425" spans="1:22" x14ac:dyDescent="0.25">
      <c r="A1425" t="str">
        <f t="shared" si="22"/>
        <v>Russian Federation2024</v>
      </c>
      <c r="B1425" t="s">
        <v>195</v>
      </c>
      <c r="C1425" t="s">
        <v>196</v>
      </c>
      <c r="D1425">
        <v>2024</v>
      </c>
      <c r="E1425">
        <v>14889.0185546875</v>
      </c>
      <c r="F1425">
        <v>4.3443747549152896</v>
      </c>
      <c r="G1425">
        <v>8.4348641049672306</v>
      </c>
      <c r="H1425">
        <v>11</v>
      </c>
      <c r="I1425">
        <v>17.177475375831499</v>
      </c>
      <c r="J1425">
        <v>2.4300000000000002</v>
      </c>
      <c r="K1425">
        <v>29.609142335256902</v>
      </c>
      <c r="L1425">
        <v>27.9899902586446</v>
      </c>
      <c r="M1425">
        <v>9.2756710402060101</v>
      </c>
      <c r="N1425">
        <v>52.568840417572197</v>
      </c>
      <c r="O1425">
        <v>26.298856468530602</v>
      </c>
      <c r="P1425">
        <v>16.776468021527101</v>
      </c>
      <c r="Q1425">
        <v>30.596840595626901</v>
      </c>
      <c r="R1425">
        <v>21.916600283449998</v>
      </c>
      <c r="S1425">
        <v>-1.5941990156435899</v>
      </c>
      <c r="T1425">
        <v>14.758121041288399</v>
      </c>
      <c r="U1425">
        <v>0.60630172262059201</v>
      </c>
      <c r="V1425">
        <v>52.661670940306699</v>
      </c>
    </row>
    <row r="1426" spans="1:22" x14ac:dyDescent="0.25">
      <c r="A1426" t="str">
        <f t="shared" si="22"/>
        <v>Russian Federation2025</v>
      </c>
      <c r="B1426" t="s">
        <v>195</v>
      </c>
      <c r="C1426" t="s">
        <v>196</v>
      </c>
      <c r="D1426">
        <v>2025</v>
      </c>
      <c r="E1426">
        <v>12425.029296875</v>
      </c>
      <c r="F1426">
        <v>2.1980757133500899</v>
      </c>
      <c r="G1426">
        <v>6.7546683390348603</v>
      </c>
      <c r="H1426">
        <v>11</v>
      </c>
      <c r="I1426">
        <v>14.2409291689874</v>
      </c>
      <c r="J1426">
        <v>2.133</v>
      </c>
      <c r="K1426">
        <v>29.609142335256902</v>
      </c>
      <c r="L1426">
        <v>27.151734707171101</v>
      </c>
      <c r="M1426">
        <v>7.9985709974205204</v>
      </c>
      <c r="N1426">
        <v>46.410908165004699</v>
      </c>
      <c r="O1426">
        <v>23.202871025461299</v>
      </c>
      <c r="P1426">
        <v>13.2258115719456</v>
      </c>
      <c r="Q1426">
        <v>26.5372798751328</v>
      </c>
      <c r="R1426">
        <v>27.111097051752498</v>
      </c>
      <c r="S1426">
        <v>-3.9046213400813001</v>
      </c>
      <c r="T1426">
        <v>17.1885588041857</v>
      </c>
      <c r="U1426">
        <v>0.421512598848377</v>
      </c>
      <c r="V1426">
        <v>49.120033958675499</v>
      </c>
    </row>
    <row r="1427" spans="1:22" x14ac:dyDescent="0.25">
      <c r="A1427" t="str">
        <f t="shared" si="22"/>
        <v>Rwanda2010</v>
      </c>
      <c r="B1427" t="s">
        <v>197</v>
      </c>
      <c r="C1427" t="s">
        <v>198</v>
      </c>
      <c r="D1427">
        <v>2010</v>
      </c>
      <c r="E1427">
        <v>593.624927744346</v>
      </c>
      <c r="F1427">
        <v>7.3346564500675298</v>
      </c>
      <c r="G1427">
        <v>-0.246128693436934</v>
      </c>
      <c r="H1427">
        <v>6</v>
      </c>
      <c r="I1427">
        <v>2.73524145040779</v>
      </c>
      <c r="J1427">
        <v>11.637</v>
      </c>
      <c r="K1427">
        <v>18.6795039743741</v>
      </c>
      <c r="L1427">
        <v>19.908303424945601</v>
      </c>
      <c r="M1427">
        <v>3.1871743189502801</v>
      </c>
      <c r="N1427">
        <v>82.317268409222606</v>
      </c>
      <c r="O1427">
        <v>20.5325011611394</v>
      </c>
      <c r="P1427">
        <v>5.6963622531091902</v>
      </c>
      <c r="Q1427">
        <v>13.3842236866706</v>
      </c>
      <c r="R1427">
        <v>10.7427647311274</v>
      </c>
      <c r="S1427">
        <v>-0.64611504675545395</v>
      </c>
      <c r="T1427">
        <v>19.039491310085499</v>
      </c>
      <c r="U1427">
        <v>-0.90131135207457502</v>
      </c>
      <c r="V1427">
        <v>23.7670146405511</v>
      </c>
    </row>
    <row r="1428" spans="1:22" x14ac:dyDescent="0.25">
      <c r="A1428" t="str">
        <f t="shared" si="22"/>
        <v>Rwanda2011</v>
      </c>
      <c r="B1428" t="s">
        <v>197</v>
      </c>
      <c r="C1428" t="s">
        <v>198</v>
      </c>
      <c r="D1428">
        <v>2011</v>
      </c>
      <c r="E1428">
        <v>651.13367796466196</v>
      </c>
      <c r="F1428">
        <v>7.95838869847094</v>
      </c>
      <c r="G1428">
        <v>3.0801706924026</v>
      </c>
      <c r="H1428">
        <v>6</v>
      </c>
      <c r="I1428">
        <v>2.7601510270781402</v>
      </c>
      <c r="J1428">
        <v>11.756</v>
      </c>
      <c r="K1428">
        <v>18.6795039743741</v>
      </c>
      <c r="L1428">
        <v>19.908303424945601</v>
      </c>
      <c r="M1428">
        <v>7.1914773787590702</v>
      </c>
      <c r="N1428">
        <v>81.573031585472805</v>
      </c>
      <c r="O1428">
        <v>20.9013969880418</v>
      </c>
      <c r="P1428">
        <v>3.8301045761292598</v>
      </c>
      <c r="Q1428">
        <v>17.2601082911955</v>
      </c>
      <c r="R1428">
        <v>12.658870575220901</v>
      </c>
      <c r="S1428">
        <v>-0.870612927782076</v>
      </c>
      <c r="T1428">
        <v>18.9417693399337</v>
      </c>
      <c r="U1428">
        <v>-0.88248410063474003</v>
      </c>
      <c r="V1428">
        <v>24.1278545460641</v>
      </c>
    </row>
    <row r="1429" spans="1:22" x14ac:dyDescent="0.25">
      <c r="A1429" t="str">
        <f t="shared" si="22"/>
        <v>Rwanda2012</v>
      </c>
      <c r="B1429" t="s">
        <v>197</v>
      </c>
      <c r="C1429" t="s">
        <v>198</v>
      </c>
      <c r="D1429">
        <v>2012</v>
      </c>
      <c r="E1429">
        <v>706.81726916856098</v>
      </c>
      <c r="F1429">
        <v>8.6415081583632194</v>
      </c>
      <c r="G1429">
        <v>10.2710182318876</v>
      </c>
      <c r="H1429">
        <v>6</v>
      </c>
      <c r="I1429">
        <v>2.7939913762831301</v>
      </c>
      <c r="J1429">
        <v>11.670999999999999</v>
      </c>
      <c r="K1429">
        <v>18.6795039743741</v>
      </c>
      <c r="L1429">
        <v>19.908303424945601</v>
      </c>
      <c r="M1429">
        <v>4.7228346580054996</v>
      </c>
      <c r="N1429">
        <v>80.836031148831907</v>
      </c>
      <c r="O1429">
        <v>23.304144554713801</v>
      </c>
      <c r="P1429">
        <v>2.27391733575385</v>
      </c>
      <c r="Q1429">
        <v>13.6676827589566</v>
      </c>
      <c r="R1429">
        <v>11.994278152057101</v>
      </c>
      <c r="S1429">
        <v>-2.41153748909651</v>
      </c>
      <c r="T1429">
        <v>19.332964542346001</v>
      </c>
      <c r="U1429">
        <v>-1.0109787215242501</v>
      </c>
      <c r="V1429">
        <v>21.665148451716401</v>
      </c>
    </row>
    <row r="1430" spans="1:22" x14ac:dyDescent="0.25">
      <c r="A1430" t="str">
        <f t="shared" si="22"/>
        <v>Rwanda2013</v>
      </c>
      <c r="B1430" t="s">
        <v>197</v>
      </c>
      <c r="C1430" t="s">
        <v>198</v>
      </c>
      <c r="D1430">
        <v>2013</v>
      </c>
      <c r="E1430">
        <v>704.92421851123004</v>
      </c>
      <c r="F1430">
        <v>4.7198485697826298</v>
      </c>
      <c r="G1430">
        <v>5.9242686798485398</v>
      </c>
      <c r="H1430">
        <v>6</v>
      </c>
      <c r="I1430">
        <v>2.8357780434026201</v>
      </c>
      <c r="J1430">
        <v>11.768000000000001</v>
      </c>
      <c r="K1430">
        <v>18.6795039743741</v>
      </c>
      <c r="L1430">
        <v>19.908303424945601</v>
      </c>
      <c r="M1430">
        <v>2.6897017589668302</v>
      </c>
      <c r="N1430">
        <v>80.158078875086701</v>
      </c>
      <c r="O1430">
        <v>24.431153741512698</v>
      </c>
      <c r="P1430">
        <v>2.9739531106296302</v>
      </c>
      <c r="Q1430">
        <v>16.5129021525388</v>
      </c>
      <c r="R1430">
        <v>13.4925358045666</v>
      </c>
      <c r="S1430">
        <v>-1.2868773981633901</v>
      </c>
      <c r="T1430">
        <v>27.030720183983298</v>
      </c>
      <c r="U1430">
        <v>-0.99018673605443697</v>
      </c>
      <c r="V1430">
        <v>22.063644116170298</v>
      </c>
    </row>
    <row r="1431" spans="1:22" x14ac:dyDescent="0.25">
      <c r="A1431" t="str">
        <f t="shared" si="22"/>
        <v>Rwanda2014</v>
      </c>
      <c r="B1431" t="s">
        <v>197</v>
      </c>
      <c r="C1431" t="s">
        <v>198</v>
      </c>
      <c r="D1431">
        <v>2014</v>
      </c>
      <c r="E1431">
        <v>724.95752652090596</v>
      </c>
      <c r="F1431">
        <v>6.1671661516693197</v>
      </c>
      <c r="G1431">
        <v>2.3544905282035802</v>
      </c>
      <c r="H1431">
        <v>6</v>
      </c>
      <c r="I1431">
        <v>2.8893270661220498</v>
      </c>
      <c r="J1431">
        <v>11.837</v>
      </c>
      <c r="K1431">
        <v>17.4176076115731</v>
      </c>
      <c r="L1431">
        <v>18.252416200077501</v>
      </c>
      <c r="M1431">
        <v>4.7323734881578297</v>
      </c>
      <c r="N1431">
        <v>79.535756262164099</v>
      </c>
      <c r="O1431">
        <v>23.2290320311828</v>
      </c>
      <c r="P1431">
        <v>3.96943077008829</v>
      </c>
      <c r="Q1431">
        <v>11.787750793827801</v>
      </c>
      <c r="R1431">
        <v>13.8686615802081</v>
      </c>
      <c r="S1431">
        <v>-3.9685519659156401</v>
      </c>
      <c r="T1431">
        <v>29.5335274006957</v>
      </c>
      <c r="U1431">
        <v>-1.1391404656469</v>
      </c>
      <c r="V1431">
        <v>19.208822216982899</v>
      </c>
    </row>
    <row r="1432" spans="1:22" x14ac:dyDescent="0.25">
      <c r="A1432" t="str">
        <f t="shared" si="22"/>
        <v>Rwanda2015</v>
      </c>
      <c r="B1432" t="s">
        <v>197</v>
      </c>
      <c r="C1432" t="s">
        <v>198</v>
      </c>
      <c r="D1432">
        <v>2015</v>
      </c>
      <c r="E1432">
        <v>733.99862988249401</v>
      </c>
      <c r="F1432">
        <v>8.8568555974537997</v>
      </c>
      <c r="G1432">
        <v>2.5285028419242099</v>
      </c>
      <c r="H1432">
        <v>6</v>
      </c>
      <c r="I1432">
        <v>2.9610940597878601</v>
      </c>
      <c r="J1432">
        <v>11.831</v>
      </c>
      <c r="K1432">
        <v>16.933014579842901</v>
      </c>
      <c r="L1432">
        <v>18.9428692571806</v>
      </c>
      <c r="M1432">
        <v>0.48592879164890201</v>
      </c>
      <c r="N1432">
        <v>78.922381950637799</v>
      </c>
      <c r="O1432">
        <v>24.240978094561001</v>
      </c>
      <c r="P1432">
        <v>3.57592449884309</v>
      </c>
      <c r="Q1432">
        <v>9.8801959717567094</v>
      </c>
      <c r="R1432">
        <v>13.2317868359616</v>
      </c>
      <c r="S1432">
        <v>-2.71113982309077</v>
      </c>
      <c r="T1432">
        <v>33.450583661004103</v>
      </c>
      <c r="U1432">
        <v>-1.08609056371916</v>
      </c>
      <c r="V1432">
        <v>20.225567633075499</v>
      </c>
    </row>
    <row r="1433" spans="1:22" x14ac:dyDescent="0.25">
      <c r="A1433" t="str">
        <f t="shared" si="22"/>
        <v>Rwanda2016</v>
      </c>
      <c r="B1433" t="s">
        <v>197</v>
      </c>
      <c r="C1433" t="s">
        <v>198</v>
      </c>
      <c r="D1433">
        <v>2016</v>
      </c>
      <c r="E1433">
        <v>729.51913381294503</v>
      </c>
      <c r="F1433">
        <v>5.9707452543109403</v>
      </c>
      <c r="G1433">
        <v>7.1743430198200899</v>
      </c>
      <c r="H1433">
        <v>6</v>
      </c>
      <c r="I1433">
        <v>3.04670211037116</v>
      </c>
      <c r="J1433">
        <v>11.788</v>
      </c>
      <c r="K1433">
        <v>18.459673314659099</v>
      </c>
      <c r="L1433">
        <v>20.024072633037001</v>
      </c>
      <c r="M1433">
        <v>5.0301221405061396</v>
      </c>
      <c r="N1433">
        <v>78.244873501021601</v>
      </c>
      <c r="O1433">
        <v>25.895845360211901</v>
      </c>
      <c r="P1433">
        <v>3.5981778593241902</v>
      </c>
      <c r="Q1433">
        <v>10.5421615653004</v>
      </c>
      <c r="R1433">
        <v>15.421803156288799</v>
      </c>
      <c r="S1433">
        <v>-2.2955855474403002</v>
      </c>
      <c r="T1433">
        <v>41.537391043565897</v>
      </c>
      <c r="U1433">
        <v>-1.0873521703686799</v>
      </c>
      <c r="V1433">
        <v>20.201387894165599</v>
      </c>
    </row>
    <row r="1434" spans="1:22" x14ac:dyDescent="0.25">
      <c r="A1434" t="str">
        <f t="shared" si="22"/>
        <v>Rwanda2017</v>
      </c>
      <c r="B1434" t="s">
        <v>197</v>
      </c>
      <c r="C1434" t="s">
        <v>198</v>
      </c>
      <c r="D1434">
        <v>2017</v>
      </c>
      <c r="E1434">
        <v>758.30096650964697</v>
      </c>
      <c r="F1434">
        <v>3.9181709362846502</v>
      </c>
      <c r="G1434">
        <v>8.2795367226083201</v>
      </c>
      <c r="H1434">
        <v>6</v>
      </c>
      <c r="I1434">
        <v>3.1427847780299101</v>
      </c>
      <c r="J1434">
        <v>11.875</v>
      </c>
      <c r="K1434">
        <v>18.672752788182201</v>
      </c>
      <c r="L1434">
        <v>19.7925342168543</v>
      </c>
      <c r="M1434">
        <v>8.1626259471425193</v>
      </c>
      <c r="N1434">
        <v>77.481953350780799</v>
      </c>
      <c r="O1434">
        <v>23.8350248025789</v>
      </c>
      <c r="P1434">
        <v>4.1815962507886804</v>
      </c>
      <c r="Q1434">
        <v>14.3618315005691</v>
      </c>
      <c r="R1434">
        <v>20.528380877297199</v>
      </c>
      <c r="S1434">
        <v>-2.54075764868599</v>
      </c>
      <c r="T1434">
        <v>46.071154669553998</v>
      </c>
      <c r="U1434">
        <v>-1.04493216137725</v>
      </c>
      <c r="V1434">
        <v>21.014402586471601</v>
      </c>
    </row>
    <row r="1435" spans="1:22" x14ac:dyDescent="0.25">
      <c r="A1435" t="str">
        <f t="shared" si="22"/>
        <v>Rwanda2018</v>
      </c>
      <c r="B1435" t="s">
        <v>197</v>
      </c>
      <c r="C1435" t="s">
        <v>198</v>
      </c>
      <c r="D1435">
        <v>2018</v>
      </c>
      <c r="E1435">
        <v>771.77351120730896</v>
      </c>
      <c r="F1435">
        <v>8.5164672259240906</v>
      </c>
      <c r="G1435">
        <v>-0.31121016039069899</v>
      </c>
      <c r="H1435">
        <v>6</v>
      </c>
      <c r="I1435">
        <v>3.2467539227270699</v>
      </c>
      <c r="J1435">
        <v>10.759</v>
      </c>
      <c r="K1435">
        <v>18.686255160566098</v>
      </c>
      <c r="L1435">
        <v>20.4227338483464</v>
      </c>
      <c r="M1435">
        <v>-0.60332901920693904</v>
      </c>
      <c r="N1435">
        <v>76.583928510069796</v>
      </c>
      <c r="O1435">
        <v>22.3221933243073</v>
      </c>
      <c r="P1435">
        <v>4.3885426864586599</v>
      </c>
      <c r="Q1435">
        <v>12.0722623614467</v>
      </c>
      <c r="R1435">
        <v>21.108010988619998</v>
      </c>
      <c r="S1435">
        <v>-2.56944654103537</v>
      </c>
      <c r="T1435">
        <v>49.171056551438298</v>
      </c>
      <c r="U1435">
        <v>-0.96131122140834102</v>
      </c>
      <c r="V1435">
        <v>22.617067328784799</v>
      </c>
    </row>
    <row r="1436" spans="1:22" x14ac:dyDescent="0.25">
      <c r="A1436" t="str">
        <f t="shared" si="22"/>
        <v>Rwanda2019</v>
      </c>
      <c r="B1436" t="s">
        <v>197</v>
      </c>
      <c r="C1436" t="s">
        <v>198</v>
      </c>
      <c r="D1436">
        <v>2019</v>
      </c>
      <c r="E1436">
        <v>810.05141213735396</v>
      </c>
      <c r="F1436">
        <v>9.4473851861309708</v>
      </c>
      <c r="G1436">
        <v>3.3478765503764798</v>
      </c>
      <c r="H1436">
        <v>6</v>
      </c>
      <c r="I1436">
        <v>3.3570252212274698</v>
      </c>
      <c r="J1436">
        <v>11.236000000000001</v>
      </c>
      <c r="K1436">
        <v>19.3459477614836</v>
      </c>
      <c r="L1436">
        <v>20.7410796619662</v>
      </c>
      <c r="M1436">
        <v>2.4711702950760399</v>
      </c>
      <c r="N1436">
        <v>75.499849790592805</v>
      </c>
      <c r="O1436">
        <v>27.028715200720399</v>
      </c>
      <c r="P1436">
        <v>4.3046552003657501</v>
      </c>
      <c r="Q1436">
        <v>14.959186861182999</v>
      </c>
      <c r="R1436">
        <v>21.825443539005601</v>
      </c>
      <c r="S1436">
        <v>-4.9953601798354299</v>
      </c>
      <c r="T1436">
        <v>52.775177914932499</v>
      </c>
      <c r="U1436">
        <v>-1.0800751489976701</v>
      </c>
      <c r="V1436">
        <v>20.340858050620501</v>
      </c>
    </row>
    <row r="1437" spans="1:22" x14ac:dyDescent="0.25">
      <c r="A1437" t="str">
        <f t="shared" si="22"/>
        <v>Rwanda2020</v>
      </c>
      <c r="B1437" t="s">
        <v>197</v>
      </c>
      <c r="C1437" t="s">
        <v>198</v>
      </c>
      <c r="D1437">
        <v>2020</v>
      </c>
      <c r="E1437">
        <v>778.70149892502604</v>
      </c>
      <c r="F1437">
        <v>-3.37368746369782</v>
      </c>
      <c r="G1437">
        <v>9.8503990227420708</v>
      </c>
      <c r="H1437">
        <v>6</v>
      </c>
      <c r="I1437">
        <v>3.4757015566626199</v>
      </c>
      <c r="J1437">
        <v>11.829000000000001</v>
      </c>
      <c r="K1437">
        <v>21.529923413698601</v>
      </c>
      <c r="L1437">
        <v>21.381857786111102</v>
      </c>
      <c r="M1437">
        <v>6.7118368014891798</v>
      </c>
      <c r="N1437">
        <v>74.3140418599029</v>
      </c>
      <c r="O1437">
        <v>23.734656334896801</v>
      </c>
      <c r="P1437">
        <v>5.4466549651895697</v>
      </c>
      <c r="Q1437">
        <v>10.972754402011899</v>
      </c>
      <c r="R1437">
        <v>19.325941834272601</v>
      </c>
      <c r="S1437">
        <v>-9.2575036276136604</v>
      </c>
      <c r="T1437">
        <v>66.658508037390405</v>
      </c>
      <c r="U1437">
        <v>-1.4124415068181999</v>
      </c>
      <c r="V1437">
        <v>13.970780849766101</v>
      </c>
    </row>
    <row r="1438" spans="1:22" x14ac:dyDescent="0.25">
      <c r="A1438" t="str">
        <f t="shared" si="22"/>
        <v>Rwanda2021</v>
      </c>
      <c r="B1438" t="s">
        <v>197</v>
      </c>
      <c r="C1438" t="s">
        <v>198</v>
      </c>
      <c r="D1438">
        <v>2021</v>
      </c>
      <c r="E1438">
        <v>829.54484526369697</v>
      </c>
      <c r="F1438">
        <v>10.8584320184896</v>
      </c>
      <c r="G1438">
        <v>-0.39134674830079103</v>
      </c>
      <c r="H1438">
        <v>6</v>
      </c>
      <c r="I1438">
        <v>3.6056579954265202</v>
      </c>
      <c r="J1438">
        <v>15.775</v>
      </c>
      <c r="K1438">
        <v>20.288185255921899</v>
      </c>
      <c r="L1438">
        <v>21.432681776389</v>
      </c>
      <c r="M1438">
        <v>2.9454162889347901</v>
      </c>
      <c r="N1438">
        <v>73.147975044359001</v>
      </c>
      <c r="O1438">
        <v>26.7349156072212</v>
      </c>
      <c r="P1438">
        <v>5.4731813274518304</v>
      </c>
      <c r="Q1438">
        <v>16.2328120226762</v>
      </c>
      <c r="R1438">
        <v>19.502494693488</v>
      </c>
      <c r="S1438">
        <v>-6.8851199268758601</v>
      </c>
      <c r="T1438">
        <v>66.150952248532306</v>
      </c>
      <c r="U1438">
        <v>-1.2175891583684899</v>
      </c>
      <c r="V1438">
        <v>17.705287887517201</v>
      </c>
    </row>
    <row r="1439" spans="1:22" x14ac:dyDescent="0.25">
      <c r="A1439" t="str">
        <f t="shared" si="22"/>
        <v>Rwanda2022</v>
      </c>
      <c r="B1439" t="s">
        <v>197</v>
      </c>
      <c r="C1439" t="s">
        <v>198</v>
      </c>
      <c r="D1439">
        <v>2022</v>
      </c>
      <c r="E1439">
        <v>975.46932373536902</v>
      </c>
      <c r="F1439">
        <v>8.1612072087291203</v>
      </c>
      <c r="G1439">
        <v>17.6892095588153</v>
      </c>
      <c r="H1439">
        <v>6</v>
      </c>
      <c r="I1439">
        <v>3.7214481251597902</v>
      </c>
      <c r="J1439">
        <v>15.084</v>
      </c>
      <c r="K1439">
        <v>19.559925945634401</v>
      </c>
      <c r="L1439">
        <v>19.7066663553254</v>
      </c>
      <c r="M1439">
        <v>15.8113142236803</v>
      </c>
      <c r="N1439">
        <v>72.052512262385406</v>
      </c>
      <c r="O1439">
        <v>25.741826376841701</v>
      </c>
      <c r="P1439">
        <v>3.9324633144554499</v>
      </c>
      <c r="Q1439">
        <v>14.8176081755601</v>
      </c>
      <c r="R1439">
        <v>22.478061514691099</v>
      </c>
      <c r="S1439">
        <v>-5.55541691437623</v>
      </c>
      <c r="T1439">
        <v>58.9938301651693</v>
      </c>
      <c r="U1439">
        <v>-1.1795835572975299</v>
      </c>
      <c r="V1439">
        <v>18.433696786884799</v>
      </c>
    </row>
    <row r="1440" spans="1:22" x14ac:dyDescent="0.25">
      <c r="A1440" t="str">
        <f t="shared" si="22"/>
        <v>Rwanda2023</v>
      </c>
      <c r="B1440" t="s">
        <v>197</v>
      </c>
      <c r="C1440" t="s">
        <v>198</v>
      </c>
      <c r="D1440">
        <v>2023</v>
      </c>
      <c r="E1440">
        <v>1027.03446826565</v>
      </c>
      <c r="F1440">
        <v>8.2499030201455792</v>
      </c>
      <c r="G1440">
        <v>19.789546746467</v>
      </c>
      <c r="H1440">
        <v>6</v>
      </c>
      <c r="I1440">
        <v>3.82185022198798</v>
      </c>
      <c r="J1440">
        <v>12.352</v>
      </c>
      <c r="K1440">
        <v>18.5668423445955</v>
      </c>
      <c r="L1440">
        <v>19.293203755846399</v>
      </c>
      <c r="M1440">
        <v>11.9488360924784</v>
      </c>
      <c r="N1440">
        <v>71.095802568434806</v>
      </c>
      <c r="O1440">
        <v>23.5855215423605</v>
      </c>
      <c r="P1440">
        <v>3.6040357827048899</v>
      </c>
      <c r="Q1440">
        <v>13.4894836197322</v>
      </c>
      <c r="R1440">
        <v>25.005730720290799</v>
      </c>
      <c r="S1440">
        <v>-4.8784090456451397</v>
      </c>
      <c r="T1440">
        <v>61.390804148945598</v>
      </c>
      <c r="U1440">
        <v>-1.0831149190704099</v>
      </c>
      <c r="V1440">
        <v>20.282598333352102</v>
      </c>
    </row>
    <row r="1441" spans="1:22" x14ac:dyDescent="0.25">
      <c r="A1441" t="str">
        <f t="shared" si="22"/>
        <v>Rwanda2024</v>
      </c>
      <c r="B1441" t="s">
        <v>197</v>
      </c>
      <c r="C1441" t="s">
        <v>198</v>
      </c>
      <c r="D1441">
        <v>2024</v>
      </c>
      <c r="E1441">
        <v>999.65456165547005</v>
      </c>
      <c r="F1441">
        <v>8.8906552957311398</v>
      </c>
      <c r="G1441">
        <v>1.77029240198635</v>
      </c>
      <c r="H1441">
        <v>6</v>
      </c>
      <c r="I1441">
        <v>3.92606803328137</v>
      </c>
      <c r="J1441">
        <v>11.331</v>
      </c>
      <c r="K1441">
        <v>18.6795039743741</v>
      </c>
      <c r="L1441">
        <v>19.908303424945601</v>
      </c>
      <c r="M1441">
        <v>3.76207995661197</v>
      </c>
      <c r="N1441">
        <v>70.319648450142097</v>
      </c>
      <c r="O1441">
        <v>25.914149825302999</v>
      </c>
      <c r="P1441">
        <v>4.1846825913965304</v>
      </c>
      <c r="Q1441">
        <v>21.074685070048101</v>
      </c>
      <c r="R1441">
        <v>30.8220804418076</v>
      </c>
      <c r="S1441">
        <v>-6.1942983534457197</v>
      </c>
      <c r="T1441">
        <v>63.385331956056802</v>
      </c>
      <c r="U1441">
        <v>-1.0252460178390901</v>
      </c>
      <c r="V1441">
        <v>21.391703872159798</v>
      </c>
    </row>
    <row r="1442" spans="1:22" x14ac:dyDescent="0.25">
      <c r="A1442" t="str">
        <f t="shared" si="22"/>
        <v>Rwanda2025</v>
      </c>
      <c r="B1442" t="s">
        <v>197</v>
      </c>
      <c r="C1442" t="s">
        <v>198</v>
      </c>
      <c r="D1442">
        <v>2025</v>
      </c>
      <c r="E1442">
        <v>758.30096650964697</v>
      </c>
      <c r="F1442">
        <v>8.1612072087291203</v>
      </c>
      <c r="G1442">
        <v>3.3478765503764798</v>
      </c>
      <c r="H1442">
        <v>6</v>
      </c>
      <c r="I1442">
        <v>3.1427847780299101</v>
      </c>
      <c r="J1442">
        <v>11.363</v>
      </c>
      <c r="K1442">
        <v>18.6795039743741</v>
      </c>
      <c r="L1442">
        <v>19.908303424945601</v>
      </c>
      <c r="M1442">
        <v>4.7228346580054996</v>
      </c>
      <c r="N1442">
        <v>77.481953350780799</v>
      </c>
      <c r="O1442">
        <v>23.8350248025789</v>
      </c>
      <c r="P1442">
        <v>3.96943077008829</v>
      </c>
      <c r="Q1442">
        <v>13.6676827589566</v>
      </c>
      <c r="R1442">
        <v>19.325941834272601</v>
      </c>
      <c r="S1442">
        <v>-4.49498822067393</v>
      </c>
      <c r="T1442">
        <v>64.596700147395893</v>
      </c>
      <c r="U1442">
        <v>-1.13305896843283</v>
      </c>
      <c r="V1442">
        <v>19.325379160364399</v>
      </c>
    </row>
    <row r="1443" spans="1:22" x14ac:dyDescent="0.25">
      <c r="A1443" t="str">
        <f t="shared" si="22"/>
        <v>Samoa2010</v>
      </c>
      <c r="B1443" t="s">
        <v>251</v>
      </c>
      <c r="C1443" t="s">
        <v>252</v>
      </c>
      <c r="D1443">
        <v>2010</v>
      </c>
      <c r="E1443">
        <v>3524.2479246203002</v>
      </c>
      <c r="F1443">
        <v>6.1247199226125</v>
      </c>
      <c r="G1443">
        <v>0.777007268777692</v>
      </c>
      <c r="H1443">
        <v>8</v>
      </c>
      <c r="I1443">
        <v>4.88155525910192</v>
      </c>
      <c r="J1443">
        <v>5.6210000000000004</v>
      </c>
      <c r="K1443">
        <v>28.677332613711101</v>
      </c>
      <c r="L1443">
        <v>30.670913685546001</v>
      </c>
      <c r="M1443">
        <v>-5.1459434662577301</v>
      </c>
      <c r="N1443">
        <v>76.4346172830478</v>
      </c>
      <c r="O1443">
        <v>14.644708376034499</v>
      </c>
      <c r="P1443">
        <v>4.9452346994816399</v>
      </c>
      <c r="Q1443">
        <v>29.510042407649099</v>
      </c>
      <c r="R1443">
        <v>27.715427485994098</v>
      </c>
      <c r="S1443">
        <v>-5.4864004010744001</v>
      </c>
      <c r="T1443">
        <v>40.280816394712602</v>
      </c>
      <c r="U1443">
        <v>-0.35530162977132901</v>
      </c>
      <c r="V1443">
        <v>34.231744303012597</v>
      </c>
    </row>
    <row r="1444" spans="1:22" x14ac:dyDescent="0.25">
      <c r="A1444" t="str">
        <f t="shared" si="22"/>
        <v>Samoa2011</v>
      </c>
      <c r="B1444" t="s">
        <v>251</v>
      </c>
      <c r="C1444" t="s">
        <v>252</v>
      </c>
      <c r="D1444">
        <v>2011</v>
      </c>
      <c r="E1444">
        <v>3821.5067826447898</v>
      </c>
      <c r="F1444">
        <v>3.84907794660396</v>
      </c>
      <c r="G1444">
        <v>5.2354159147843404</v>
      </c>
      <c r="H1444">
        <v>8</v>
      </c>
      <c r="I1444">
        <v>4.9018298726844103</v>
      </c>
      <c r="J1444">
        <v>5.68</v>
      </c>
      <c r="K1444">
        <v>28.677332613711101</v>
      </c>
      <c r="L1444">
        <v>30.670913685546001</v>
      </c>
      <c r="M1444">
        <v>-0.90985989640847698</v>
      </c>
      <c r="N1444">
        <v>76.388045910371503</v>
      </c>
      <c r="O1444">
        <v>37.149330311770598</v>
      </c>
      <c r="P1444">
        <v>3.3140424620867099</v>
      </c>
      <c r="Q1444">
        <v>31.417187700301699</v>
      </c>
      <c r="R1444">
        <v>28.393422055430101</v>
      </c>
      <c r="S1444">
        <v>-5.2499445248124896</v>
      </c>
      <c r="T1444">
        <v>41.525960079576897</v>
      </c>
      <c r="U1444">
        <v>-0.59964067262809295</v>
      </c>
      <c r="V1444">
        <v>29.5487836797207</v>
      </c>
    </row>
    <row r="1445" spans="1:22" x14ac:dyDescent="0.25">
      <c r="A1445" t="str">
        <f t="shared" si="22"/>
        <v>Samoa2012</v>
      </c>
      <c r="B1445" t="s">
        <v>251</v>
      </c>
      <c r="C1445" t="s">
        <v>252</v>
      </c>
      <c r="D1445">
        <v>2012</v>
      </c>
      <c r="E1445">
        <v>3934.6032079998099</v>
      </c>
      <c r="F1445">
        <v>-3.7321302089026598</v>
      </c>
      <c r="G1445">
        <v>2.0490188352116001</v>
      </c>
      <c r="H1445">
        <v>8</v>
      </c>
      <c r="I1445">
        <v>4.8982686846685501</v>
      </c>
      <c r="J1445">
        <v>8.7520000000000007</v>
      </c>
      <c r="K1445">
        <v>28.8073684091597</v>
      </c>
      <c r="L1445">
        <v>26.8860125917681</v>
      </c>
      <c r="M1445">
        <v>4.0264752632009504</v>
      </c>
      <c r="N1445">
        <v>75.985168732535598</v>
      </c>
      <c r="O1445">
        <v>40.299132906468998</v>
      </c>
      <c r="P1445">
        <v>3.6377589459801301</v>
      </c>
      <c r="Q1445">
        <v>31.2798007043145</v>
      </c>
      <c r="R1445">
        <v>26.244690029478299</v>
      </c>
      <c r="S1445">
        <v>-7.4301899148933899</v>
      </c>
      <c r="T1445">
        <v>50.928332332170598</v>
      </c>
      <c r="U1445">
        <v>-0.94534418505458595</v>
      </c>
      <c r="V1445">
        <v>22.9230888374274</v>
      </c>
    </row>
    <row r="1446" spans="1:22" x14ac:dyDescent="0.25">
      <c r="A1446" t="str">
        <f t="shared" si="22"/>
        <v>Samoa2013</v>
      </c>
      <c r="B1446" t="s">
        <v>251</v>
      </c>
      <c r="C1446" t="s">
        <v>252</v>
      </c>
      <c r="D1446">
        <v>2013</v>
      </c>
      <c r="E1446">
        <v>4023.5254013825001</v>
      </c>
      <c r="F1446">
        <v>0.107293276488932</v>
      </c>
      <c r="G1446">
        <v>0.61008572090502999</v>
      </c>
      <c r="H1446">
        <v>8</v>
      </c>
      <c r="I1446">
        <v>4.8815116874339601</v>
      </c>
      <c r="J1446">
        <v>8.7720000000000002</v>
      </c>
      <c r="K1446">
        <v>28.751469542895801</v>
      </c>
      <c r="L1446">
        <v>27.9563681196482</v>
      </c>
      <c r="M1446">
        <v>2.3462900987460502</v>
      </c>
      <c r="N1446">
        <v>75.433566928576496</v>
      </c>
      <c r="O1446">
        <v>9.0181201803755702</v>
      </c>
      <c r="P1446">
        <v>3.2794081658984</v>
      </c>
      <c r="Q1446">
        <v>27.655193902433901</v>
      </c>
      <c r="R1446">
        <v>28.100653623888</v>
      </c>
      <c r="S1446">
        <v>-3.8165056061568698</v>
      </c>
      <c r="T1446">
        <v>54.079918344425501</v>
      </c>
      <c r="U1446">
        <v>-0.43859252868360998</v>
      </c>
      <c r="V1446">
        <v>32.6354050715724</v>
      </c>
    </row>
    <row r="1447" spans="1:22" x14ac:dyDescent="0.25">
      <c r="A1447" t="str">
        <f t="shared" si="22"/>
        <v>Samoa2014</v>
      </c>
      <c r="B1447" t="s">
        <v>251</v>
      </c>
      <c r="C1447" t="s">
        <v>252</v>
      </c>
      <c r="D1447">
        <v>2014</v>
      </c>
      <c r="E1447">
        <v>3982.68080202084</v>
      </c>
      <c r="F1447">
        <v>0.65992376878286096</v>
      </c>
      <c r="G1447">
        <v>-0.40681608842488998</v>
      </c>
      <c r="H1447">
        <v>8</v>
      </c>
      <c r="I1447">
        <v>4.87384833805746</v>
      </c>
      <c r="J1447">
        <v>8.7200000000000006</v>
      </c>
      <c r="K1447">
        <v>30.732685614472899</v>
      </c>
      <c r="L1447">
        <v>29.751526330306898</v>
      </c>
      <c r="M1447">
        <v>0.85311322201742701</v>
      </c>
      <c r="N1447">
        <v>75.292024851687302</v>
      </c>
      <c r="O1447">
        <v>37.333184393481403</v>
      </c>
      <c r="P1447">
        <v>2.67893259976913</v>
      </c>
      <c r="Q1447">
        <v>27.6503971048474</v>
      </c>
      <c r="R1447">
        <v>27.592258672855099</v>
      </c>
      <c r="S1447">
        <v>-5.3761806605504203</v>
      </c>
      <c r="T1447">
        <v>54.8742835370821</v>
      </c>
      <c r="U1447">
        <v>-0.76287459028677096</v>
      </c>
      <c r="V1447">
        <v>26.420270119858099</v>
      </c>
    </row>
    <row r="1448" spans="1:22" x14ac:dyDescent="0.25">
      <c r="A1448" t="str">
        <f t="shared" si="22"/>
        <v>Samoa2015</v>
      </c>
      <c r="B1448" t="s">
        <v>251</v>
      </c>
      <c r="C1448" t="s">
        <v>252</v>
      </c>
      <c r="D1448">
        <v>2015</v>
      </c>
      <c r="E1448">
        <v>4084.3608381993299</v>
      </c>
      <c r="F1448">
        <v>3.8503618166494</v>
      </c>
      <c r="G1448">
        <v>0.724470134874729</v>
      </c>
      <c r="H1448">
        <v>8</v>
      </c>
      <c r="I1448">
        <v>4.8733286418015496</v>
      </c>
      <c r="J1448">
        <v>8.9009999999999998</v>
      </c>
      <c r="K1448">
        <v>28.603195684526401</v>
      </c>
      <c r="L1448">
        <v>28.5849211012879</v>
      </c>
      <c r="M1448">
        <v>3.9646663960822401</v>
      </c>
      <c r="N1448">
        <v>75.250130276185502</v>
      </c>
      <c r="O1448">
        <v>35.86163557511</v>
      </c>
      <c r="P1448">
        <v>3.4129909954748499</v>
      </c>
      <c r="Q1448">
        <v>30.885893199020401</v>
      </c>
      <c r="R1448">
        <v>27.140944681801798</v>
      </c>
      <c r="S1448">
        <v>-3.78703313193625</v>
      </c>
      <c r="T1448">
        <v>56.365698374331799</v>
      </c>
      <c r="U1448">
        <v>-0.64960530005344397</v>
      </c>
      <c r="V1448">
        <v>28.591170111071602</v>
      </c>
    </row>
    <row r="1449" spans="1:22" x14ac:dyDescent="0.25">
      <c r="A1449" t="str">
        <f t="shared" si="22"/>
        <v>Samoa2016</v>
      </c>
      <c r="B1449" t="s">
        <v>251</v>
      </c>
      <c r="C1449" t="s">
        <v>252</v>
      </c>
      <c r="D1449">
        <v>2016</v>
      </c>
      <c r="E1449">
        <v>4147.0709767488797</v>
      </c>
      <c r="F1449">
        <v>7.9838628784713004</v>
      </c>
      <c r="G1449">
        <v>1.30471869303179</v>
      </c>
      <c r="H1449">
        <v>8</v>
      </c>
      <c r="I1449">
        <v>4.8788937537776604</v>
      </c>
      <c r="J1449">
        <v>9.0630000000000006</v>
      </c>
      <c r="K1449">
        <v>24.988459652520199</v>
      </c>
      <c r="L1449">
        <v>28.8003811964109</v>
      </c>
      <c r="M1449">
        <v>2.2447565190943699</v>
      </c>
      <c r="N1449">
        <v>75.389349030828996</v>
      </c>
      <c r="O1449">
        <v>35.464881674974897</v>
      </c>
      <c r="P1449">
        <v>2.4633778142390801</v>
      </c>
      <c r="Q1449">
        <v>34.106894634066897</v>
      </c>
      <c r="R1449">
        <v>28.7780200010057</v>
      </c>
      <c r="S1449">
        <v>-0.34632663635064498</v>
      </c>
      <c r="T1449">
        <v>48.994030252400997</v>
      </c>
      <c r="U1449">
        <v>-0.43449086488745597</v>
      </c>
      <c r="V1449">
        <v>32.714016863706803</v>
      </c>
    </row>
    <row r="1450" spans="1:22" x14ac:dyDescent="0.25">
      <c r="A1450" t="str">
        <f t="shared" si="22"/>
        <v>Samoa2017</v>
      </c>
      <c r="B1450" t="s">
        <v>251</v>
      </c>
      <c r="C1450" t="s">
        <v>252</v>
      </c>
      <c r="D1450">
        <v>2017</v>
      </c>
      <c r="E1450">
        <v>4307.5938196490697</v>
      </c>
      <c r="F1450">
        <v>1.4062823997130101</v>
      </c>
      <c r="G1450">
        <v>1.74989677484705</v>
      </c>
      <c r="H1450">
        <v>8</v>
      </c>
      <c r="I1450">
        <v>4.9460967945300798</v>
      </c>
      <c r="J1450">
        <v>9.4</v>
      </c>
      <c r="K1450">
        <v>24.670762857301401</v>
      </c>
      <c r="L1450">
        <v>30.618547166552599</v>
      </c>
      <c r="M1450">
        <v>0.30490542251524699</v>
      </c>
      <c r="N1450">
        <v>75.935283839802693</v>
      </c>
      <c r="O1450">
        <v>32.182587328729603</v>
      </c>
      <c r="P1450">
        <v>3.3896238376794101</v>
      </c>
      <c r="Q1450">
        <v>31.920419823184901</v>
      </c>
      <c r="R1450">
        <v>29.662277597434699</v>
      </c>
      <c r="S1450">
        <v>-1.9767510793945999</v>
      </c>
      <c r="T1450">
        <v>46.683515413767601</v>
      </c>
      <c r="U1450">
        <v>-0.52636804312052698</v>
      </c>
      <c r="V1450">
        <v>30.953114460168798</v>
      </c>
    </row>
    <row r="1451" spans="1:22" x14ac:dyDescent="0.25">
      <c r="A1451" t="str">
        <f t="shared" si="22"/>
        <v>Samoa2018</v>
      </c>
      <c r="B1451" t="s">
        <v>251</v>
      </c>
      <c r="C1451" t="s">
        <v>252</v>
      </c>
      <c r="D1451">
        <v>2018</v>
      </c>
      <c r="E1451">
        <v>4231.8140946919402</v>
      </c>
      <c r="F1451">
        <v>-0.60964710338014105</v>
      </c>
      <c r="G1451">
        <v>4.19745888663752</v>
      </c>
      <c r="H1451">
        <v>8</v>
      </c>
      <c r="I1451">
        <v>5.0563150947577302</v>
      </c>
      <c r="J1451">
        <v>8.6489999999999991</v>
      </c>
      <c r="K1451">
        <v>28.313399703853499</v>
      </c>
      <c r="L1451">
        <v>31.015815058162701</v>
      </c>
      <c r="M1451">
        <v>1.0975834063535801</v>
      </c>
      <c r="N1451">
        <v>76.633963291667001</v>
      </c>
      <c r="O1451">
        <v>33.1401660265809</v>
      </c>
      <c r="P1451">
        <v>4.2176279592217298</v>
      </c>
      <c r="Q1451">
        <v>36.160981497920702</v>
      </c>
      <c r="R1451">
        <v>31.965676479398901</v>
      </c>
      <c r="S1451">
        <v>5.6895273235431303E-2</v>
      </c>
      <c r="T1451">
        <v>49.404948373525798</v>
      </c>
      <c r="U1451">
        <v>-0.38012570654994898</v>
      </c>
      <c r="V1451">
        <v>33.755970260908299</v>
      </c>
    </row>
    <row r="1452" spans="1:22" x14ac:dyDescent="0.25">
      <c r="A1452" t="str">
        <f t="shared" si="22"/>
        <v>Samoa2019</v>
      </c>
      <c r="B1452" t="s">
        <v>251</v>
      </c>
      <c r="C1452" t="s">
        <v>252</v>
      </c>
      <c r="D1452">
        <v>2019</v>
      </c>
      <c r="E1452">
        <v>4351.9423494370603</v>
      </c>
      <c r="F1452">
        <v>4.45185891688691</v>
      </c>
      <c r="G1452">
        <v>0.98232656988811695</v>
      </c>
      <c r="H1452">
        <v>8</v>
      </c>
      <c r="I1452">
        <v>5.1709056413996599</v>
      </c>
      <c r="J1452">
        <v>7.8579999999999997</v>
      </c>
      <c r="K1452">
        <v>27.8053074483527</v>
      </c>
      <c r="L1452">
        <v>33.252081745247303</v>
      </c>
      <c r="M1452">
        <v>1.4994861947909499</v>
      </c>
      <c r="N1452">
        <v>77.394150029173701</v>
      </c>
      <c r="O1452">
        <v>33.650648892924202</v>
      </c>
      <c r="P1452">
        <v>4.2939034653034298</v>
      </c>
      <c r="Q1452">
        <v>35.725484117894098</v>
      </c>
      <c r="R1452">
        <v>35.033331889507799</v>
      </c>
      <c r="S1452">
        <v>1.50702556109903</v>
      </c>
      <c r="T1452">
        <v>44.291241867865999</v>
      </c>
      <c r="U1452">
        <v>-0.203621247376813</v>
      </c>
      <c r="V1452">
        <v>37.1388247670045</v>
      </c>
    </row>
    <row r="1453" spans="1:22" x14ac:dyDescent="0.25">
      <c r="A1453" t="str">
        <f t="shared" si="22"/>
        <v>Samoa2020</v>
      </c>
      <c r="B1453" t="s">
        <v>251</v>
      </c>
      <c r="C1453" t="s">
        <v>252</v>
      </c>
      <c r="D1453">
        <v>2020</v>
      </c>
      <c r="E1453">
        <v>4099.59660548583</v>
      </c>
      <c r="F1453">
        <v>-3.1086448586399098</v>
      </c>
      <c r="G1453">
        <v>-1.56891247740895</v>
      </c>
      <c r="H1453">
        <v>8</v>
      </c>
      <c r="I1453">
        <v>5.2983335220624301</v>
      </c>
      <c r="J1453">
        <v>7.4669999999999996</v>
      </c>
      <c r="K1453">
        <v>29.810531590338599</v>
      </c>
      <c r="L1453">
        <v>32.604862760634802</v>
      </c>
      <c r="M1453">
        <v>1.22225156843744</v>
      </c>
      <c r="N1453">
        <v>78.242002220203901</v>
      </c>
      <c r="O1453">
        <v>33.190504867399298</v>
      </c>
      <c r="P1453">
        <v>8.1797998771728704</v>
      </c>
      <c r="Q1453">
        <v>33.660878023730596</v>
      </c>
      <c r="R1453">
        <v>29.196412915402998</v>
      </c>
      <c r="S1453">
        <v>5.4079003461194599</v>
      </c>
      <c r="T1453">
        <v>43.186473550819997</v>
      </c>
      <c r="U1453">
        <v>-9.8950993838692103E-2</v>
      </c>
      <c r="V1453">
        <v>39.144917080447598</v>
      </c>
    </row>
    <row r="1454" spans="1:22" x14ac:dyDescent="0.25">
      <c r="A1454" t="str">
        <f t="shared" si="22"/>
        <v>Samoa2021</v>
      </c>
      <c r="B1454" t="s">
        <v>251</v>
      </c>
      <c r="C1454" t="s">
        <v>252</v>
      </c>
      <c r="D1454">
        <v>2021</v>
      </c>
      <c r="E1454">
        <v>4021.5593489428302</v>
      </c>
      <c r="F1454">
        <v>-5.0435052148690902</v>
      </c>
      <c r="G1454">
        <v>3.1332047317449399</v>
      </c>
      <c r="H1454">
        <v>8</v>
      </c>
      <c r="I1454">
        <v>5.4207850163018803</v>
      </c>
      <c r="J1454">
        <v>6.6639999999999997</v>
      </c>
      <c r="K1454">
        <v>34.435075848372598</v>
      </c>
      <c r="L1454">
        <v>32.852872418174002</v>
      </c>
      <c r="M1454">
        <v>-0.70966808503494905</v>
      </c>
      <c r="N1454">
        <v>78.986587183308501</v>
      </c>
      <c r="O1454">
        <v>35.231417850127698</v>
      </c>
      <c r="P1454">
        <v>7.6663124686737101</v>
      </c>
      <c r="Q1454">
        <v>28.8504809818292</v>
      </c>
      <c r="R1454">
        <v>11.4709134293911</v>
      </c>
      <c r="S1454">
        <v>1.71250506236272</v>
      </c>
      <c r="T1454">
        <v>45.446096721657099</v>
      </c>
      <c r="U1454">
        <v>-0.38504314986519</v>
      </c>
      <c r="V1454">
        <v>33.661723376974798</v>
      </c>
    </row>
    <row r="1455" spans="1:22" x14ac:dyDescent="0.25">
      <c r="A1455" t="str">
        <f t="shared" si="22"/>
        <v>Samoa2022</v>
      </c>
      <c r="B1455" t="s">
        <v>251</v>
      </c>
      <c r="C1455" t="s">
        <v>252</v>
      </c>
      <c r="D1455">
        <v>2022</v>
      </c>
      <c r="E1455">
        <v>4132.4471773444402</v>
      </c>
      <c r="F1455">
        <v>2.26705055249026</v>
      </c>
      <c r="G1455">
        <v>10.9618822286844</v>
      </c>
      <c r="H1455">
        <v>8</v>
      </c>
      <c r="I1455">
        <v>5.55629109845977</v>
      </c>
      <c r="J1455">
        <v>5.048</v>
      </c>
      <c r="K1455">
        <v>31.8357049993134</v>
      </c>
      <c r="L1455">
        <v>31.0681161649239</v>
      </c>
      <c r="M1455">
        <v>2.5432265612637099</v>
      </c>
      <c r="N1455">
        <v>79.669476671396396</v>
      </c>
      <c r="O1455">
        <v>32.187971052475902</v>
      </c>
      <c r="P1455">
        <v>7.0653213632993204</v>
      </c>
      <c r="Q1455">
        <v>21.854623650915599</v>
      </c>
      <c r="R1455">
        <v>11.4857734041295</v>
      </c>
      <c r="S1455">
        <v>5.02760820701545</v>
      </c>
      <c r="T1455">
        <v>40.965847794355803</v>
      </c>
      <c r="U1455">
        <v>-0.197472495388369</v>
      </c>
      <c r="V1455">
        <v>37.256670703976397</v>
      </c>
    </row>
    <row r="1456" spans="1:22" x14ac:dyDescent="0.25">
      <c r="A1456" t="str">
        <f t="shared" si="22"/>
        <v>Samoa2023</v>
      </c>
      <c r="B1456" t="s">
        <v>251</v>
      </c>
      <c r="C1456" t="s">
        <v>252</v>
      </c>
      <c r="D1456">
        <v>2023</v>
      </c>
      <c r="E1456">
        <v>4822.7408465001899</v>
      </c>
      <c r="F1456">
        <v>15.2336106467304</v>
      </c>
      <c r="G1456">
        <v>7.9216468482677698</v>
      </c>
      <c r="H1456">
        <v>8</v>
      </c>
      <c r="I1456">
        <v>5.7056350184387696</v>
      </c>
      <c r="J1456">
        <v>4.92</v>
      </c>
      <c r="K1456">
        <v>26.683952935445902</v>
      </c>
      <c r="L1456">
        <v>30.7232802045394</v>
      </c>
      <c r="M1456">
        <v>6.82968887914544</v>
      </c>
      <c r="N1456">
        <v>79.964615589075706</v>
      </c>
      <c r="O1456">
        <v>36.068083032867897</v>
      </c>
      <c r="P1456">
        <v>8.8420821867275503</v>
      </c>
      <c r="Q1456">
        <v>26.160084177754499</v>
      </c>
      <c r="R1456">
        <v>26.208578449107002</v>
      </c>
      <c r="S1456">
        <v>2.7012484400855299</v>
      </c>
      <c r="T1456">
        <v>31.807930421523299</v>
      </c>
      <c r="U1456">
        <v>-9.4218477043653104E-2</v>
      </c>
      <c r="V1456">
        <v>39.2356196940828</v>
      </c>
    </row>
    <row r="1457" spans="1:22" x14ac:dyDescent="0.25">
      <c r="A1457" t="str">
        <f t="shared" si="22"/>
        <v>Samoa2024</v>
      </c>
      <c r="B1457" t="s">
        <v>251</v>
      </c>
      <c r="C1457" t="s">
        <v>252</v>
      </c>
      <c r="D1457">
        <v>2024</v>
      </c>
      <c r="E1457">
        <v>5392.8776191576198</v>
      </c>
      <c r="F1457">
        <v>4.7483844556471402</v>
      </c>
      <c r="G1457">
        <v>2.1724553051437701</v>
      </c>
      <c r="H1457">
        <v>8</v>
      </c>
      <c r="I1457">
        <v>5.8808959749013301</v>
      </c>
      <c r="J1457">
        <v>4.8550000000000004</v>
      </c>
      <c r="K1457">
        <v>28.677332613711101</v>
      </c>
      <c r="L1457">
        <v>30.670913685546001</v>
      </c>
      <c r="M1457">
        <v>8.4250314282953394</v>
      </c>
      <c r="N1457">
        <v>79.678254133082802</v>
      </c>
      <c r="O1457">
        <v>29.020732581327302</v>
      </c>
      <c r="P1457">
        <v>9.8192919731774406</v>
      </c>
      <c r="Q1457">
        <v>30.009669153843099</v>
      </c>
      <c r="R1457">
        <v>30.657869030674402</v>
      </c>
      <c r="S1457">
        <v>9.2884809453727009</v>
      </c>
      <c r="T1457">
        <v>25.166265807858899</v>
      </c>
      <c r="U1457">
        <v>0.265122736349309</v>
      </c>
      <c r="V1457">
        <v>46.1226923983482</v>
      </c>
    </row>
    <row r="1458" spans="1:22" x14ac:dyDescent="0.25">
      <c r="A1458" t="str">
        <f t="shared" si="22"/>
        <v>Samoa2025</v>
      </c>
      <c r="B1458" t="s">
        <v>251</v>
      </c>
      <c r="C1458" t="s">
        <v>252</v>
      </c>
      <c r="D1458">
        <v>2025</v>
      </c>
      <c r="E1458">
        <v>4099.59660548583</v>
      </c>
      <c r="F1458">
        <v>2.26705055249026</v>
      </c>
      <c r="G1458">
        <v>1.74989677484705</v>
      </c>
      <c r="H1458">
        <v>8</v>
      </c>
      <c r="I1458">
        <v>4.9460967945300798</v>
      </c>
      <c r="J1458">
        <v>4.9960000000000004</v>
      </c>
      <c r="K1458">
        <v>28.677332613711101</v>
      </c>
      <c r="L1458">
        <v>30.670913685546001</v>
      </c>
      <c r="M1458">
        <v>1.4994861947909499</v>
      </c>
      <c r="N1458">
        <v>76.4346172830478</v>
      </c>
      <c r="O1458">
        <v>33.650648892924202</v>
      </c>
      <c r="P1458">
        <v>4.2176279592217298</v>
      </c>
      <c r="Q1458">
        <v>30.885893199020401</v>
      </c>
      <c r="R1458">
        <v>28.100653623888</v>
      </c>
      <c r="S1458">
        <v>4.6807144684225097</v>
      </c>
      <c r="T1458">
        <v>21.2125624708126</v>
      </c>
      <c r="U1458">
        <v>-6.9386796907671605E-2</v>
      </c>
      <c r="V1458">
        <v>39.711539460843703</v>
      </c>
    </row>
    <row r="1459" spans="1:22" x14ac:dyDescent="0.25">
      <c r="A1459" t="str">
        <f t="shared" si="22"/>
        <v>Saudi Arabia2010</v>
      </c>
      <c r="B1459" t="s">
        <v>199</v>
      </c>
      <c r="C1459" t="s">
        <v>200</v>
      </c>
      <c r="D1459">
        <v>2010</v>
      </c>
      <c r="E1459">
        <v>22028.390142658602</v>
      </c>
      <c r="F1459">
        <v>5.0395150823517003</v>
      </c>
      <c r="G1459">
        <v>5.3394173302090504</v>
      </c>
      <c r="H1459">
        <v>9</v>
      </c>
      <c r="I1459">
        <v>2.3966864898750302</v>
      </c>
      <c r="J1459">
        <v>5.55</v>
      </c>
      <c r="K1459">
        <v>24.434620190016201</v>
      </c>
      <c r="L1459">
        <v>37.403131496815902</v>
      </c>
      <c r="M1459">
        <v>17.19132715029</v>
      </c>
      <c r="N1459">
        <v>42.900561453472697</v>
      </c>
      <c r="O1459">
        <v>30.926232015904901</v>
      </c>
      <c r="P1459">
        <v>30.539532888240501</v>
      </c>
      <c r="Q1459">
        <v>45.014571118015198</v>
      </c>
      <c r="R1459">
        <v>49.569714526312403</v>
      </c>
      <c r="S1459">
        <v>4.39163110701507</v>
      </c>
      <c r="T1459">
        <v>8.4259863679757991</v>
      </c>
      <c r="U1459">
        <v>0.95157819368244201</v>
      </c>
      <c r="V1459">
        <v>59.2791811802878</v>
      </c>
    </row>
    <row r="1460" spans="1:22" x14ac:dyDescent="0.25">
      <c r="A1460" t="str">
        <f t="shared" si="22"/>
        <v>Saudi Arabia2011</v>
      </c>
      <c r="B1460" t="s">
        <v>199</v>
      </c>
      <c r="C1460" t="s">
        <v>200</v>
      </c>
      <c r="D1460">
        <v>2011</v>
      </c>
      <c r="E1460">
        <v>27126.749874770201</v>
      </c>
      <c r="F1460">
        <v>11.758820686670999</v>
      </c>
      <c r="G1460">
        <v>5.8262163739404</v>
      </c>
      <c r="H1460">
        <v>9</v>
      </c>
      <c r="I1460">
        <v>2.3896785541977601</v>
      </c>
      <c r="J1460">
        <v>5.77</v>
      </c>
      <c r="K1460">
        <v>22.8756134235045</v>
      </c>
      <c r="L1460">
        <v>43.7821599245909</v>
      </c>
      <c r="M1460">
        <v>15.304005268606099</v>
      </c>
      <c r="N1460">
        <v>41.4089493877037</v>
      </c>
      <c r="O1460">
        <v>26.765793867763001</v>
      </c>
      <c r="P1460">
        <v>32.613772998520801</v>
      </c>
      <c r="Q1460">
        <v>51.005409135749602</v>
      </c>
      <c r="R1460">
        <v>55.273346136577899</v>
      </c>
      <c r="S1460">
        <v>11.3940649047709</v>
      </c>
      <c r="T1460">
        <v>5.3085668123290297</v>
      </c>
      <c r="U1460">
        <v>1.6011796352802801</v>
      </c>
      <c r="V1460">
        <v>71.7293321519426</v>
      </c>
    </row>
    <row r="1461" spans="1:22" x14ac:dyDescent="0.25">
      <c r="A1461" t="str">
        <f t="shared" si="22"/>
        <v>Saudi Arabia2012</v>
      </c>
      <c r="B1461" t="s">
        <v>199</v>
      </c>
      <c r="C1461" t="s">
        <v>200</v>
      </c>
      <c r="D1461">
        <v>2012</v>
      </c>
      <c r="E1461">
        <v>28733.4375513452</v>
      </c>
      <c r="F1461">
        <v>5.7615738227096802</v>
      </c>
      <c r="G1461">
        <v>2.8662702990505302</v>
      </c>
      <c r="H1461">
        <v>9</v>
      </c>
      <c r="I1461">
        <v>2.3666322801424902</v>
      </c>
      <c r="J1461">
        <v>5.6219999999999999</v>
      </c>
      <c r="K1461">
        <v>25.2980404620107</v>
      </c>
      <c r="L1461">
        <v>44.208064318785098</v>
      </c>
      <c r="M1461">
        <v>4.4512789389904297</v>
      </c>
      <c r="N1461">
        <v>40.1703328400109</v>
      </c>
      <c r="O1461">
        <v>26.4578386746131</v>
      </c>
      <c r="P1461">
        <v>36.4747145801621</v>
      </c>
      <c r="Q1461">
        <v>49.553836993586202</v>
      </c>
      <c r="R1461">
        <v>53.119847643636497</v>
      </c>
      <c r="S1461">
        <v>11.6799099547562</v>
      </c>
      <c r="T1461">
        <v>2.9719431543169001</v>
      </c>
      <c r="U1461">
        <v>1.6256661426165799</v>
      </c>
      <c r="V1461">
        <v>72.198636395411498</v>
      </c>
    </row>
    <row r="1462" spans="1:22" x14ac:dyDescent="0.25">
      <c r="A1462" t="str">
        <f t="shared" si="22"/>
        <v>Saudi Arabia2013</v>
      </c>
      <c r="B1462" t="s">
        <v>199</v>
      </c>
      <c r="C1462" t="s">
        <v>200</v>
      </c>
      <c r="D1462">
        <v>2013</v>
      </c>
      <c r="E1462">
        <v>27865.465604961999</v>
      </c>
      <c r="F1462">
        <v>2.9456378915202501</v>
      </c>
      <c r="G1462">
        <v>3.5110420979986601</v>
      </c>
      <c r="H1462">
        <v>9</v>
      </c>
      <c r="I1462">
        <v>2.3282212250545502</v>
      </c>
      <c r="J1462">
        <v>5.6</v>
      </c>
      <c r="K1462">
        <v>25.354294210734899</v>
      </c>
      <c r="L1462">
        <v>39.929861732760898</v>
      </c>
      <c r="M1462">
        <v>-0.55737575692691599</v>
      </c>
      <c r="N1462">
        <v>39.140728556545099</v>
      </c>
      <c r="O1462">
        <v>26.294956252788801</v>
      </c>
      <c r="P1462">
        <v>37.3737163492451</v>
      </c>
      <c r="Q1462">
        <v>44.881164494087102</v>
      </c>
      <c r="R1462">
        <v>50.3725164415794</v>
      </c>
      <c r="S1462">
        <v>5.4692347318611603</v>
      </c>
      <c r="T1462">
        <v>2.0833508623123702</v>
      </c>
      <c r="U1462">
        <v>1.2269542649840799</v>
      </c>
      <c r="V1462">
        <v>64.556992222784103</v>
      </c>
    </row>
    <row r="1463" spans="1:22" x14ac:dyDescent="0.25">
      <c r="A1463" t="str">
        <f t="shared" si="22"/>
        <v>Saudi Arabia2014</v>
      </c>
      <c r="B1463" t="s">
        <v>199</v>
      </c>
      <c r="C1463" t="s">
        <v>200</v>
      </c>
      <c r="D1463">
        <v>2014</v>
      </c>
      <c r="E1463">
        <v>27805.4850319422</v>
      </c>
      <c r="F1463">
        <v>4.02467158380668</v>
      </c>
      <c r="G1463">
        <v>2.24185348779063</v>
      </c>
      <c r="H1463">
        <v>9</v>
      </c>
      <c r="I1463">
        <v>2.28000575968204</v>
      </c>
      <c r="J1463">
        <v>5.8769999999999998</v>
      </c>
      <c r="K1463">
        <v>27.818731740103701</v>
      </c>
      <c r="L1463">
        <v>35.237229590924102</v>
      </c>
      <c r="M1463">
        <v>-1.69629054707285</v>
      </c>
      <c r="N1463">
        <v>38.2815919272348</v>
      </c>
      <c r="O1463">
        <v>28.5328325808043</v>
      </c>
      <c r="P1463">
        <v>33.507833724026199</v>
      </c>
      <c r="Q1463">
        <v>38.7290353456033</v>
      </c>
      <c r="R1463">
        <v>45.095845822786202</v>
      </c>
      <c r="S1463">
        <v>-3.4033894997733598</v>
      </c>
      <c r="T1463">
        <v>1.50076800023849</v>
      </c>
      <c r="U1463">
        <v>0.66673373359028298</v>
      </c>
      <c r="V1463">
        <v>53.819900605318999</v>
      </c>
    </row>
    <row r="1464" spans="1:22" x14ac:dyDescent="0.25">
      <c r="A1464" t="str">
        <f t="shared" si="22"/>
        <v>Saudi Arabia2015</v>
      </c>
      <c r="B1464" t="s">
        <v>199</v>
      </c>
      <c r="C1464" t="s">
        <v>200</v>
      </c>
      <c r="D1464">
        <v>2015</v>
      </c>
      <c r="E1464">
        <v>23256.1549553531</v>
      </c>
      <c r="F1464">
        <v>4.6551231665269901</v>
      </c>
      <c r="G1464">
        <v>1.2226931855232801</v>
      </c>
      <c r="H1464">
        <v>9</v>
      </c>
      <c r="I1464">
        <v>2.2281130322938498</v>
      </c>
      <c r="J1464">
        <v>5.6</v>
      </c>
      <c r="K1464">
        <v>30.418712581298202</v>
      </c>
      <c r="L1464">
        <v>23.562398857979701</v>
      </c>
      <c r="M1464">
        <v>-15.826929193662</v>
      </c>
      <c r="N1464">
        <v>37.545418676644204</v>
      </c>
      <c r="O1464">
        <v>32.433938493345401</v>
      </c>
      <c r="P1464">
        <v>29.523607332364101</v>
      </c>
      <c r="Q1464">
        <v>24.842480898387301</v>
      </c>
      <c r="R1464">
        <v>31.440131615380398</v>
      </c>
      <c r="S1464">
        <v>-14.9443180917938</v>
      </c>
      <c r="T1464">
        <v>5.4724328598249503</v>
      </c>
      <c r="U1464">
        <v>-0.26908840962891201</v>
      </c>
      <c r="V1464">
        <v>35.884092247138803</v>
      </c>
    </row>
    <row r="1465" spans="1:22" x14ac:dyDescent="0.25">
      <c r="A1465" t="str">
        <f t="shared" si="22"/>
        <v>Saudi Arabia2016</v>
      </c>
      <c r="B1465" t="s">
        <v>199</v>
      </c>
      <c r="C1465" t="s">
        <v>200</v>
      </c>
      <c r="D1465">
        <v>2016</v>
      </c>
      <c r="E1465">
        <v>22267.721705038701</v>
      </c>
      <c r="F1465">
        <v>1.70404739202878</v>
      </c>
      <c r="G1465">
        <v>2.05347076823965</v>
      </c>
      <c r="H1465">
        <v>9</v>
      </c>
      <c r="I1465">
        <v>2.2136507557171599</v>
      </c>
      <c r="J1465">
        <v>5.6</v>
      </c>
      <c r="K1465">
        <v>26.940531690074</v>
      </c>
      <c r="L1465">
        <v>20.096308121098101</v>
      </c>
      <c r="M1465">
        <v>-2.2618198030746699</v>
      </c>
      <c r="N1465">
        <v>37.229109568590196</v>
      </c>
      <c r="O1465">
        <v>28.117052086855502</v>
      </c>
      <c r="P1465">
        <v>31.696189113993601</v>
      </c>
      <c r="Q1465">
        <v>24.5692652694717</v>
      </c>
      <c r="R1465">
        <v>29.143089711459101</v>
      </c>
      <c r="S1465">
        <v>-13.1949343552351</v>
      </c>
      <c r="T1465">
        <v>12.2477655894193</v>
      </c>
      <c r="U1465">
        <v>-0.26165845734441001</v>
      </c>
      <c r="V1465">
        <v>36.026493451524502</v>
      </c>
    </row>
    <row r="1466" spans="1:22" x14ac:dyDescent="0.25">
      <c r="A1466" t="str">
        <f t="shared" si="22"/>
        <v>Saudi Arabia2017</v>
      </c>
      <c r="B1466" t="s">
        <v>199</v>
      </c>
      <c r="C1466" t="s">
        <v>200</v>
      </c>
      <c r="D1466">
        <v>2017</v>
      </c>
      <c r="E1466">
        <v>23929.290713598199</v>
      </c>
      <c r="F1466">
        <v>1.18210705878283</v>
      </c>
      <c r="G1466">
        <v>-0.83484573502716197</v>
      </c>
      <c r="H1466">
        <v>9</v>
      </c>
      <c r="I1466">
        <v>2.2802379099590699</v>
      </c>
      <c r="J1466">
        <v>5.89</v>
      </c>
      <c r="K1466">
        <v>25.9809738148926</v>
      </c>
      <c r="L1466">
        <v>24.876568683618402</v>
      </c>
      <c r="M1466">
        <v>6.2857639248858304</v>
      </c>
      <c r="N1466">
        <v>37.828536449194601</v>
      </c>
      <c r="O1466">
        <v>25.475726576653699</v>
      </c>
      <c r="P1466">
        <v>28.7798542698355</v>
      </c>
      <c r="Q1466">
        <v>27.111470003755699</v>
      </c>
      <c r="R1466">
        <v>32.362537899118898</v>
      </c>
      <c r="S1466">
        <v>-8.5724708039976303</v>
      </c>
      <c r="T1466">
        <v>15.945803700840401</v>
      </c>
      <c r="U1466">
        <v>2.6120838663784E-2</v>
      </c>
      <c r="V1466">
        <v>41.542022593525203</v>
      </c>
    </row>
    <row r="1467" spans="1:22" x14ac:dyDescent="0.25">
      <c r="A1467" t="str">
        <f t="shared" si="22"/>
        <v>Saudi Arabia2018</v>
      </c>
      <c r="B1467" t="s">
        <v>199</v>
      </c>
      <c r="C1467" t="s">
        <v>200</v>
      </c>
      <c r="D1467">
        <v>2018</v>
      </c>
      <c r="E1467">
        <v>29360.065896856599</v>
      </c>
      <c r="F1467">
        <v>3.2269508901591002</v>
      </c>
      <c r="G1467">
        <v>2.4659430899484298</v>
      </c>
      <c r="H1467">
        <v>9</v>
      </c>
      <c r="I1467">
        <v>2.38074635666274</v>
      </c>
      <c r="J1467">
        <v>6.0289999999999999</v>
      </c>
      <c r="K1467">
        <v>26.795529591670402</v>
      </c>
      <c r="L1467">
        <v>27.2458971226168</v>
      </c>
      <c r="M1467">
        <v>15.8625882829175</v>
      </c>
      <c r="N1467">
        <v>38.9722820162999</v>
      </c>
      <c r="O1467">
        <v>22.372705676261202</v>
      </c>
      <c r="P1467">
        <v>27.2537617937104</v>
      </c>
      <c r="Q1467">
        <v>30.601768902982201</v>
      </c>
      <c r="R1467">
        <v>35.520983162576897</v>
      </c>
      <c r="S1467">
        <v>-5.2078527010955202</v>
      </c>
      <c r="T1467">
        <v>16.8434891990468</v>
      </c>
      <c r="U1467">
        <v>0.325663024234287</v>
      </c>
      <c r="V1467">
        <v>47.282997280340901</v>
      </c>
    </row>
    <row r="1468" spans="1:22" x14ac:dyDescent="0.25">
      <c r="A1468" t="str">
        <f t="shared" si="22"/>
        <v>Saudi Arabia2019</v>
      </c>
      <c r="B1468" t="s">
        <v>199</v>
      </c>
      <c r="C1468" t="s">
        <v>200</v>
      </c>
      <c r="D1468">
        <v>2019</v>
      </c>
      <c r="E1468">
        <v>29566.793382743599</v>
      </c>
      <c r="F1468">
        <v>1.65158925617395</v>
      </c>
      <c r="G1468">
        <v>-1.1929864453332799</v>
      </c>
      <c r="H1468">
        <v>9</v>
      </c>
      <c r="I1468">
        <v>2.4502481498958502</v>
      </c>
      <c r="J1468">
        <v>5.6360000000000001</v>
      </c>
      <c r="K1468">
        <v>26.709706457587899</v>
      </c>
      <c r="L1468">
        <v>27.814002365383299</v>
      </c>
      <c r="M1468">
        <v>-1.36673070628761</v>
      </c>
      <c r="N1468">
        <v>39.2782204735528</v>
      </c>
      <c r="O1468">
        <v>25.552284226802101</v>
      </c>
      <c r="P1468">
        <v>25.5992015113689</v>
      </c>
      <c r="Q1468">
        <v>29.878047692733201</v>
      </c>
      <c r="R1468">
        <v>32.159204977112999</v>
      </c>
      <c r="S1468">
        <v>-3.9646551540516999</v>
      </c>
      <c r="T1468">
        <v>20.337776439109302</v>
      </c>
      <c r="U1468">
        <v>0.30058170428206299</v>
      </c>
      <c r="V1468">
        <v>46.802292959233597</v>
      </c>
    </row>
    <row r="1469" spans="1:22" x14ac:dyDescent="0.25">
      <c r="A1469" t="str">
        <f t="shared" si="22"/>
        <v>Saudi Arabia2020</v>
      </c>
      <c r="B1469" t="s">
        <v>199</v>
      </c>
      <c r="C1469" t="s">
        <v>200</v>
      </c>
      <c r="D1469">
        <v>2020</v>
      </c>
      <c r="E1469">
        <v>24338.8307301067</v>
      </c>
      <c r="F1469">
        <v>-3.80478901996312</v>
      </c>
      <c r="G1469">
        <v>3.3723496101230301</v>
      </c>
      <c r="H1469">
        <v>9</v>
      </c>
      <c r="I1469">
        <v>2.5225816471104201</v>
      </c>
      <c r="J1469">
        <v>7.66</v>
      </c>
      <c r="K1469">
        <v>31.968906153775698</v>
      </c>
      <c r="L1469">
        <v>27.1487389649999</v>
      </c>
      <c r="M1469">
        <v>-10.188471788076299</v>
      </c>
      <c r="N1469">
        <v>38.914975872762398</v>
      </c>
      <c r="O1469">
        <v>23.315821803954901</v>
      </c>
      <c r="P1469">
        <v>27.83499765841</v>
      </c>
      <c r="Q1469">
        <v>19.989145644321599</v>
      </c>
      <c r="R1469">
        <v>23.8098115262185</v>
      </c>
      <c r="S1469">
        <v>-10.220095533402899</v>
      </c>
      <c r="T1469">
        <v>29.662860665896002</v>
      </c>
      <c r="U1469">
        <v>-0.183869678772241</v>
      </c>
      <c r="V1469">
        <v>37.517379978410801</v>
      </c>
    </row>
    <row r="1470" spans="1:22" x14ac:dyDescent="0.25">
      <c r="A1470" t="str">
        <f t="shared" si="22"/>
        <v>Saudi Arabia2021</v>
      </c>
      <c r="B1470" t="s">
        <v>199</v>
      </c>
      <c r="C1470" t="s">
        <v>200</v>
      </c>
      <c r="D1470">
        <v>2021</v>
      </c>
      <c r="E1470">
        <v>31920.765365564301</v>
      </c>
      <c r="F1470">
        <v>6.51959698325419</v>
      </c>
      <c r="G1470">
        <v>3.0632898894154801</v>
      </c>
      <c r="H1470">
        <v>9</v>
      </c>
      <c r="I1470">
        <v>2.6185543076931701</v>
      </c>
      <c r="J1470">
        <v>6.6210000000000004</v>
      </c>
      <c r="K1470">
        <v>25.012739935858502</v>
      </c>
      <c r="L1470">
        <v>26.200573926425101</v>
      </c>
      <c r="M1470">
        <v>20.126994525850002</v>
      </c>
      <c r="N1470">
        <v>38.552207752274001</v>
      </c>
      <c r="O1470">
        <v>26.342646728787301</v>
      </c>
      <c r="P1470">
        <v>25.118396926518301</v>
      </c>
      <c r="Q1470">
        <v>30.467511813425499</v>
      </c>
      <c r="R1470">
        <v>29.155661402683702</v>
      </c>
      <c r="S1470">
        <v>-1.9931573547272301</v>
      </c>
      <c r="T1470">
        <v>25.4549890243607</v>
      </c>
      <c r="U1470">
        <v>0.38077920255220898</v>
      </c>
      <c r="V1470">
        <v>48.339344599015099</v>
      </c>
    </row>
    <row r="1471" spans="1:22" x14ac:dyDescent="0.25">
      <c r="A1471" t="str">
        <f t="shared" si="22"/>
        <v>Saudi Arabia2022</v>
      </c>
      <c r="B1471" t="s">
        <v>199</v>
      </c>
      <c r="C1471" t="s">
        <v>200</v>
      </c>
      <c r="D1471">
        <v>2022</v>
      </c>
      <c r="E1471">
        <v>38510.227621103702</v>
      </c>
      <c r="F1471">
        <v>12.0005874752929</v>
      </c>
      <c r="G1471">
        <v>2.4740737192537199</v>
      </c>
      <c r="H1471">
        <v>9</v>
      </c>
      <c r="I1471">
        <v>2.7024941747722599</v>
      </c>
      <c r="J1471">
        <v>5.5890000000000004</v>
      </c>
      <c r="K1471">
        <v>21.9700445283442</v>
      </c>
      <c r="L1471">
        <v>27.292693205476699</v>
      </c>
      <c r="M1471">
        <v>12.583206706084701</v>
      </c>
      <c r="N1471">
        <v>37.640602046691797</v>
      </c>
      <c r="O1471">
        <v>26.515990850810901</v>
      </c>
      <c r="P1471">
        <v>20.0230345579449</v>
      </c>
      <c r="Q1471">
        <v>38.663047803953802</v>
      </c>
      <c r="R1471">
        <v>35.985009895552203</v>
      </c>
      <c r="S1471">
        <v>2.2401795939921199</v>
      </c>
      <c r="T1471">
        <v>21.308016105771699</v>
      </c>
      <c r="U1471">
        <v>0.757953781123752</v>
      </c>
      <c r="V1471">
        <v>55.568208553404297</v>
      </c>
    </row>
    <row r="1472" spans="1:22" x14ac:dyDescent="0.25">
      <c r="A1472" t="str">
        <f t="shared" si="22"/>
        <v>Saudi Arabia2023</v>
      </c>
      <c r="B1472" t="s">
        <v>199</v>
      </c>
      <c r="C1472" t="s">
        <v>200</v>
      </c>
      <c r="D1472">
        <v>2023</v>
      </c>
      <c r="E1472">
        <v>36156.848337700998</v>
      </c>
      <c r="F1472">
        <v>0.54259243939316104</v>
      </c>
      <c r="G1472">
        <v>2.3270851836270601</v>
      </c>
      <c r="H1472">
        <v>9</v>
      </c>
      <c r="I1472">
        <v>2.8195038691940302</v>
      </c>
      <c r="J1472">
        <v>4.008</v>
      </c>
      <c r="K1472">
        <v>24.2191318731543</v>
      </c>
      <c r="L1472">
        <v>26.528912685477501</v>
      </c>
      <c r="M1472">
        <v>-2.1844462623599301</v>
      </c>
      <c r="N1472">
        <v>36.830626140205098</v>
      </c>
      <c r="O1472">
        <v>29.201639847937201</v>
      </c>
      <c r="P1472">
        <v>16.5690894253073</v>
      </c>
      <c r="Q1472">
        <v>31.932515866436798</v>
      </c>
      <c r="R1472">
        <v>30.242519627143398</v>
      </c>
      <c r="S1472">
        <v>-1.7705569653272</v>
      </c>
      <c r="T1472">
        <v>22.983649663916001</v>
      </c>
      <c r="U1472">
        <v>0.34112298255546603</v>
      </c>
      <c r="V1472">
        <v>47.579300217478298</v>
      </c>
    </row>
    <row r="1473" spans="1:22" x14ac:dyDescent="0.25">
      <c r="A1473" t="str">
        <f t="shared" si="22"/>
        <v>Saudi Arabia2024</v>
      </c>
      <c r="B1473" t="s">
        <v>199</v>
      </c>
      <c r="C1473" t="s">
        <v>200</v>
      </c>
      <c r="D1473">
        <v>2024</v>
      </c>
      <c r="E1473">
        <v>35121.662868774198</v>
      </c>
      <c r="F1473">
        <v>1.9965017343615901</v>
      </c>
      <c r="G1473">
        <v>1.68792112375809</v>
      </c>
      <c r="H1473">
        <v>9</v>
      </c>
      <c r="I1473">
        <v>2.95084263846487</v>
      </c>
      <c r="J1473">
        <v>3.5179999999999998</v>
      </c>
      <c r="K1473">
        <v>25.6676340128137</v>
      </c>
      <c r="L1473">
        <v>27.081590175383599</v>
      </c>
      <c r="M1473">
        <v>-0.25014299915776</v>
      </c>
      <c r="N1473">
        <v>36.554984143887097</v>
      </c>
      <c r="O1473">
        <v>30.2367878635492</v>
      </c>
      <c r="P1473">
        <v>15.057133742346799</v>
      </c>
      <c r="Q1473">
        <v>29.856640101962899</v>
      </c>
      <c r="R1473">
        <v>29.1092122693749</v>
      </c>
      <c r="S1473">
        <v>-2.4598615062760598</v>
      </c>
      <c r="T1473">
        <v>25.853933709530601</v>
      </c>
      <c r="U1473">
        <v>0.29579331739509201</v>
      </c>
      <c r="V1473">
        <v>46.710519548899399</v>
      </c>
    </row>
    <row r="1474" spans="1:22" x14ac:dyDescent="0.25">
      <c r="A1474" t="str">
        <f t="shared" si="22"/>
        <v>Saudi Arabia2025</v>
      </c>
      <c r="B1474" t="s">
        <v>199</v>
      </c>
      <c r="C1474" t="s">
        <v>200</v>
      </c>
      <c r="D1474">
        <v>2025</v>
      </c>
      <c r="E1474">
        <v>27865.465604961999</v>
      </c>
      <c r="F1474">
        <v>3.2269508901591002</v>
      </c>
      <c r="G1474">
        <v>2.4659430899484298</v>
      </c>
      <c r="H1474">
        <v>9</v>
      </c>
      <c r="I1474">
        <v>2.3896785541977601</v>
      </c>
      <c r="J1474">
        <v>3.0379999999999998</v>
      </c>
      <c r="K1474">
        <v>25.6676340128137</v>
      </c>
      <c r="L1474">
        <v>27.2458971226168</v>
      </c>
      <c r="M1474">
        <v>-0.25014299915776</v>
      </c>
      <c r="N1474">
        <v>38.552207752274001</v>
      </c>
      <c r="O1474">
        <v>26.515990850810901</v>
      </c>
      <c r="P1474">
        <v>28.7798542698355</v>
      </c>
      <c r="Q1474">
        <v>30.601768902982201</v>
      </c>
      <c r="R1474">
        <v>32.362537899118898</v>
      </c>
      <c r="S1474">
        <v>-5.7744162307644702</v>
      </c>
      <c r="T1474">
        <v>31.721720375496801</v>
      </c>
      <c r="U1474">
        <v>0.26447103369589697</v>
      </c>
      <c r="V1474">
        <v>46.1102019759076</v>
      </c>
    </row>
    <row r="1475" spans="1:22" x14ac:dyDescent="0.25">
      <c r="A1475" t="str">
        <f t="shared" si="22"/>
        <v>Serbia2010</v>
      </c>
      <c r="B1475" t="s">
        <v>201</v>
      </c>
      <c r="C1475" t="s">
        <v>202</v>
      </c>
      <c r="D1475">
        <v>2010</v>
      </c>
      <c r="E1475">
        <v>5970.9266094007198</v>
      </c>
      <c r="F1475">
        <v>1.61097281449412</v>
      </c>
      <c r="G1475">
        <v>6.1425536024724803</v>
      </c>
      <c r="H1475">
        <v>8</v>
      </c>
      <c r="I1475">
        <v>17.375953818515701</v>
      </c>
      <c r="J1475">
        <v>19.204000000000001</v>
      </c>
      <c r="K1475">
        <v>35.119046405372401</v>
      </c>
      <c r="L1475">
        <v>33.098297772586001</v>
      </c>
      <c r="M1475">
        <v>4.9503087990574404</v>
      </c>
      <c r="N1475">
        <v>46.707163814052997</v>
      </c>
      <c r="O1475">
        <v>17.324184189361301</v>
      </c>
      <c r="P1475">
        <v>7.86573571446631</v>
      </c>
      <c r="Q1475">
        <v>13.782913976478101</v>
      </c>
      <c r="R1475">
        <v>30.988226164101398</v>
      </c>
      <c r="S1475">
        <v>-3.3474856800087398</v>
      </c>
      <c r="T1475">
        <v>42.448600474177297</v>
      </c>
      <c r="U1475">
        <v>-7.9015742134905698E-2</v>
      </c>
      <c r="V1475">
        <v>39.5269927309566</v>
      </c>
    </row>
    <row r="1476" spans="1:22" x14ac:dyDescent="0.25">
      <c r="A1476" t="str">
        <f t="shared" ref="A1476:A1539" si="23">C1476&amp;D1476</f>
        <v>Serbia2011</v>
      </c>
      <c r="B1476" t="s">
        <v>201</v>
      </c>
      <c r="C1476" t="s">
        <v>202</v>
      </c>
      <c r="D1476">
        <v>2011</v>
      </c>
      <c r="E1476">
        <v>7082.2861666074996</v>
      </c>
      <c r="F1476">
        <v>5.4272483658195397E-2</v>
      </c>
      <c r="G1476">
        <v>11.137397634212901</v>
      </c>
      <c r="H1476">
        <v>8</v>
      </c>
      <c r="I1476">
        <v>17.395765309000801</v>
      </c>
      <c r="J1476">
        <v>22.959</v>
      </c>
      <c r="K1476">
        <v>34.083177836604797</v>
      </c>
      <c r="L1476">
        <v>31.722056803005898</v>
      </c>
      <c r="M1476">
        <v>11.002315182333399</v>
      </c>
      <c r="N1476">
        <v>46.532554582296797</v>
      </c>
      <c r="O1476">
        <v>18.149940401775002</v>
      </c>
      <c r="P1476">
        <v>7.3144518482206697</v>
      </c>
      <c r="Q1476">
        <v>10.4387667132389</v>
      </c>
      <c r="R1476">
        <v>31.723576836451901</v>
      </c>
      <c r="S1476">
        <v>-3.75320423327579</v>
      </c>
      <c r="T1476">
        <v>45.975746773669798</v>
      </c>
      <c r="U1476">
        <v>-0.25304633640972901</v>
      </c>
      <c r="V1476">
        <v>36.191551899608001</v>
      </c>
    </row>
    <row r="1477" spans="1:22" x14ac:dyDescent="0.25">
      <c r="A1477" t="str">
        <f t="shared" si="23"/>
        <v>Serbia2012</v>
      </c>
      <c r="B1477" t="s">
        <v>201</v>
      </c>
      <c r="C1477" t="s">
        <v>202</v>
      </c>
      <c r="D1477">
        <v>2012</v>
      </c>
      <c r="E1477">
        <v>6263.0408607281497</v>
      </c>
      <c r="F1477">
        <v>-0.44395607098324802</v>
      </c>
      <c r="G1477">
        <v>7.3303858959664598</v>
      </c>
      <c r="H1477">
        <v>8</v>
      </c>
      <c r="I1477">
        <v>17.5891851362179</v>
      </c>
      <c r="J1477">
        <v>24</v>
      </c>
      <c r="K1477">
        <v>35.425939294840703</v>
      </c>
      <c r="L1477">
        <v>31.538268285875802</v>
      </c>
      <c r="M1477">
        <v>6.0440445031493102</v>
      </c>
      <c r="N1477">
        <v>46.845307606493201</v>
      </c>
      <c r="O1477">
        <v>18.810378379304701</v>
      </c>
      <c r="P1477">
        <v>7.1749766659094298</v>
      </c>
      <c r="Q1477">
        <v>10.836214786638999</v>
      </c>
      <c r="R1477">
        <v>34.424574209398997</v>
      </c>
      <c r="S1477">
        <v>-6.1066846390217799</v>
      </c>
      <c r="T1477">
        <v>57.954139147308602</v>
      </c>
      <c r="U1477">
        <v>-0.40396032865348902</v>
      </c>
      <c r="V1477">
        <v>33.299159939164703</v>
      </c>
    </row>
    <row r="1478" spans="1:22" x14ac:dyDescent="0.25">
      <c r="A1478" t="str">
        <f t="shared" si="23"/>
        <v>Serbia2013</v>
      </c>
      <c r="B1478" t="s">
        <v>201</v>
      </c>
      <c r="C1478" t="s">
        <v>202</v>
      </c>
      <c r="D1478">
        <v>2013</v>
      </c>
      <c r="E1478">
        <v>7040.4181206878102</v>
      </c>
      <c r="F1478">
        <v>0.45157880533072597</v>
      </c>
      <c r="G1478">
        <v>7.6942636289665503</v>
      </c>
      <c r="H1478">
        <v>8</v>
      </c>
      <c r="I1478">
        <v>17.950003844737498</v>
      </c>
      <c r="J1478">
        <v>22.154</v>
      </c>
      <c r="K1478">
        <v>39.1277174777981</v>
      </c>
      <c r="L1478">
        <v>35.902124175953603</v>
      </c>
      <c r="M1478">
        <v>7.8010851684859297</v>
      </c>
      <c r="N1478">
        <v>47.615298817582698</v>
      </c>
      <c r="O1478">
        <v>17.1235575159888</v>
      </c>
      <c r="P1478">
        <v>7.0340199230326901</v>
      </c>
      <c r="Q1478">
        <v>13.840438068025099</v>
      </c>
      <c r="R1478">
        <v>38.227272162362098</v>
      </c>
      <c r="S1478">
        <v>-4.7886128015910403</v>
      </c>
      <c r="T1478">
        <v>61.165878244170997</v>
      </c>
      <c r="U1478">
        <v>-0.15609183382710101</v>
      </c>
      <c r="V1478">
        <v>38.049765439846297</v>
      </c>
    </row>
    <row r="1479" spans="1:22" x14ac:dyDescent="0.25">
      <c r="A1479" t="str">
        <f t="shared" si="23"/>
        <v>Serbia2014</v>
      </c>
      <c r="B1479" t="s">
        <v>201</v>
      </c>
      <c r="C1479" t="s">
        <v>202</v>
      </c>
      <c r="D1479">
        <v>2014</v>
      </c>
      <c r="E1479">
        <v>6886.6780906870399</v>
      </c>
      <c r="F1479">
        <v>-1.8042704168113199</v>
      </c>
      <c r="G1479">
        <v>2.0824479388015402</v>
      </c>
      <c r="H1479">
        <v>8</v>
      </c>
      <c r="I1479">
        <v>18.390283100549599</v>
      </c>
      <c r="J1479">
        <v>19.222999999999999</v>
      </c>
      <c r="K1479">
        <v>40.910968071963602</v>
      </c>
      <c r="L1479">
        <v>37.323076852229903</v>
      </c>
      <c r="M1479">
        <v>2.9094068567382898</v>
      </c>
      <c r="N1479">
        <v>48.6099080245693</v>
      </c>
      <c r="O1479">
        <v>16.477853227202299</v>
      </c>
      <c r="P1479">
        <v>5.4256587707134498</v>
      </c>
      <c r="Q1479">
        <v>13.236006656986699</v>
      </c>
      <c r="R1479">
        <v>40.323167379427403</v>
      </c>
      <c r="S1479">
        <v>-5.6083738333453796</v>
      </c>
      <c r="T1479">
        <v>63.473951424391601</v>
      </c>
      <c r="U1479">
        <v>-0.132811326690076</v>
      </c>
      <c r="V1479">
        <v>38.495955688192502</v>
      </c>
    </row>
    <row r="1480" spans="1:22" x14ac:dyDescent="0.25">
      <c r="A1480" t="str">
        <f t="shared" si="23"/>
        <v>Serbia2015</v>
      </c>
      <c r="B1480" t="s">
        <v>201</v>
      </c>
      <c r="C1480" t="s">
        <v>202</v>
      </c>
      <c r="D1480">
        <v>2015</v>
      </c>
      <c r="E1480">
        <v>5820.3215576887997</v>
      </c>
      <c r="F1480">
        <v>1.2957386351958</v>
      </c>
      <c r="G1480">
        <v>1.39235822000187</v>
      </c>
      <c r="H1480">
        <v>8</v>
      </c>
      <c r="I1480">
        <v>18.883979706441998</v>
      </c>
      <c r="J1480">
        <v>17.66</v>
      </c>
      <c r="K1480">
        <v>39.0527737026285</v>
      </c>
      <c r="L1480">
        <v>37.457885486697698</v>
      </c>
      <c r="M1480">
        <v>2.1691207555587502</v>
      </c>
      <c r="N1480">
        <v>49.757056300337098</v>
      </c>
      <c r="O1480">
        <v>18.514309844951399</v>
      </c>
      <c r="P1480">
        <v>5.8500651016684504</v>
      </c>
      <c r="Q1480">
        <v>16.266349329831801</v>
      </c>
      <c r="R1480">
        <v>43.385121975215498</v>
      </c>
      <c r="S1480">
        <v>-3.24516905530119</v>
      </c>
      <c r="T1480">
        <v>67.077702363362704</v>
      </c>
      <c r="U1480">
        <v>3.0015536801591001E-2</v>
      </c>
      <c r="V1480">
        <v>41.616667716980302</v>
      </c>
    </row>
    <row r="1481" spans="1:22" x14ac:dyDescent="0.25">
      <c r="A1481" t="str">
        <f t="shared" si="23"/>
        <v>Serbia2016</v>
      </c>
      <c r="B1481" t="s">
        <v>201</v>
      </c>
      <c r="C1481" t="s">
        <v>202</v>
      </c>
      <c r="D1481">
        <v>2016</v>
      </c>
      <c r="E1481">
        <v>5982.3703012647102</v>
      </c>
      <c r="F1481">
        <v>2.97519807160826</v>
      </c>
      <c r="G1481">
        <v>1.12231397417769</v>
      </c>
      <c r="H1481">
        <v>8</v>
      </c>
      <c r="I1481">
        <v>19.3853692133533</v>
      </c>
      <c r="J1481">
        <v>15.257</v>
      </c>
      <c r="K1481">
        <v>37.790596672882401</v>
      </c>
      <c r="L1481">
        <v>38.324567788481701</v>
      </c>
      <c r="M1481">
        <v>1.5438274099882801</v>
      </c>
      <c r="N1481">
        <v>50.872134965619303</v>
      </c>
      <c r="O1481">
        <v>18.166924124531199</v>
      </c>
      <c r="P1481">
        <v>5.2386078676901304</v>
      </c>
      <c r="Q1481">
        <v>16.371074129693401</v>
      </c>
      <c r="R1481">
        <v>46.4536704388373</v>
      </c>
      <c r="S1481">
        <v>-1.07844655633896</v>
      </c>
      <c r="T1481">
        <v>64.978412096688004</v>
      </c>
      <c r="U1481">
        <v>0.215805029996919</v>
      </c>
      <c r="V1481">
        <v>45.177477609180499</v>
      </c>
    </row>
    <row r="1482" spans="1:22" x14ac:dyDescent="0.25">
      <c r="A1482" t="str">
        <f t="shared" si="23"/>
        <v>Serbia2017</v>
      </c>
      <c r="B1482" t="s">
        <v>201</v>
      </c>
      <c r="C1482" t="s">
        <v>202</v>
      </c>
      <c r="D1482">
        <v>2017</v>
      </c>
      <c r="E1482">
        <v>6548.0365382418704</v>
      </c>
      <c r="F1482">
        <v>2.3634031250552998</v>
      </c>
      <c r="G1482">
        <v>3.13106248590115</v>
      </c>
      <c r="H1482">
        <v>8</v>
      </c>
      <c r="I1482">
        <v>19.907382569027099</v>
      </c>
      <c r="J1482">
        <v>13.477</v>
      </c>
      <c r="K1482">
        <v>36.141038301107102</v>
      </c>
      <c r="L1482">
        <v>39.017673663587601</v>
      </c>
      <c r="M1482">
        <v>2.9973452123823998</v>
      </c>
      <c r="N1482">
        <v>51.984321983815398</v>
      </c>
      <c r="O1482">
        <v>19.718396913931699</v>
      </c>
      <c r="P1482">
        <v>4.9593095887278098</v>
      </c>
      <c r="Q1482">
        <v>15.702782594070801</v>
      </c>
      <c r="R1482">
        <v>48.132455041500201</v>
      </c>
      <c r="S1482">
        <v>1.3163110748087801</v>
      </c>
      <c r="T1482">
        <v>55.256826049235997</v>
      </c>
      <c r="U1482">
        <v>0.36378417883694902</v>
      </c>
      <c r="V1482">
        <v>48.013620859084</v>
      </c>
    </row>
    <row r="1483" spans="1:22" x14ac:dyDescent="0.25">
      <c r="A1483" t="str">
        <f t="shared" si="23"/>
        <v>Serbia2018</v>
      </c>
      <c r="B1483" t="s">
        <v>201</v>
      </c>
      <c r="C1483" t="s">
        <v>202</v>
      </c>
      <c r="D1483">
        <v>2018</v>
      </c>
      <c r="E1483">
        <v>7559.8616574739399</v>
      </c>
      <c r="F1483">
        <v>4.6493503549100703</v>
      </c>
      <c r="G1483">
        <v>1.9598407629380099</v>
      </c>
      <c r="H1483">
        <v>8</v>
      </c>
      <c r="I1483">
        <v>20.4864046664261</v>
      </c>
      <c r="J1483">
        <v>12.733000000000001</v>
      </c>
      <c r="K1483">
        <v>35.192366782338098</v>
      </c>
      <c r="L1483">
        <v>38.641495964973899</v>
      </c>
      <c r="M1483">
        <v>1.99999940277962</v>
      </c>
      <c r="N1483">
        <v>53.2665314122019</v>
      </c>
      <c r="O1483">
        <v>22.499260494594399</v>
      </c>
      <c r="P1483">
        <v>4.678012112008</v>
      </c>
      <c r="Q1483">
        <v>18.753757610508501</v>
      </c>
      <c r="R1483">
        <v>48.670210241169301</v>
      </c>
      <c r="S1483">
        <v>0.77817628981126996</v>
      </c>
      <c r="T1483">
        <v>51.136729767485903</v>
      </c>
      <c r="U1483">
        <v>0.38491086288041398</v>
      </c>
      <c r="V1483">
        <v>48.4185312995914</v>
      </c>
    </row>
    <row r="1484" spans="1:22" x14ac:dyDescent="0.25">
      <c r="A1484" t="str">
        <f t="shared" si="23"/>
        <v>Serbia2019</v>
      </c>
      <c r="B1484" t="s">
        <v>201</v>
      </c>
      <c r="C1484" t="s">
        <v>202</v>
      </c>
      <c r="D1484">
        <v>2019</v>
      </c>
      <c r="E1484">
        <v>7755.632986437</v>
      </c>
      <c r="F1484">
        <v>4.7502079389901404</v>
      </c>
      <c r="G1484">
        <v>1.84922984511086</v>
      </c>
      <c r="H1484">
        <v>8</v>
      </c>
      <c r="I1484">
        <v>21.064360850555602</v>
      </c>
      <c r="J1484">
        <v>10.395</v>
      </c>
      <c r="K1484">
        <v>35.742587631728</v>
      </c>
      <c r="L1484">
        <v>39.290823471336701</v>
      </c>
      <c r="M1484">
        <v>2.3478311413629598</v>
      </c>
      <c r="N1484">
        <v>54.601790871479402</v>
      </c>
      <c r="O1484">
        <v>24.926625023424702</v>
      </c>
      <c r="P1484">
        <v>5.17958382244663</v>
      </c>
      <c r="Q1484">
        <v>18.2806094188124</v>
      </c>
      <c r="R1484">
        <v>48.960995655992498</v>
      </c>
      <c r="S1484">
        <v>-4.3635602359556004E-3</v>
      </c>
      <c r="T1484">
        <v>49.454295443675498</v>
      </c>
      <c r="U1484">
        <v>0.39733556288139799</v>
      </c>
      <c r="V1484">
        <v>48.656660990943799</v>
      </c>
    </row>
    <row r="1485" spans="1:22" x14ac:dyDescent="0.25">
      <c r="A1485" t="str">
        <f t="shared" si="23"/>
        <v>Serbia2020</v>
      </c>
      <c r="B1485" t="s">
        <v>201</v>
      </c>
      <c r="C1485" t="s">
        <v>202</v>
      </c>
      <c r="D1485">
        <v>2020</v>
      </c>
      <c r="E1485">
        <v>8098.70955668849</v>
      </c>
      <c r="F1485">
        <v>-0.95002399185159403</v>
      </c>
      <c r="G1485">
        <v>1.5755329008341501</v>
      </c>
      <c r="H1485">
        <v>8</v>
      </c>
      <c r="I1485">
        <v>21.570875119357598</v>
      </c>
      <c r="J1485">
        <v>9.0109999999999992</v>
      </c>
      <c r="K1485">
        <v>42.5376524683873</v>
      </c>
      <c r="L1485">
        <v>39.429968314315502</v>
      </c>
      <c r="M1485">
        <v>2.6493593974983001</v>
      </c>
      <c r="N1485">
        <v>55.840606816292599</v>
      </c>
      <c r="O1485">
        <v>24.097493617269599</v>
      </c>
      <c r="P1485">
        <v>6.1329155353194</v>
      </c>
      <c r="Q1485">
        <v>20.464461902485102</v>
      </c>
      <c r="R1485">
        <v>46.105087593523798</v>
      </c>
      <c r="S1485">
        <v>-6.9131062397652601</v>
      </c>
      <c r="T1485">
        <v>54.324922246296701</v>
      </c>
      <c r="U1485">
        <v>0.12614178282241501</v>
      </c>
      <c r="V1485">
        <v>43.459007032536498</v>
      </c>
    </row>
    <row r="1486" spans="1:22" x14ac:dyDescent="0.25">
      <c r="A1486" t="str">
        <f t="shared" si="23"/>
        <v>Serbia2021</v>
      </c>
      <c r="B1486" t="s">
        <v>201</v>
      </c>
      <c r="C1486" t="s">
        <v>202</v>
      </c>
      <c r="D1486">
        <v>2021</v>
      </c>
      <c r="E1486">
        <v>9680.5279807446805</v>
      </c>
      <c r="F1486">
        <v>7.9490565047227797</v>
      </c>
      <c r="G1486">
        <v>4.0851028533510201</v>
      </c>
      <c r="H1486">
        <v>8</v>
      </c>
      <c r="I1486">
        <v>21.888601009738998</v>
      </c>
      <c r="J1486">
        <v>9.843</v>
      </c>
      <c r="K1486">
        <v>37.698289507873902</v>
      </c>
      <c r="L1486">
        <v>34.561941566368702</v>
      </c>
      <c r="M1486">
        <v>5.6840494507808899</v>
      </c>
      <c r="N1486">
        <v>56.730789297040701</v>
      </c>
      <c r="O1486">
        <v>24.9450929619478</v>
      </c>
      <c r="P1486">
        <v>5.2524575148864301</v>
      </c>
      <c r="Q1486">
        <v>21.478940532663199</v>
      </c>
      <c r="R1486">
        <v>52.340400521652597</v>
      </c>
      <c r="S1486">
        <v>-3.1556480749804101</v>
      </c>
      <c r="T1486">
        <v>53.6374573529123</v>
      </c>
      <c r="U1486">
        <v>0.29931435533738299</v>
      </c>
      <c r="V1486">
        <v>46.778003164469297</v>
      </c>
    </row>
    <row r="1487" spans="1:22" x14ac:dyDescent="0.25">
      <c r="A1487" t="str">
        <f t="shared" si="23"/>
        <v>Serbia2022</v>
      </c>
      <c r="B1487" t="s">
        <v>201</v>
      </c>
      <c r="C1487" t="s">
        <v>202</v>
      </c>
      <c r="D1487">
        <v>2022</v>
      </c>
      <c r="E1487">
        <v>10024.8191112596</v>
      </c>
      <c r="F1487">
        <v>2.7034770554365402</v>
      </c>
      <c r="G1487">
        <v>11.981511734470301</v>
      </c>
      <c r="H1487">
        <v>8</v>
      </c>
      <c r="I1487">
        <v>22.077674336110899</v>
      </c>
      <c r="J1487">
        <v>8.4390000000000001</v>
      </c>
      <c r="K1487">
        <v>35.462758001793098</v>
      </c>
      <c r="L1487">
        <v>38.649991619458902</v>
      </c>
      <c r="M1487">
        <v>10.4583041504024</v>
      </c>
      <c r="N1487">
        <v>57.312558333203498</v>
      </c>
      <c r="O1487">
        <v>26.3842034681714</v>
      </c>
      <c r="P1487">
        <v>4.8359534188513598</v>
      </c>
      <c r="Q1487">
        <v>20.453518136746101</v>
      </c>
      <c r="R1487">
        <v>60.738167498974697</v>
      </c>
      <c r="S1487">
        <v>-0.141143305245473</v>
      </c>
      <c r="T1487">
        <v>50.8973595349104</v>
      </c>
      <c r="U1487">
        <v>0.46300351200079098</v>
      </c>
      <c r="V1487">
        <v>49.915241757828099</v>
      </c>
    </row>
    <row r="1488" spans="1:22" x14ac:dyDescent="0.25">
      <c r="A1488" t="str">
        <f t="shared" si="23"/>
        <v>Serbia2023</v>
      </c>
      <c r="B1488" t="s">
        <v>201</v>
      </c>
      <c r="C1488" t="s">
        <v>202</v>
      </c>
      <c r="D1488">
        <v>2023</v>
      </c>
      <c r="E1488">
        <v>12281.707946167</v>
      </c>
      <c r="F1488">
        <v>3.7479330356177099</v>
      </c>
      <c r="G1488">
        <v>12.3719043552519</v>
      </c>
      <c r="H1488">
        <v>8</v>
      </c>
      <c r="I1488">
        <v>22.338359661849701</v>
      </c>
      <c r="J1488">
        <v>8.2680000000000007</v>
      </c>
      <c r="K1488">
        <v>36.141038301107102</v>
      </c>
      <c r="L1488">
        <v>37.457885486697698</v>
      </c>
      <c r="M1488">
        <v>13.9302963711276</v>
      </c>
      <c r="N1488">
        <v>57.949545779419999</v>
      </c>
      <c r="O1488">
        <v>24.616093487474899</v>
      </c>
      <c r="P1488">
        <v>6.1796630629164602</v>
      </c>
      <c r="Q1488">
        <v>22.561993656307902</v>
      </c>
      <c r="R1488">
        <v>55.074609812519597</v>
      </c>
      <c r="S1488">
        <v>-1.2106932165038899</v>
      </c>
      <c r="T1488">
        <v>45.666005620378797</v>
      </c>
      <c r="U1488">
        <v>0.47547803613114098</v>
      </c>
      <c r="V1488">
        <v>50.154326369987203</v>
      </c>
    </row>
    <row r="1489" spans="1:22" x14ac:dyDescent="0.25">
      <c r="A1489" t="str">
        <f t="shared" si="23"/>
        <v>Serbia2024</v>
      </c>
      <c r="B1489" t="s">
        <v>201</v>
      </c>
      <c r="C1489" t="s">
        <v>202</v>
      </c>
      <c r="D1489">
        <v>2024</v>
      </c>
      <c r="E1489">
        <v>13679.2065983557</v>
      </c>
      <c r="F1489">
        <v>3.9499262259293202</v>
      </c>
      <c r="G1489">
        <v>4.6705297488996997</v>
      </c>
      <c r="H1489">
        <v>8</v>
      </c>
      <c r="I1489">
        <v>22.686037680501901</v>
      </c>
      <c r="J1489">
        <v>7.24</v>
      </c>
      <c r="K1489">
        <v>36.141038301107102</v>
      </c>
      <c r="L1489">
        <v>37.457885486697698</v>
      </c>
      <c r="M1489">
        <v>6.3499457128196601</v>
      </c>
      <c r="N1489">
        <v>58.722771649717899</v>
      </c>
      <c r="O1489">
        <v>25.0264449793479</v>
      </c>
      <c r="P1489">
        <v>6.1654406552164298</v>
      </c>
      <c r="Q1489">
        <v>20.635110466731501</v>
      </c>
      <c r="R1489">
        <v>53.583766709022598</v>
      </c>
      <c r="S1489">
        <v>-1.7336492805889501</v>
      </c>
      <c r="T1489">
        <v>44.064479827023703</v>
      </c>
      <c r="U1489">
        <v>0.46789907461609898</v>
      </c>
      <c r="V1489">
        <v>50.009069279980501</v>
      </c>
    </row>
    <row r="1490" spans="1:22" x14ac:dyDescent="0.25">
      <c r="A1490" t="str">
        <f t="shared" si="23"/>
        <v>Serbia2025</v>
      </c>
      <c r="B1490" t="s">
        <v>201</v>
      </c>
      <c r="C1490" t="s">
        <v>202</v>
      </c>
      <c r="D1490">
        <v>2025</v>
      </c>
      <c r="E1490">
        <v>7082.2861666074996</v>
      </c>
      <c r="F1490">
        <v>2.3634031250552998</v>
      </c>
      <c r="G1490">
        <v>4.0851028533510201</v>
      </c>
      <c r="H1490">
        <v>8</v>
      </c>
      <c r="I1490">
        <v>19.907382569027099</v>
      </c>
      <c r="J1490">
        <v>7.1230000000000002</v>
      </c>
      <c r="K1490">
        <v>36.141038301107102</v>
      </c>
      <c r="L1490">
        <v>37.457885486697698</v>
      </c>
      <c r="M1490">
        <v>4.9503087990574404</v>
      </c>
      <c r="N1490">
        <v>51.984321983815398</v>
      </c>
      <c r="O1490">
        <v>19.718396913931699</v>
      </c>
      <c r="P1490">
        <v>5.8500651016684504</v>
      </c>
      <c r="Q1490">
        <v>16.371074129693401</v>
      </c>
      <c r="R1490">
        <v>46.4536704388373</v>
      </c>
      <c r="S1490">
        <v>-2.2145715379655999</v>
      </c>
      <c r="T1490">
        <v>42.447565337214598</v>
      </c>
      <c r="U1490">
        <v>0.36049897880321702</v>
      </c>
      <c r="V1490">
        <v>47.950657272840402</v>
      </c>
    </row>
    <row r="1491" spans="1:22" x14ac:dyDescent="0.25">
      <c r="A1491" t="str">
        <f t="shared" si="23"/>
        <v>Singapore2010</v>
      </c>
      <c r="B1491" t="s">
        <v>253</v>
      </c>
      <c r="C1491" t="s">
        <v>254</v>
      </c>
      <c r="D1491">
        <v>2010</v>
      </c>
      <c r="E1491">
        <v>47236.683084953002</v>
      </c>
      <c r="F1491">
        <v>14.519749710899401</v>
      </c>
      <c r="G1491">
        <v>2.8288452761295799</v>
      </c>
      <c r="H1491">
        <v>6</v>
      </c>
      <c r="I1491">
        <v>7.3372360210155003</v>
      </c>
      <c r="J1491">
        <v>4.12</v>
      </c>
      <c r="K1491">
        <v>12.412804326624199</v>
      </c>
      <c r="L1491">
        <v>16.7790639246853</v>
      </c>
      <c r="M1491">
        <v>1.1078087134461601</v>
      </c>
      <c r="N1491">
        <v>27.341033560905402</v>
      </c>
      <c r="O1491">
        <v>27.658227519044701</v>
      </c>
      <c r="P1491">
        <v>5.8077734027455996</v>
      </c>
      <c r="Q1491">
        <v>50.591580905800697</v>
      </c>
      <c r="R1491">
        <v>197.99896079302701</v>
      </c>
      <c r="S1491">
        <v>5.6841059684631903</v>
      </c>
      <c r="T1491">
        <v>98.673715236125204</v>
      </c>
      <c r="U1491">
        <v>1.31579034980979</v>
      </c>
      <c r="V1491">
        <v>66.259609546246907</v>
      </c>
    </row>
    <row r="1492" spans="1:22" x14ac:dyDescent="0.25">
      <c r="A1492" t="str">
        <f t="shared" si="23"/>
        <v>Singapore2011</v>
      </c>
      <c r="B1492" t="s">
        <v>253</v>
      </c>
      <c r="C1492" t="s">
        <v>254</v>
      </c>
      <c r="D1492">
        <v>2011</v>
      </c>
      <c r="E1492">
        <v>53891.457026437201</v>
      </c>
      <c r="F1492">
        <v>6.21493416858989</v>
      </c>
      <c r="G1492">
        <v>5.2511562463937302</v>
      </c>
      <c r="H1492">
        <v>6</v>
      </c>
      <c r="I1492">
        <v>7.4822677996904403</v>
      </c>
      <c r="J1492">
        <v>3.89</v>
      </c>
      <c r="K1492">
        <v>12.7726522542327</v>
      </c>
      <c r="L1492">
        <v>17.020962928030698</v>
      </c>
      <c r="M1492">
        <v>1.1707982035509701</v>
      </c>
      <c r="N1492">
        <v>26.949647867404099</v>
      </c>
      <c r="O1492">
        <v>26.691994345527899</v>
      </c>
      <c r="P1492">
        <v>5.1653688620267202</v>
      </c>
      <c r="Q1492">
        <v>48.809210900430898</v>
      </c>
      <c r="R1492">
        <v>203.32770864953801</v>
      </c>
      <c r="S1492">
        <v>7.9617420969666801</v>
      </c>
      <c r="T1492">
        <v>103.129796828633</v>
      </c>
      <c r="U1492">
        <v>1.4021434525376599</v>
      </c>
      <c r="V1492">
        <v>67.914638456263305</v>
      </c>
    </row>
    <row r="1493" spans="1:22" x14ac:dyDescent="0.25">
      <c r="A1493" t="str">
        <f t="shared" si="23"/>
        <v>Singapore2012</v>
      </c>
      <c r="B1493" t="s">
        <v>253</v>
      </c>
      <c r="C1493" t="s">
        <v>254</v>
      </c>
      <c r="D1493">
        <v>2012</v>
      </c>
      <c r="E1493">
        <v>55547.555307778603</v>
      </c>
      <c r="F1493">
        <v>4.43549759378537</v>
      </c>
      <c r="G1493">
        <v>4.5808447942309396</v>
      </c>
      <c r="H1493">
        <v>6</v>
      </c>
      <c r="I1493">
        <v>7.7803152433355196</v>
      </c>
      <c r="J1493">
        <v>3.72</v>
      </c>
      <c r="K1493">
        <v>12.3839623831082</v>
      </c>
      <c r="L1493">
        <v>17.4768046793331</v>
      </c>
      <c r="M1493">
        <v>0.49534577120087397</v>
      </c>
      <c r="N1493">
        <v>26.873468693704801</v>
      </c>
      <c r="O1493">
        <v>29.262942670305801</v>
      </c>
      <c r="P1493">
        <v>5.4362335752672797</v>
      </c>
      <c r="Q1493">
        <v>47.253102209668597</v>
      </c>
      <c r="R1493">
        <v>196.719612875759</v>
      </c>
      <c r="S1493">
        <v>7.3359807672760198</v>
      </c>
      <c r="T1493">
        <v>106.72528756363</v>
      </c>
      <c r="U1493">
        <v>1.30996610745694</v>
      </c>
      <c r="V1493">
        <v>66.147983105871106</v>
      </c>
    </row>
    <row r="1494" spans="1:22" x14ac:dyDescent="0.25">
      <c r="A1494" t="str">
        <f t="shared" si="23"/>
        <v>Singapore2013</v>
      </c>
      <c r="B1494" t="s">
        <v>253</v>
      </c>
      <c r="C1494" t="s">
        <v>254</v>
      </c>
      <c r="D1494">
        <v>2013</v>
      </c>
      <c r="E1494">
        <v>56967.425794038303</v>
      </c>
      <c r="F1494">
        <v>4.8176309912067596</v>
      </c>
      <c r="G1494">
        <v>2.3643979374272601</v>
      </c>
      <c r="H1494">
        <v>6</v>
      </c>
      <c r="I1494">
        <v>8.1651429551292303</v>
      </c>
      <c r="J1494">
        <v>3.86</v>
      </c>
      <c r="K1494">
        <v>12.375337873564201</v>
      </c>
      <c r="L1494">
        <v>17.239651903511401</v>
      </c>
      <c r="M1494">
        <v>-0.43105939187167103</v>
      </c>
      <c r="N1494">
        <v>27.019231108544201</v>
      </c>
      <c r="O1494">
        <v>29.979502185541499</v>
      </c>
      <c r="P1494">
        <v>5.4368310178601504</v>
      </c>
      <c r="Q1494">
        <v>45.515697106271901</v>
      </c>
      <c r="R1494">
        <v>195.077796338143</v>
      </c>
      <c r="S1494">
        <v>5.96265822342336</v>
      </c>
      <c r="T1494">
        <v>98.185379736873401</v>
      </c>
      <c r="U1494">
        <v>1.2598927723289599</v>
      </c>
      <c r="V1494">
        <v>65.1882860638446</v>
      </c>
    </row>
    <row r="1495" spans="1:22" x14ac:dyDescent="0.25">
      <c r="A1495" t="str">
        <f t="shared" si="23"/>
        <v>Singapore2014</v>
      </c>
      <c r="B1495" t="s">
        <v>253</v>
      </c>
      <c r="C1495" t="s">
        <v>254</v>
      </c>
      <c r="D1495">
        <v>2014</v>
      </c>
      <c r="E1495">
        <v>57564.802311497697</v>
      </c>
      <c r="F1495">
        <v>3.93554027709007</v>
      </c>
      <c r="G1495">
        <v>1.0331695585762899</v>
      </c>
      <c r="H1495">
        <v>6</v>
      </c>
      <c r="I1495">
        <v>8.5760640539401596</v>
      </c>
      <c r="J1495">
        <v>3.74</v>
      </c>
      <c r="K1495">
        <v>13.1510655902688</v>
      </c>
      <c r="L1495">
        <v>18.0208994708332</v>
      </c>
      <c r="M1495">
        <v>-0.267270041634802</v>
      </c>
      <c r="N1495">
        <v>27.312431627214099</v>
      </c>
      <c r="O1495">
        <v>29.430008279276599</v>
      </c>
      <c r="P1495">
        <v>5.1234236168890304</v>
      </c>
      <c r="Q1495">
        <v>47.295047799474602</v>
      </c>
      <c r="R1495">
        <v>191.95353578750499</v>
      </c>
      <c r="S1495">
        <v>4.5996076342099803</v>
      </c>
      <c r="T1495">
        <v>97.748777934469203</v>
      </c>
      <c r="U1495">
        <v>1.2261605713859101</v>
      </c>
      <c r="V1495">
        <v>64.541780425996706</v>
      </c>
    </row>
    <row r="1496" spans="1:22" x14ac:dyDescent="0.25">
      <c r="A1496" t="str">
        <f t="shared" si="23"/>
        <v>Singapore2015</v>
      </c>
      <c r="B1496" t="s">
        <v>253</v>
      </c>
      <c r="C1496" t="s">
        <v>254</v>
      </c>
      <c r="D1496">
        <v>2015</v>
      </c>
      <c r="E1496">
        <v>55645.606861460597</v>
      </c>
      <c r="F1496">
        <v>2.9767993163480599</v>
      </c>
      <c r="G1496">
        <v>-0.52197561189576303</v>
      </c>
      <c r="H1496">
        <v>6</v>
      </c>
      <c r="I1496">
        <v>8.9982072594815197</v>
      </c>
      <c r="J1496">
        <v>3.79</v>
      </c>
      <c r="K1496">
        <v>15.925525943093801</v>
      </c>
      <c r="L1496">
        <v>17.997109890065801</v>
      </c>
      <c r="M1496">
        <v>3.0719550096641801</v>
      </c>
      <c r="N1496">
        <v>27.682561198217901</v>
      </c>
      <c r="O1496">
        <v>25.353193018866001</v>
      </c>
      <c r="P1496">
        <v>5.4163075348011596</v>
      </c>
      <c r="Q1496">
        <v>44.046215309175402</v>
      </c>
      <c r="R1496">
        <v>178.384608499682</v>
      </c>
      <c r="S1496">
        <v>2.8577374083500602</v>
      </c>
      <c r="T1496">
        <v>102.10093460220099</v>
      </c>
      <c r="U1496">
        <v>1.0968576064556099</v>
      </c>
      <c r="V1496">
        <v>62.0635817469649</v>
      </c>
    </row>
    <row r="1497" spans="1:22" x14ac:dyDescent="0.25">
      <c r="A1497" t="str">
        <f t="shared" si="23"/>
        <v>Singapore2016</v>
      </c>
      <c r="B1497" t="s">
        <v>253</v>
      </c>
      <c r="C1497" t="s">
        <v>254</v>
      </c>
      <c r="D1497">
        <v>2016</v>
      </c>
      <c r="E1497">
        <v>57005.588717654697</v>
      </c>
      <c r="F1497">
        <v>3.7475784879279201</v>
      </c>
      <c r="G1497">
        <v>-0.52980976037546401</v>
      </c>
      <c r="H1497">
        <v>6</v>
      </c>
      <c r="I1497">
        <v>9.4479412118779909</v>
      </c>
      <c r="J1497">
        <v>4.08</v>
      </c>
      <c r="K1497">
        <v>14.4158695300905</v>
      </c>
      <c r="L1497">
        <v>18.431913945650201</v>
      </c>
      <c r="M1497">
        <v>0.52201960788778501</v>
      </c>
      <c r="N1497">
        <v>28.154400088494501</v>
      </c>
      <c r="O1497">
        <v>26.397177757654301</v>
      </c>
      <c r="P1497">
        <v>5.5906927124959296</v>
      </c>
      <c r="Q1497">
        <v>45.043787351504598</v>
      </c>
      <c r="R1497">
        <v>164.550664245506</v>
      </c>
      <c r="S1497">
        <v>3.2427110835303998</v>
      </c>
      <c r="T1497">
        <v>105.90867914737601</v>
      </c>
      <c r="U1497">
        <v>1.05783931388942</v>
      </c>
      <c r="V1497">
        <v>61.315763774285699</v>
      </c>
    </row>
    <row r="1498" spans="1:22" x14ac:dyDescent="0.25">
      <c r="A1498" t="str">
        <f t="shared" si="23"/>
        <v>Singapore2017</v>
      </c>
      <c r="B1498" t="s">
        <v>253</v>
      </c>
      <c r="C1498" t="s">
        <v>254</v>
      </c>
      <c r="D1498">
        <v>2017</v>
      </c>
      <c r="E1498">
        <v>61236.251270626999</v>
      </c>
      <c r="F1498">
        <v>4.4768991584587603</v>
      </c>
      <c r="G1498">
        <v>0.57676319117999597</v>
      </c>
      <c r="H1498">
        <v>6</v>
      </c>
      <c r="I1498">
        <v>9.9640199543957095</v>
      </c>
      <c r="J1498">
        <v>4.2</v>
      </c>
      <c r="K1498">
        <v>14.2879989784805</v>
      </c>
      <c r="L1498">
        <v>20.1640829681211</v>
      </c>
      <c r="M1498">
        <v>2.8632861239591101</v>
      </c>
      <c r="N1498">
        <v>28.847468647075299</v>
      </c>
      <c r="O1498">
        <v>27.276510465623701</v>
      </c>
      <c r="P1498">
        <v>5.48780927285262</v>
      </c>
      <c r="Q1498">
        <v>46.506826671015702</v>
      </c>
      <c r="R1498">
        <v>171.741625509838</v>
      </c>
      <c r="S1498">
        <v>5.2259624452595501</v>
      </c>
      <c r="T1498">
        <v>107.285087672888</v>
      </c>
      <c r="U1498">
        <v>1.2438980549427501</v>
      </c>
      <c r="V1498">
        <v>64.881734025232305</v>
      </c>
    </row>
    <row r="1499" spans="1:22" x14ac:dyDescent="0.25">
      <c r="A1499" t="str">
        <f t="shared" si="23"/>
        <v>Singapore2018</v>
      </c>
      <c r="B1499" t="s">
        <v>253</v>
      </c>
      <c r="C1499" t="s">
        <v>254</v>
      </c>
      <c r="D1499">
        <v>2018</v>
      </c>
      <c r="E1499">
        <v>66881.6067035265</v>
      </c>
      <c r="F1499">
        <v>3.4519759658687001</v>
      </c>
      <c r="G1499">
        <v>0.43878421512962301</v>
      </c>
      <c r="H1499">
        <v>6</v>
      </c>
      <c r="I1499">
        <v>10.4836486140996</v>
      </c>
      <c r="J1499">
        <v>3.613</v>
      </c>
      <c r="K1499">
        <v>14.682255779654501</v>
      </c>
      <c r="L1499">
        <v>18.177385468302401</v>
      </c>
      <c r="M1499">
        <v>3.6072625650562302</v>
      </c>
      <c r="N1499">
        <v>29.5555499902006</v>
      </c>
      <c r="O1499">
        <v>24.774853675284799</v>
      </c>
      <c r="P1499">
        <v>4.9092184187255103</v>
      </c>
      <c r="Q1499">
        <v>41.380410862370503</v>
      </c>
      <c r="R1499">
        <v>178.198251436118</v>
      </c>
      <c r="S1499">
        <v>3.6741672713882898</v>
      </c>
      <c r="T1499">
        <v>109.18797773349</v>
      </c>
      <c r="U1499">
        <v>1.2064706607137401</v>
      </c>
      <c r="V1499">
        <v>64.164406940057404</v>
      </c>
    </row>
    <row r="1500" spans="1:22" x14ac:dyDescent="0.25">
      <c r="A1500" t="str">
        <f t="shared" si="23"/>
        <v>Singapore2019</v>
      </c>
      <c r="B1500" t="s">
        <v>253</v>
      </c>
      <c r="C1500" t="s">
        <v>254</v>
      </c>
      <c r="D1500">
        <v>2019</v>
      </c>
      <c r="E1500">
        <v>65952.037895929301</v>
      </c>
      <c r="F1500">
        <v>1.30804118153127</v>
      </c>
      <c r="G1500">
        <v>0.56782998840544696</v>
      </c>
      <c r="H1500">
        <v>6</v>
      </c>
      <c r="I1500">
        <v>10.9750531897302</v>
      </c>
      <c r="J1500">
        <v>3.1</v>
      </c>
      <c r="K1500">
        <v>14.1706593749508</v>
      </c>
      <c r="L1500">
        <v>20.941913321264501</v>
      </c>
      <c r="M1500">
        <v>-0.42489872649744598</v>
      </c>
      <c r="N1500">
        <v>30.188205072838102</v>
      </c>
      <c r="O1500">
        <v>24.5014074011136</v>
      </c>
      <c r="P1500">
        <v>4.7983740985388197</v>
      </c>
      <c r="Q1500">
        <v>40.091931695866698</v>
      </c>
      <c r="R1500">
        <v>176.89129999275099</v>
      </c>
      <c r="S1500">
        <v>3.7620135151541301</v>
      </c>
      <c r="T1500">
        <v>127.68196963842399</v>
      </c>
      <c r="U1500">
        <v>1.1693348834802699</v>
      </c>
      <c r="V1500">
        <v>63.452668936722397</v>
      </c>
    </row>
    <row r="1501" spans="1:22" x14ac:dyDescent="0.25">
      <c r="A1501" t="str">
        <f t="shared" si="23"/>
        <v>Singapore2020</v>
      </c>
      <c r="B1501" t="s">
        <v>253</v>
      </c>
      <c r="C1501" t="s">
        <v>254</v>
      </c>
      <c r="D1501">
        <v>2020</v>
      </c>
      <c r="E1501">
        <v>61410.079263078798</v>
      </c>
      <c r="F1501">
        <v>-3.81470885510713</v>
      </c>
      <c r="G1501">
        <v>-0.172111865925382</v>
      </c>
      <c r="H1501">
        <v>6</v>
      </c>
      <c r="I1501">
        <v>11.5849477696371</v>
      </c>
      <c r="J1501">
        <v>4.0999999999999996</v>
      </c>
      <c r="K1501">
        <v>25.745631621233901</v>
      </c>
      <c r="L1501">
        <v>18.0690867237101</v>
      </c>
      <c r="M1501">
        <v>-2.3929024556623899</v>
      </c>
      <c r="N1501">
        <v>31.163842949611901</v>
      </c>
      <c r="O1501">
        <v>22.805395563090901</v>
      </c>
      <c r="P1501">
        <v>6.5266318785032</v>
      </c>
      <c r="Q1501">
        <v>41.6335723627245</v>
      </c>
      <c r="R1501">
        <v>181.78202453177801</v>
      </c>
      <c r="S1501">
        <v>-6.6844472450885801</v>
      </c>
      <c r="T1501">
        <v>147.114639634274</v>
      </c>
      <c r="U1501">
        <v>0.66353898986684601</v>
      </c>
      <c r="V1501">
        <v>53.758670689365097</v>
      </c>
    </row>
    <row r="1502" spans="1:22" x14ac:dyDescent="0.25">
      <c r="A1502" t="str">
        <f t="shared" si="23"/>
        <v>Singapore2021</v>
      </c>
      <c r="B1502" t="s">
        <v>253</v>
      </c>
      <c r="C1502" t="s">
        <v>254</v>
      </c>
      <c r="D1502">
        <v>2021</v>
      </c>
      <c r="E1502">
        <v>80056.128824784406</v>
      </c>
      <c r="F1502">
        <v>9.7568044629902992</v>
      </c>
      <c r="G1502">
        <v>2.3161031576514599</v>
      </c>
      <c r="H1502">
        <v>6</v>
      </c>
      <c r="I1502">
        <v>12.258194216313999</v>
      </c>
      <c r="J1502">
        <v>4.6399999999999997</v>
      </c>
      <c r="K1502">
        <v>16.282497355406498</v>
      </c>
      <c r="L1502">
        <v>17.130996068400801</v>
      </c>
      <c r="M1502">
        <v>10.929287581612201</v>
      </c>
      <c r="N1502">
        <v>32.322492654839202</v>
      </c>
      <c r="O1502">
        <v>24.0192234940025</v>
      </c>
      <c r="P1502">
        <v>5.8653945735369897</v>
      </c>
      <c r="Q1502">
        <v>44.1814563930443</v>
      </c>
      <c r="R1502">
        <v>182.71080657488599</v>
      </c>
      <c r="S1502">
        <v>1.11132209742864</v>
      </c>
      <c r="T1502">
        <v>139.93422322799799</v>
      </c>
      <c r="U1502">
        <v>1.24386718730391</v>
      </c>
      <c r="V1502">
        <v>64.881142421305697</v>
      </c>
    </row>
    <row r="1503" spans="1:22" x14ac:dyDescent="0.25">
      <c r="A1503" t="str">
        <f t="shared" si="23"/>
        <v>Singapore2022</v>
      </c>
      <c r="B1503" t="s">
        <v>253</v>
      </c>
      <c r="C1503" t="s">
        <v>254</v>
      </c>
      <c r="D1503">
        <v>2022</v>
      </c>
      <c r="E1503">
        <v>90299.069463726904</v>
      </c>
      <c r="F1503">
        <v>4.1080002189715099</v>
      </c>
      <c r="G1503">
        <v>6.13095418919732</v>
      </c>
      <c r="H1503">
        <v>6</v>
      </c>
      <c r="I1503">
        <v>12.6908966015146</v>
      </c>
      <c r="J1503">
        <v>3.5910000000000002</v>
      </c>
      <c r="K1503">
        <v>14.8222699043527</v>
      </c>
      <c r="L1503">
        <v>15.884551570186799</v>
      </c>
      <c r="M1503">
        <v>14.9214101290688</v>
      </c>
      <c r="N1503">
        <v>32.795408506174397</v>
      </c>
      <c r="O1503">
        <v>22.2139256940454</v>
      </c>
      <c r="P1503">
        <v>3.52234707372306</v>
      </c>
      <c r="Q1503">
        <v>41.236004055660899</v>
      </c>
      <c r="R1503">
        <v>186.11429078720101</v>
      </c>
      <c r="S1503">
        <v>1.20072178031425</v>
      </c>
      <c r="T1503">
        <v>153.33829481403799</v>
      </c>
      <c r="U1503">
        <v>1.2256357838107801</v>
      </c>
      <c r="V1503">
        <v>64.531722436404806</v>
      </c>
    </row>
    <row r="1504" spans="1:22" x14ac:dyDescent="0.25">
      <c r="A1504" t="str">
        <f t="shared" si="23"/>
        <v>Singapore2023</v>
      </c>
      <c r="B1504" t="s">
        <v>253</v>
      </c>
      <c r="C1504" t="s">
        <v>254</v>
      </c>
      <c r="D1504">
        <v>2023</v>
      </c>
      <c r="E1504">
        <v>85412.230345235002</v>
      </c>
      <c r="F1504">
        <v>1.82140694115385</v>
      </c>
      <c r="G1504">
        <v>4.8337236282579799</v>
      </c>
      <c r="H1504">
        <v>6</v>
      </c>
      <c r="I1504">
        <v>13.0953667239036</v>
      </c>
      <c r="J1504">
        <v>3.444</v>
      </c>
      <c r="K1504">
        <v>17.3034829398763</v>
      </c>
      <c r="L1504">
        <v>18.214294399079499</v>
      </c>
      <c r="M1504">
        <v>-5.0186426400397002</v>
      </c>
      <c r="N1504">
        <v>33.125377235376199</v>
      </c>
      <c r="O1504">
        <v>21.243797771433801</v>
      </c>
      <c r="P1504">
        <v>4.3123470036713396</v>
      </c>
      <c r="Q1504">
        <v>38.645856552444599</v>
      </c>
      <c r="R1504">
        <v>181.56132240537801</v>
      </c>
      <c r="S1504">
        <v>3.42050666611037</v>
      </c>
      <c r="T1504">
        <v>170.43262704816999</v>
      </c>
      <c r="U1504">
        <v>1.2489279256901</v>
      </c>
      <c r="V1504">
        <v>64.978135674247099</v>
      </c>
    </row>
    <row r="1505" spans="1:22" x14ac:dyDescent="0.25">
      <c r="A1505" t="str">
        <f t="shared" si="23"/>
        <v>Singapore2024</v>
      </c>
      <c r="B1505" t="s">
        <v>253</v>
      </c>
      <c r="C1505" t="s">
        <v>254</v>
      </c>
      <c r="D1505">
        <v>2024</v>
      </c>
      <c r="E1505">
        <v>90674.066632628004</v>
      </c>
      <c r="F1505">
        <v>4.3880236246186497</v>
      </c>
      <c r="G1505">
        <v>2.3895112359501698</v>
      </c>
      <c r="H1505">
        <v>6</v>
      </c>
      <c r="I1505">
        <v>13.656218285926499</v>
      </c>
      <c r="J1505">
        <v>2.7370000000000001</v>
      </c>
      <c r="K1505">
        <v>14.351934254285499</v>
      </c>
      <c r="L1505">
        <v>18.5525265576549</v>
      </c>
      <c r="M1505">
        <v>3.24187076847286</v>
      </c>
      <c r="N1505">
        <v>33.944800238563502</v>
      </c>
      <c r="O1505">
        <v>22.200257821565</v>
      </c>
      <c r="P1505">
        <v>4.18192840499011</v>
      </c>
      <c r="Q1505">
        <v>40.104351267048798</v>
      </c>
      <c r="R1505">
        <v>178.77628681439199</v>
      </c>
      <c r="S1505">
        <v>3.7871657243860999</v>
      </c>
      <c r="T1505">
        <v>166.03891181520299</v>
      </c>
      <c r="U1505">
        <v>1.34188334346246</v>
      </c>
      <c r="V1505">
        <v>66.759703433783699</v>
      </c>
    </row>
    <row r="1506" spans="1:22" x14ac:dyDescent="0.25">
      <c r="A1506" t="str">
        <f t="shared" si="23"/>
        <v>Singapore2025</v>
      </c>
      <c r="B1506" t="s">
        <v>253</v>
      </c>
      <c r="C1506" t="s">
        <v>254</v>
      </c>
      <c r="D1506">
        <v>2025</v>
      </c>
      <c r="E1506">
        <v>61236.251270626999</v>
      </c>
      <c r="F1506">
        <v>4.1080002189715099</v>
      </c>
      <c r="G1506">
        <v>2.3161031576514599</v>
      </c>
      <c r="H1506">
        <v>6</v>
      </c>
      <c r="I1506">
        <v>9.9640199543957095</v>
      </c>
      <c r="J1506">
        <v>2.8180000000000001</v>
      </c>
      <c r="K1506">
        <v>14.351934254285499</v>
      </c>
      <c r="L1506">
        <v>18.0208994708332</v>
      </c>
      <c r="M1506">
        <v>1.1078087134461601</v>
      </c>
      <c r="N1506">
        <v>28.847468647075299</v>
      </c>
      <c r="O1506">
        <v>25.353193018866001</v>
      </c>
      <c r="P1506">
        <v>5.4163075348011596</v>
      </c>
      <c r="Q1506">
        <v>44.1814563930443</v>
      </c>
      <c r="R1506">
        <v>181.78202453177801</v>
      </c>
      <c r="S1506">
        <v>4.1563685926310496</v>
      </c>
      <c r="T1506">
        <v>171.25958204777899</v>
      </c>
      <c r="U1506">
        <v>1.07435375988994</v>
      </c>
      <c r="V1506">
        <v>61.632276843305299</v>
      </c>
    </row>
    <row r="1507" spans="1:22" x14ac:dyDescent="0.25">
      <c r="A1507" t="str">
        <f t="shared" si="23"/>
        <v>Slovak Republic2010</v>
      </c>
      <c r="B1507" t="s">
        <v>203</v>
      </c>
      <c r="C1507" t="s">
        <v>204</v>
      </c>
      <c r="D1507">
        <v>2010</v>
      </c>
      <c r="E1507">
        <v>16899.448680529</v>
      </c>
      <c r="F1507">
        <v>6.79058159142423</v>
      </c>
      <c r="G1507">
        <v>0.95701813297514304</v>
      </c>
      <c r="H1507">
        <v>10</v>
      </c>
      <c r="I1507">
        <v>12.447821722076499</v>
      </c>
      <c r="J1507">
        <v>14.387</v>
      </c>
      <c r="K1507">
        <v>39.514579205450801</v>
      </c>
      <c r="L1507">
        <v>31.503188817880801</v>
      </c>
      <c r="M1507">
        <v>0.470528553269702</v>
      </c>
      <c r="N1507">
        <v>38.714261272051097</v>
      </c>
      <c r="O1507">
        <v>25.378336827995401</v>
      </c>
      <c r="P1507">
        <v>0.34416944783578002</v>
      </c>
      <c r="Q1507">
        <v>21.4681590536267</v>
      </c>
      <c r="R1507">
        <v>77.081082086237103</v>
      </c>
      <c r="S1507">
        <v>-7.4444030567406001</v>
      </c>
      <c r="T1507">
        <v>40.653573278546297</v>
      </c>
      <c r="U1507">
        <v>0.16598693877620799</v>
      </c>
      <c r="V1507">
        <v>44.222672528557602</v>
      </c>
    </row>
    <row r="1508" spans="1:22" x14ac:dyDescent="0.25">
      <c r="A1508" t="str">
        <f t="shared" si="23"/>
        <v>Slovak Republic2011</v>
      </c>
      <c r="B1508" t="s">
        <v>203</v>
      </c>
      <c r="C1508" t="s">
        <v>204</v>
      </c>
      <c r="D1508">
        <v>2011</v>
      </c>
      <c r="E1508">
        <v>18469.4354316836</v>
      </c>
      <c r="F1508">
        <v>2.56242473215553</v>
      </c>
      <c r="G1508">
        <v>3.9192859914629001</v>
      </c>
      <c r="H1508">
        <v>10</v>
      </c>
      <c r="I1508">
        <v>12.6254872424295</v>
      </c>
      <c r="J1508">
        <v>13.634</v>
      </c>
      <c r="K1508">
        <v>39.060144368105803</v>
      </c>
      <c r="L1508">
        <v>33.957413906356201</v>
      </c>
      <c r="M1508">
        <v>1.61977051205542</v>
      </c>
      <c r="N1508">
        <v>38.990140331951203</v>
      </c>
      <c r="O1508">
        <v>26.5333923090075</v>
      </c>
      <c r="P1508">
        <v>0.31645652869685598</v>
      </c>
      <c r="Q1508">
        <v>22.035739858134999</v>
      </c>
      <c r="R1508">
        <v>84.633052123905401</v>
      </c>
      <c r="S1508">
        <v>-4.3556076756085096</v>
      </c>
      <c r="T1508">
        <v>43.2701610370029</v>
      </c>
      <c r="U1508">
        <v>0.33669154236246301</v>
      </c>
      <c r="V1508">
        <v>47.494367986895497</v>
      </c>
    </row>
    <row r="1509" spans="1:22" x14ac:dyDescent="0.25">
      <c r="A1509" t="str">
        <f t="shared" si="23"/>
        <v>Slovak Republic2012</v>
      </c>
      <c r="B1509" t="s">
        <v>203</v>
      </c>
      <c r="C1509" t="s">
        <v>204</v>
      </c>
      <c r="D1509">
        <v>2012</v>
      </c>
      <c r="E1509">
        <v>17516.969105407799</v>
      </c>
      <c r="F1509">
        <v>1.5691710470270599</v>
      </c>
      <c r="G1509">
        <v>3.6061026352289001</v>
      </c>
      <c r="H1509">
        <v>10</v>
      </c>
      <c r="I1509">
        <v>12.909780825481301</v>
      </c>
      <c r="J1509">
        <v>13.965999999999999</v>
      </c>
      <c r="K1509">
        <v>39.1325775702987</v>
      </c>
      <c r="L1509">
        <v>33.101616874666803</v>
      </c>
      <c r="M1509">
        <v>1.3388823912712799</v>
      </c>
      <c r="N1509">
        <v>39.461206624200898</v>
      </c>
      <c r="O1509">
        <v>21.474904237703001</v>
      </c>
      <c r="P1509">
        <v>0.34701810643709002</v>
      </c>
      <c r="Q1509">
        <v>23.1729286445984</v>
      </c>
      <c r="R1509">
        <v>90.908862673380995</v>
      </c>
      <c r="S1509">
        <v>-4.3662074989556103</v>
      </c>
      <c r="T1509">
        <v>51.687563409089599</v>
      </c>
      <c r="U1509">
        <v>0.370521467862929</v>
      </c>
      <c r="V1509">
        <v>48.142746597023901</v>
      </c>
    </row>
    <row r="1510" spans="1:22" x14ac:dyDescent="0.25">
      <c r="A1510" t="str">
        <f t="shared" si="23"/>
        <v>Slovak Republic2013</v>
      </c>
      <c r="B1510" t="s">
        <v>203</v>
      </c>
      <c r="C1510" t="s">
        <v>204</v>
      </c>
      <c r="D1510">
        <v>2013</v>
      </c>
      <c r="E1510">
        <v>18312.7805149823</v>
      </c>
      <c r="F1510">
        <v>0.70332354524720098</v>
      </c>
      <c r="G1510">
        <v>1.4004736896302501</v>
      </c>
      <c r="H1510">
        <v>10</v>
      </c>
      <c r="I1510">
        <v>13.284288479187801</v>
      </c>
      <c r="J1510">
        <v>14.226000000000001</v>
      </c>
      <c r="K1510">
        <v>40.024260385858902</v>
      </c>
      <c r="L1510">
        <v>35.507917448452503</v>
      </c>
      <c r="M1510">
        <v>0.53406187029739305</v>
      </c>
      <c r="N1510">
        <v>40.1143714089078</v>
      </c>
      <c r="O1510">
        <v>22.1131489252307</v>
      </c>
      <c r="P1510">
        <v>0.28069267497192002</v>
      </c>
      <c r="Q1510">
        <v>25.058747508962899</v>
      </c>
      <c r="R1510">
        <v>92.879022241848801</v>
      </c>
      <c r="S1510">
        <v>-2.8612347372679898</v>
      </c>
      <c r="T1510">
        <v>54.610771864859998</v>
      </c>
      <c r="U1510">
        <v>0.481524479432825</v>
      </c>
      <c r="V1510">
        <v>50.270211476033701</v>
      </c>
    </row>
    <row r="1511" spans="1:22" x14ac:dyDescent="0.25">
      <c r="A1511" t="str">
        <f t="shared" si="23"/>
        <v>Slovak Republic2014</v>
      </c>
      <c r="B1511" t="s">
        <v>203</v>
      </c>
      <c r="C1511" t="s">
        <v>204</v>
      </c>
      <c r="D1511">
        <v>2014</v>
      </c>
      <c r="E1511">
        <v>18770.928989654501</v>
      </c>
      <c r="F1511">
        <v>2.70795151449488</v>
      </c>
      <c r="G1511">
        <v>-7.6165329541987098E-2</v>
      </c>
      <c r="H1511">
        <v>10</v>
      </c>
      <c r="I1511">
        <v>13.6950033798192</v>
      </c>
      <c r="J1511">
        <v>11.536</v>
      </c>
      <c r="K1511">
        <v>40.049895314012304</v>
      </c>
      <c r="L1511">
        <v>36.023154999261997</v>
      </c>
      <c r="M1511">
        <v>-0.13260251884378199</v>
      </c>
      <c r="N1511">
        <v>40.890949217730302</v>
      </c>
      <c r="O1511">
        <v>22.779815914621199</v>
      </c>
      <c r="P1511">
        <v>0.33657350850348999</v>
      </c>
      <c r="Q1511">
        <v>24.9648116766854</v>
      </c>
      <c r="R1511">
        <v>90.440008986145898</v>
      </c>
      <c r="S1511">
        <v>-3.2450697014065599</v>
      </c>
      <c r="T1511">
        <v>53.392074167050801</v>
      </c>
      <c r="U1511">
        <v>0.54020926336851205</v>
      </c>
      <c r="V1511">
        <v>51.3949540842722</v>
      </c>
    </row>
    <row r="1512" spans="1:22" x14ac:dyDescent="0.25">
      <c r="A1512" t="str">
        <f t="shared" si="23"/>
        <v>Slovak Republic2015</v>
      </c>
      <c r="B1512" t="s">
        <v>203</v>
      </c>
      <c r="C1512" t="s">
        <v>204</v>
      </c>
      <c r="D1512">
        <v>2015</v>
      </c>
      <c r="E1512">
        <v>16442.076086001802</v>
      </c>
      <c r="F1512">
        <v>5.1768790972213301</v>
      </c>
      <c r="G1512">
        <v>-0.325219777427673</v>
      </c>
      <c r="H1512">
        <v>10</v>
      </c>
      <c r="I1512">
        <v>14.148785357503799</v>
      </c>
      <c r="J1512">
        <v>11.492000000000001</v>
      </c>
      <c r="K1512">
        <v>40.678346916336899</v>
      </c>
      <c r="L1512">
        <v>38.186664883719999</v>
      </c>
      <c r="M1512">
        <v>-0.185692827685429</v>
      </c>
      <c r="N1512">
        <v>41.808098679468202</v>
      </c>
      <c r="O1512">
        <v>25.777728255168501</v>
      </c>
      <c r="P1512">
        <v>0.40987115152981901</v>
      </c>
      <c r="Q1512">
        <v>24.729008300464901</v>
      </c>
      <c r="R1512">
        <v>90.6938496191421</v>
      </c>
      <c r="S1512">
        <v>-2.7820389841284001</v>
      </c>
      <c r="T1512">
        <v>51.5992898404131</v>
      </c>
      <c r="U1512">
        <v>0.57807553516399102</v>
      </c>
      <c r="V1512">
        <v>52.1206926223946</v>
      </c>
    </row>
    <row r="1513" spans="1:22" x14ac:dyDescent="0.25">
      <c r="A1513" t="str">
        <f t="shared" si="23"/>
        <v>Slovak Republic2016</v>
      </c>
      <c r="B1513" t="s">
        <v>203</v>
      </c>
      <c r="C1513" t="s">
        <v>204</v>
      </c>
      <c r="D1513">
        <v>2016</v>
      </c>
      <c r="E1513">
        <v>16636.076913307301</v>
      </c>
      <c r="F1513">
        <v>1.94781841524558</v>
      </c>
      <c r="G1513">
        <v>-0.52001019627826595</v>
      </c>
      <c r="H1513">
        <v>10</v>
      </c>
      <c r="I1513">
        <v>14.6624290456748</v>
      </c>
      <c r="J1513">
        <v>9.6790000000000003</v>
      </c>
      <c r="K1513">
        <v>40.3193736538256</v>
      </c>
      <c r="L1513">
        <v>35.575461159024698</v>
      </c>
      <c r="M1513">
        <v>-0.39090934238953401</v>
      </c>
      <c r="N1513">
        <v>42.997471186162201</v>
      </c>
      <c r="O1513">
        <v>24.539269783492198</v>
      </c>
      <c r="P1513">
        <v>0.39489374361510099</v>
      </c>
      <c r="Q1513">
        <v>22.835228527122901</v>
      </c>
      <c r="R1513">
        <v>92.311687009511601</v>
      </c>
      <c r="S1513">
        <v>-2.59355366716653</v>
      </c>
      <c r="T1513">
        <v>52.135586658433503</v>
      </c>
      <c r="U1513">
        <v>0.55794719804859805</v>
      </c>
      <c r="V1513">
        <v>51.734916329659498</v>
      </c>
    </row>
    <row r="1514" spans="1:22" x14ac:dyDescent="0.25">
      <c r="A1514" t="str">
        <f t="shared" si="23"/>
        <v>Slovak Republic2017</v>
      </c>
      <c r="B1514" t="s">
        <v>203</v>
      </c>
      <c r="C1514" t="s">
        <v>204</v>
      </c>
      <c r="D1514">
        <v>2017</v>
      </c>
      <c r="E1514">
        <v>17645.529871676099</v>
      </c>
      <c r="F1514">
        <v>2.87473327453695</v>
      </c>
      <c r="G1514">
        <v>1.31194588223228</v>
      </c>
      <c r="H1514">
        <v>10</v>
      </c>
      <c r="I1514">
        <v>15.200055632204201</v>
      </c>
      <c r="J1514">
        <v>8.1419999999999995</v>
      </c>
      <c r="K1514">
        <v>37.039285492753898</v>
      </c>
      <c r="L1514">
        <v>36.519352493403701</v>
      </c>
      <c r="M1514">
        <v>1.1818725837364801</v>
      </c>
      <c r="N1514">
        <v>44.393616368905597</v>
      </c>
      <c r="O1514">
        <v>23.5559590901028</v>
      </c>
      <c r="P1514">
        <v>0.45775166035289999</v>
      </c>
      <c r="Q1514">
        <v>21.785106092723499</v>
      </c>
      <c r="R1514">
        <v>93.952416873890698</v>
      </c>
      <c r="S1514">
        <v>-0.98469404569658303</v>
      </c>
      <c r="T1514">
        <v>51.381467130569</v>
      </c>
      <c r="U1514">
        <v>0.67984114526625405</v>
      </c>
      <c r="V1514">
        <v>54.071115032756303</v>
      </c>
    </row>
    <row r="1515" spans="1:22" x14ac:dyDescent="0.25">
      <c r="A1515" t="str">
        <f t="shared" si="23"/>
        <v>Slovak Republic2018</v>
      </c>
      <c r="B1515" t="s">
        <v>203</v>
      </c>
      <c r="C1515" t="s">
        <v>204</v>
      </c>
      <c r="D1515">
        <v>2018</v>
      </c>
      <c r="E1515">
        <v>19573.371703131401</v>
      </c>
      <c r="F1515">
        <v>4.0621198189648302</v>
      </c>
      <c r="G1515">
        <v>2.5140371288381198</v>
      </c>
      <c r="H1515">
        <v>10</v>
      </c>
      <c r="I1515">
        <v>15.726915553112599</v>
      </c>
      <c r="J1515">
        <v>6.5439999999999996</v>
      </c>
      <c r="K1515">
        <v>37.128783200282399</v>
      </c>
      <c r="L1515">
        <v>36.451144614521603</v>
      </c>
      <c r="M1515">
        <v>2.1086483817274302</v>
      </c>
      <c r="N1515">
        <v>45.802013046442603</v>
      </c>
      <c r="O1515">
        <v>24.201421263810602</v>
      </c>
      <c r="P1515">
        <v>0.59038911719871301</v>
      </c>
      <c r="Q1515">
        <v>22.3447121840812</v>
      </c>
      <c r="R1515">
        <v>94.9268326476368</v>
      </c>
      <c r="S1515">
        <v>-1.00591742194475</v>
      </c>
      <c r="T1515">
        <v>49.270347091911603</v>
      </c>
      <c r="U1515">
        <v>0.74832199499968199</v>
      </c>
      <c r="V1515">
        <v>55.383607375370602</v>
      </c>
    </row>
    <row r="1516" spans="1:22" x14ac:dyDescent="0.25">
      <c r="A1516" t="str">
        <f t="shared" si="23"/>
        <v>Slovak Republic2019</v>
      </c>
      <c r="B1516" t="s">
        <v>203</v>
      </c>
      <c r="C1516" t="s">
        <v>204</v>
      </c>
      <c r="D1516">
        <v>2019</v>
      </c>
      <c r="E1516">
        <v>19406.0589683582</v>
      </c>
      <c r="F1516">
        <v>2.2758991001939299</v>
      </c>
      <c r="G1516">
        <v>2.66456133425431</v>
      </c>
      <c r="H1516">
        <v>10</v>
      </c>
      <c r="I1516">
        <v>16.259188968311999</v>
      </c>
      <c r="J1516">
        <v>5.7610000000000001</v>
      </c>
      <c r="K1516">
        <v>38.097992115792302</v>
      </c>
      <c r="L1516">
        <v>37.307773308912203</v>
      </c>
      <c r="M1516">
        <v>2.4012078364241898</v>
      </c>
      <c r="N1516">
        <v>47.174376697964398</v>
      </c>
      <c r="O1516">
        <v>24.061910521066899</v>
      </c>
      <c r="P1516">
        <v>0.82520427894617998</v>
      </c>
      <c r="Q1516">
        <v>20.4761050107317</v>
      </c>
      <c r="R1516">
        <v>91.844086512127603</v>
      </c>
      <c r="S1516">
        <v>-1.2050040508781801</v>
      </c>
      <c r="T1516">
        <v>48.009675570137297</v>
      </c>
      <c r="U1516">
        <v>0.73279429984722899</v>
      </c>
      <c r="V1516">
        <v>55.086006205622098</v>
      </c>
    </row>
    <row r="1517" spans="1:22" x14ac:dyDescent="0.25">
      <c r="A1517" t="str">
        <f t="shared" si="23"/>
        <v>Slovak Republic2020</v>
      </c>
      <c r="B1517" t="s">
        <v>203</v>
      </c>
      <c r="C1517" t="s">
        <v>204</v>
      </c>
      <c r="D1517">
        <v>2020</v>
      </c>
      <c r="E1517">
        <v>19735.485828080102</v>
      </c>
      <c r="F1517">
        <v>-2.5855124173320698</v>
      </c>
      <c r="G1517">
        <v>1.9369412669422299</v>
      </c>
      <c r="H1517">
        <v>10</v>
      </c>
      <c r="I1517">
        <v>16.7640891006244</v>
      </c>
      <c r="J1517">
        <v>6.7190000000000003</v>
      </c>
      <c r="K1517">
        <v>42.110012191082397</v>
      </c>
      <c r="L1517">
        <v>37.030808005077702</v>
      </c>
      <c r="M1517">
        <v>2.4077795660855399</v>
      </c>
      <c r="N1517">
        <v>48.409381377909902</v>
      </c>
      <c r="O1517">
        <v>20.2268098788151</v>
      </c>
      <c r="P1517">
        <v>1.17945350641303</v>
      </c>
      <c r="Q1517">
        <v>19.6429018939962</v>
      </c>
      <c r="R1517">
        <v>84.298343448534496</v>
      </c>
      <c r="S1517">
        <v>-5.2959798813832801</v>
      </c>
      <c r="T1517">
        <v>58.408131415618598</v>
      </c>
      <c r="U1517">
        <v>0.48749593315999701</v>
      </c>
      <c r="V1517">
        <v>50.384659344623202</v>
      </c>
    </row>
    <row r="1518" spans="1:22" x14ac:dyDescent="0.25">
      <c r="A1518" t="str">
        <f t="shared" si="23"/>
        <v>Slovak Republic2021</v>
      </c>
      <c r="B1518" t="s">
        <v>203</v>
      </c>
      <c r="C1518" t="s">
        <v>204</v>
      </c>
      <c r="D1518">
        <v>2021</v>
      </c>
      <c r="E1518">
        <v>22123.334211454501</v>
      </c>
      <c r="F1518">
        <v>5.6558588065555</v>
      </c>
      <c r="G1518">
        <v>3.1496062992126799</v>
      </c>
      <c r="H1518">
        <v>11</v>
      </c>
      <c r="I1518">
        <v>17.164888248772399</v>
      </c>
      <c r="J1518">
        <v>6.8940000000000001</v>
      </c>
      <c r="K1518">
        <v>42.3958276665658</v>
      </c>
      <c r="L1518">
        <v>37.702199874849299</v>
      </c>
      <c r="M1518">
        <v>2.2440841083069398</v>
      </c>
      <c r="N1518">
        <v>49.4568271263227</v>
      </c>
      <c r="O1518">
        <v>22.686382422867599</v>
      </c>
      <c r="P1518">
        <v>0.97500403105390898</v>
      </c>
      <c r="Q1518">
        <v>18.293858901778201</v>
      </c>
      <c r="R1518">
        <v>90.761861759141198</v>
      </c>
      <c r="S1518">
        <v>-5.0897228034499404</v>
      </c>
      <c r="T1518">
        <v>60.2168382869637</v>
      </c>
      <c r="U1518">
        <v>0.64767396506970798</v>
      </c>
      <c r="V1518">
        <v>53.454604316902099</v>
      </c>
    </row>
    <row r="1519" spans="1:22" x14ac:dyDescent="0.25">
      <c r="A1519" t="str">
        <f t="shared" si="23"/>
        <v>Slovak Republic2022</v>
      </c>
      <c r="B1519" t="s">
        <v>203</v>
      </c>
      <c r="C1519" t="s">
        <v>204</v>
      </c>
      <c r="D1519">
        <v>2022</v>
      </c>
      <c r="E1519">
        <v>21317.794398236299</v>
      </c>
      <c r="F1519">
        <v>0.54459163213745398</v>
      </c>
      <c r="G1519">
        <v>12.774146363761099</v>
      </c>
      <c r="H1519">
        <v>11</v>
      </c>
      <c r="I1519">
        <v>17.570637195284299</v>
      </c>
      <c r="J1519">
        <v>6.1429999999999998</v>
      </c>
      <c r="K1519">
        <v>39.774057521789501</v>
      </c>
      <c r="L1519">
        <v>39.266721005940397</v>
      </c>
      <c r="M1519">
        <v>7.3338745894481603</v>
      </c>
      <c r="N1519">
        <v>50.464127680957198</v>
      </c>
      <c r="O1519">
        <v>23.308357256555201</v>
      </c>
      <c r="P1519">
        <v>0.95572575091136402</v>
      </c>
      <c r="Q1519">
        <v>13.808627715235801</v>
      </c>
      <c r="R1519">
        <v>99.067493392150695</v>
      </c>
      <c r="S1519">
        <v>-1.5636637786389</v>
      </c>
      <c r="T1519">
        <v>57.756250699119697</v>
      </c>
      <c r="U1519">
        <v>0.75873185302852098</v>
      </c>
      <c r="V1519">
        <v>55.583120947467599</v>
      </c>
    </row>
    <row r="1520" spans="1:22" x14ac:dyDescent="0.25">
      <c r="A1520" t="str">
        <f t="shared" si="23"/>
        <v>Slovak Republic2023</v>
      </c>
      <c r="B1520" t="s">
        <v>203</v>
      </c>
      <c r="C1520" t="s">
        <v>204</v>
      </c>
      <c r="D1520">
        <v>2023</v>
      </c>
      <c r="E1520">
        <v>24614.873464279401</v>
      </c>
      <c r="F1520">
        <v>2.1126363321495898</v>
      </c>
      <c r="G1520">
        <v>10.5319476645211</v>
      </c>
      <c r="H1520">
        <v>11</v>
      </c>
      <c r="I1520">
        <v>18.050836576550701</v>
      </c>
      <c r="J1520">
        <v>5.843</v>
      </c>
      <c r="K1520">
        <v>39.774057521789501</v>
      </c>
      <c r="L1520">
        <v>40.189491069429899</v>
      </c>
      <c r="M1520">
        <v>10.0245901807717</v>
      </c>
      <c r="N1520">
        <v>51.418820751650401</v>
      </c>
      <c r="O1520">
        <v>19.727618466563399</v>
      </c>
      <c r="P1520">
        <v>1.04081099987432</v>
      </c>
      <c r="Q1520">
        <v>17.158361315116402</v>
      </c>
      <c r="R1520">
        <v>91.493556132508402</v>
      </c>
      <c r="S1520">
        <v>-5.2954256439480103</v>
      </c>
      <c r="T1520">
        <v>55.7575885127494</v>
      </c>
      <c r="U1520">
        <v>0.69801942786593596</v>
      </c>
      <c r="V1520">
        <v>54.419516911629501</v>
      </c>
    </row>
    <row r="1521" spans="1:22" x14ac:dyDescent="0.25">
      <c r="A1521" t="str">
        <f t="shared" si="23"/>
        <v>Slovak Republic2024</v>
      </c>
      <c r="B1521" t="s">
        <v>203</v>
      </c>
      <c r="C1521" t="s">
        <v>204</v>
      </c>
      <c r="D1521">
        <v>2024</v>
      </c>
      <c r="E1521">
        <v>25992.674850204799</v>
      </c>
      <c r="F1521">
        <v>1.9386744554944599</v>
      </c>
      <c r="G1521">
        <v>2.7576090942427198</v>
      </c>
      <c r="H1521">
        <v>11</v>
      </c>
      <c r="I1521">
        <v>18.5373993543753</v>
      </c>
      <c r="J1521">
        <v>5.3</v>
      </c>
      <c r="K1521">
        <v>39.774057521789501</v>
      </c>
      <c r="L1521">
        <v>39.332381877790198</v>
      </c>
      <c r="M1521">
        <v>3.3936971912854501</v>
      </c>
      <c r="N1521">
        <v>52.2037685532826</v>
      </c>
      <c r="O1521">
        <v>20.125720081297899</v>
      </c>
      <c r="P1521">
        <v>1.3231209615492801</v>
      </c>
      <c r="Q1521">
        <v>15.855666333081</v>
      </c>
      <c r="R1521">
        <v>85.483498956127903</v>
      </c>
      <c r="S1521">
        <v>-5.4966879788030596</v>
      </c>
      <c r="T1521">
        <v>59.700554883551199</v>
      </c>
      <c r="U1521">
        <v>0.65664192832562696</v>
      </c>
      <c r="V1521">
        <v>53.626482778516703</v>
      </c>
    </row>
    <row r="1522" spans="1:22" x14ac:dyDescent="0.25">
      <c r="A1522" t="str">
        <f t="shared" si="23"/>
        <v>Slovak Republic2025</v>
      </c>
      <c r="B1522" t="s">
        <v>203</v>
      </c>
      <c r="C1522" t="s">
        <v>204</v>
      </c>
      <c r="D1522">
        <v>2025</v>
      </c>
      <c r="E1522">
        <v>18770.928989654501</v>
      </c>
      <c r="F1522">
        <v>2.2758991001939299</v>
      </c>
      <c r="G1522">
        <v>2.5140371288381198</v>
      </c>
      <c r="H1522">
        <v>11</v>
      </c>
      <c r="I1522">
        <v>15.200055632204201</v>
      </c>
      <c r="J1522">
        <v>5.359</v>
      </c>
      <c r="K1522">
        <v>39.774057521789501</v>
      </c>
      <c r="L1522">
        <v>36.519352493403701</v>
      </c>
      <c r="M1522">
        <v>1.61977051205542</v>
      </c>
      <c r="N1522">
        <v>44.393616368905597</v>
      </c>
      <c r="O1522">
        <v>23.308357256555201</v>
      </c>
      <c r="P1522">
        <v>0.45775166035289999</v>
      </c>
      <c r="Q1522">
        <v>21.785106092723499</v>
      </c>
      <c r="R1522">
        <v>90.908862673380995</v>
      </c>
      <c r="S1522">
        <v>-5.0174963146868503</v>
      </c>
      <c r="T1522">
        <v>61.647868704150099</v>
      </c>
      <c r="U1522">
        <v>0.59721691424138501</v>
      </c>
      <c r="V1522">
        <v>52.487553044891598</v>
      </c>
    </row>
    <row r="1523" spans="1:22" x14ac:dyDescent="0.25">
      <c r="A1523" t="str">
        <f t="shared" si="23"/>
        <v>Slovenia2010</v>
      </c>
      <c r="B1523" t="s">
        <v>205</v>
      </c>
      <c r="C1523" t="s">
        <v>206</v>
      </c>
      <c r="D1523">
        <v>2010</v>
      </c>
      <c r="E1523">
        <v>23329.841769115599</v>
      </c>
      <c r="F1523">
        <v>1.11213719306735</v>
      </c>
      <c r="G1523">
        <v>1.8011702213713401</v>
      </c>
      <c r="H1523">
        <v>9</v>
      </c>
      <c r="I1523">
        <v>16.368068856095899</v>
      </c>
      <c r="J1523">
        <v>7.2359999999999998</v>
      </c>
      <c r="K1523">
        <v>47.358159649148199</v>
      </c>
      <c r="L1523">
        <v>42.889476615456097</v>
      </c>
      <c r="M1523">
        <v>-0.49146944460076702</v>
      </c>
      <c r="N1523">
        <v>43.896362240464804</v>
      </c>
      <c r="O1523">
        <v>22.560134485863198</v>
      </c>
      <c r="P1523">
        <v>0.40073541864754603</v>
      </c>
      <c r="Q1523">
        <v>22.312139682675401</v>
      </c>
      <c r="R1523">
        <v>64.840828123043593</v>
      </c>
      <c r="S1523">
        <v>-5.5557558895894399</v>
      </c>
      <c r="T1523">
        <v>38.607080544452401</v>
      </c>
      <c r="U1523">
        <v>0.58003811729322896</v>
      </c>
      <c r="V1523">
        <v>52.158307138371001</v>
      </c>
    </row>
    <row r="1524" spans="1:22" x14ac:dyDescent="0.25">
      <c r="A1524" t="str">
        <f t="shared" si="23"/>
        <v>Slovenia2011</v>
      </c>
      <c r="B1524" t="s">
        <v>205</v>
      </c>
      <c r="C1524" t="s">
        <v>206</v>
      </c>
      <c r="D1524">
        <v>2011</v>
      </c>
      <c r="E1524">
        <v>24940.628484160501</v>
      </c>
      <c r="F1524">
        <v>0.65543812837974302</v>
      </c>
      <c r="G1524">
        <v>1.8028517194191001</v>
      </c>
      <c r="H1524">
        <v>9</v>
      </c>
      <c r="I1524">
        <v>16.4955993838356</v>
      </c>
      <c r="J1524">
        <v>8.1660000000000004</v>
      </c>
      <c r="K1524">
        <v>48.809028972781</v>
      </c>
      <c r="L1524">
        <v>42.471721318127301</v>
      </c>
      <c r="M1524">
        <v>1.3645204070481001</v>
      </c>
      <c r="N1524">
        <v>44.4503082732056</v>
      </c>
      <c r="O1524">
        <v>21.869004999780699</v>
      </c>
      <c r="P1524">
        <v>0.31148448899132603</v>
      </c>
      <c r="Q1524">
        <v>21.946304205597801</v>
      </c>
      <c r="R1524">
        <v>70.782946094080899</v>
      </c>
      <c r="S1524">
        <v>-6.68586078554514</v>
      </c>
      <c r="T1524">
        <v>46.814890938799003</v>
      </c>
      <c r="U1524">
        <v>0.53113019752548796</v>
      </c>
      <c r="V1524">
        <v>51.220946249330801</v>
      </c>
    </row>
    <row r="1525" spans="1:22" x14ac:dyDescent="0.25">
      <c r="A1525" t="str">
        <f t="shared" si="23"/>
        <v>Slovenia2012</v>
      </c>
      <c r="B1525" t="s">
        <v>205</v>
      </c>
      <c r="C1525" t="s">
        <v>206</v>
      </c>
      <c r="D1525">
        <v>2012</v>
      </c>
      <c r="E1525">
        <v>22442.1417859955</v>
      </c>
      <c r="F1525">
        <v>-2.9155378204046198</v>
      </c>
      <c r="G1525">
        <v>2.5974138603900299</v>
      </c>
      <c r="H1525">
        <v>9</v>
      </c>
      <c r="I1525">
        <v>16.790457994634099</v>
      </c>
      <c r="J1525">
        <v>8.8409999999999993</v>
      </c>
      <c r="K1525">
        <v>47.490124696182498</v>
      </c>
      <c r="L1525">
        <v>43.441126291403499</v>
      </c>
      <c r="M1525">
        <v>0.62661859082247395</v>
      </c>
      <c r="N1525">
        <v>45.374042456963601</v>
      </c>
      <c r="O1525">
        <v>18.860935585095401</v>
      </c>
      <c r="P1525">
        <v>0.33529191187693103</v>
      </c>
      <c r="Q1525">
        <v>20.675479139172602</v>
      </c>
      <c r="R1525">
        <v>73.545348030747206</v>
      </c>
      <c r="S1525">
        <v>-4.1971859206981703</v>
      </c>
      <c r="T1525">
        <v>54.073902976601197</v>
      </c>
      <c r="U1525">
        <v>0.58650380599340501</v>
      </c>
      <c r="V1525">
        <v>52.282227430565698</v>
      </c>
    </row>
    <row r="1526" spans="1:22" x14ac:dyDescent="0.25">
      <c r="A1526" t="str">
        <f t="shared" si="23"/>
        <v>Slovenia2013</v>
      </c>
      <c r="B1526" t="s">
        <v>205</v>
      </c>
      <c r="C1526" t="s">
        <v>206</v>
      </c>
      <c r="D1526">
        <v>2013</v>
      </c>
      <c r="E1526">
        <v>23236.965532169499</v>
      </c>
      <c r="F1526">
        <v>-0.82377641769167598</v>
      </c>
      <c r="G1526">
        <v>1.76920085881907</v>
      </c>
      <c r="H1526">
        <v>9</v>
      </c>
      <c r="I1526">
        <v>17.1479957003396</v>
      </c>
      <c r="J1526">
        <v>10.103</v>
      </c>
      <c r="K1526">
        <v>54.5726819204219</v>
      </c>
      <c r="L1526">
        <v>44.105466658538901</v>
      </c>
      <c r="M1526">
        <v>1.1327971878507299</v>
      </c>
      <c r="N1526">
        <v>46.446461248405797</v>
      </c>
      <c r="O1526">
        <v>19.784226786477799</v>
      </c>
      <c r="P1526">
        <v>0.32093258269809699</v>
      </c>
      <c r="Q1526">
        <v>22.237663085087899</v>
      </c>
      <c r="R1526">
        <v>74.958946365564799</v>
      </c>
      <c r="S1526">
        <v>-11.2271199984462</v>
      </c>
      <c r="T1526">
        <v>70.836235096958205</v>
      </c>
      <c r="U1526">
        <v>0.30383050373936299</v>
      </c>
      <c r="V1526">
        <v>46.864558898207697</v>
      </c>
    </row>
    <row r="1527" spans="1:22" x14ac:dyDescent="0.25">
      <c r="A1527" t="str">
        <f t="shared" si="23"/>
        <v>Slovenia2014</v>
      </c>
      <c r="B1527" t="s">
        <v>205</v>
      </c>
      <c r="C1527" t="s">
        <v>206</v>
      </c>
      <c r="D1527">
        <v>2014</v>
      </c>
      <c r="E1527">
        <v>24013.068206095901</v>
      </c>
      <c r="F1527">
        <v>2.7628332763974202</v>
      </c>
      <c r="G1527">
        <v>0.19934382657075</v>
      </c>
      <c r="H1527">
        <v>9</v>
      </c>
      <c r="I1527">
        <v>17.546949682532599</v>
      </c>
      <c r="J1527">
        <v>9.6679999999999993</v>
      </c>
      <c r="K1527">
        <v>47.533637135746702</v>
      </c>
      <c r="L1527">
        <v>43.723864185323002</v>
      </c>
      <c r="M1527">
        <v>0.63155145077948305</v>
      </c>
      <c r="N1527">
        <v>47.605538625852098</v>
      </c>
      <c r="O1527">
        <v>19.7452653119649</v>
      </c>
      <c r="P1527">
        <v>0.33826485381830002</v>
      </c>
      <c r="Q1527">
        <v>24.903149374233401</v>
      </c>
      <c r="R1527">
        <v>76.652447812216096</v>
      </c>
      <c r="S1527">
        <v>-4.5263194610272297</v>
      </c>
      <c r="T1527">
        <v>81.133001886190002</v>
      </c>
      <c r="U1527">
        <v>0.60193729227948201</v>
      </c>
      <c r="V1527">
        <v>52.578023009171503</v>
      </c>
    </row>
    <row r="1528" spans="1:22" x14ac:dyDescent="0.25">
      <c r="A1528" t="str">
        <f t="shared" si="23"/>
        <v>Slovenia2015</v>
      </c>
      <c r="B1528" t="s">
        <v>205</v>
      </c>
      <c r="C1528" t="s">
        <v>206</v>
      </c>
      <c r="D1528">
        <v>2015</v>
      </c>
      <c r="E1528">
        <v>20697.274853061899</v>
      </c>
      <c r="F1528">
        <v>2.3933062133816798</v>
      </c>
      <c r="G1528">
        <v>-0.52555228582087699</v>
      </c>
      <c r="H1528">
        <v>9</v>
      </c>
      <c r="I1528">
        <v>18.0184247458794</v>
      </c>
      <c r="J1528">
        <v>8.9619999999999997</v>
      </c>
      <c r="K1528">
        <v>46.7222084667928</v>
      </c>
      <c r="L1528">
        <v>44.439365716497697</v>
      </c>
      <c r="M1528">
        <v>0.86719831932542502</v>
      </c>
      <c r="N1528">
        <v>48.902603934404503</v>
      </c>
      <c r="O1528">
        <v>19.468621657394898</v>
      </c>
      <c r="P1528">
        <v>0.319569374007103</v>
      </c>
      <c r="Q1528">
        <v>23.616920631750201</v>
      </c>
      <c r="R1528">
        <v>77.664170140659493</v>
      </c>
      <c r="S1528">
        <v>-2.8373326682928899</v>
      </c>
      <c r="T1528">
        <v>83.418151966935</v>
      </c>
      <c r="U1528">
        <v>0.65470253065819295</v>
      </c>
      <c r="V1528">
        <v>53.589312612000001</v>
      </c>
    </row>
    <row r="1529" spans="1:22" x14ac:dyDescent="0.25">
      <c r="A1529" t="str">
        <f t="shared" si="23"/>
        <v>Slovenia2016</v>
      </c>
      <c r="B1529" t="s">
        <v>205</v>
      </c>
      <c r="C1529" t="s">
        <v>206</v>
      </c>
      <c r="D1529">
        <v>2016</v>
      </c>
      <c r="E1529">
        <v>21447.8377796036</v>
      </c>
      <c r="F1529">
        <v>3.0344148666365398</v>
      </c>
      <c r="G1529">
        <v>-5.4999541670474002E-2</v>
      </c>
      <c r="H1529">
        <v>9</v>
      </c>
      <c r="I1529">
        <v>18.5120548294753</v>
      </c>
      <c r="J1529">
        <v>8</v>
      </c>
      <c r="K1529">
        <v>44.674770084988303</v>
      </c>
      <c r="L1529">
        <v>42.692884377650302</v>
      </c>
      <c r="M1529">
        <v>0.88548243685633599</v>
      </c>
      <c r="N1529">
        <v>50.216336221695897</v>
      </c>
      <c r="O1529">
        <v>18.847908893962501</v>
      </c>
      <c r="P1529">
        <v>0.26733148289528702</v>
      </c>
      <c r="Q1529">
        <v>24.156335415862198</v>
      </c>
      <c r="R1529">
        <v>78.436586667559695</v>
      </c>
      <c r="S1529">
        <v>-1.9990903002009299</v>
      </c>
      <c r="T1529">
        <v>79.4302880049583</v>
      </c>
      <c r="U1529">
        <v>0.70999766493299998</v>
      </c>
      <c r="V1529">
        <v>54.649089770169397</v>
      </c>
    </row>
    <row r="1530" spans="1:22" x14ac:dyDescent="0.25">
      <c r="A1530" t="str">
        <f t="shared" si="23"/>
        <v>Slovenia2017</v>
      </c>
      <c r="B1530" t="s">
        <v>205</v>
      </c>
      <c r="C1530" t="s">
        <v>206</v>
      </c>
      <c r="D1530">
        <v>2017</v>
      </c>
      <c r="E1530">
        <v>23303.077705959</v>
      </c>
      <c r="F1530">
        <v>5.1744021557995801</v>
      </c>
      <c r="G1530">
        <v>1.42910743319306</v>
      </c>
      <c r="H1530">
        <v>9</v>
      </c>
      <c r="I1530">
        <v>19.000998831464202</v>
      </c>
      <c r="J1530">
        <v>6.5640000000000001</v>
      </c>
      <c r="K1530">
        <v>42.298103964957299</v>
      </c>
      <c r="L1530">
        <v>42.396014890437101</v>
      </c>
      <c r="M1530">
        <v>1.28763102357318</v>
      </c>
      <c r="N1530">
        <v>51.5486078260965</v>
      </c>
      <c r="O1530">
        <v>20.2503347880345</v>
      </c>
      <c r="P1530">
        <v>0.27844817912185998</v>
      </c>
      <c r="Q1530">
        <v>27.087715304449901</v>
      </c>
      <c r="R1530">
        <v>83.881980162193102</v>
      </c>
      <c r="S1530">
        <v>5.3723709985806598E-2</v>
      </c>
      <c r="T1530">
        <v>74.889913314799799</v>
      </c>
      <c r="U1530">
        <v>0.89144749128786305</v>
      </c>
      <c r="V1530">
        <v>58.126726344284499</v>
      </c>
    </row>
    <row r="1531" spans="1:22" x14ac:dyDescent="0.25">
      <c r="A1531" t="str">
        <f t="shared" si="23"/>
        <v>Slovenia2018</v>
      </c>
      <c r="B1531" t="s">
        <v>205</v>
      </c>
      <c r="C1531" t="s">
        <v>206</v>
      </c>
      <c r="D1531">
        <v>2018</v>
      </c>
      <c r="E1531">
        <v>25888.0481065655</v>
      </c>
      <c r="F1531">
        <v>4.3790834733119501</v>
      </c>
      <c r="G1531">
        <v>1.7386086198818</v>
      </c>
      <c r="H1531">
        <v>9</v>
      </c>
      <c r="I1531">
        <v>19.461768303687801</v>
      </c>
      <c r="J1531">
        <v>5.1079999999999997</v>
      </c>
      <c r="K1531">
        <v>41.1450376558141</v>
      </c>
      <c r="L1531">
        <v>42.698599404101401</v>
      </c>
      <c r="M1531">
        <v>2.1809537030585302</v>
      </c>
      <c r="N1531">
        <v>52.782492618327801</v>
      </c>
      <c r="O1531">
        <v>21.560844684188201</v>
      </c>
      <c r="P1531">
        <v>0.25550301481561599</v>
      </c>
      <c r="Q1531">
        <v>28.071881975706699</v>
      </c>
      <c r="R1531">
        <v>85.568637051666897</v>
      </c>
      <c r="S1531">
        <v>0.89634511156472096</v>
      </c>
      <c r="T1531">
        <v>71.006590061237404</v>
      </c>
      <c r="U1531">
        <v>0.97944789721103898</v>
      </c>
      <c r="V1531">
        <v>59.813327187742502</v>
      </c>
    </row>
    <row r="1532" spans="1:22" x14ac:dyDescent="0.25">
      <c r="A1532" t="str">
        <f t="shared" si="23"/>
        <v>Slovenia2019</v>
      </c>
      <c r="B1532" t="s">
        <v>205</v>
      </c>
      <c r="C1532" t="s">
        <v>206</v>
      </c>
      <c r="D1532">
        <v>2019</v>
      </c>
      <c r="E1532">
        <v>25814.168716757202</v>
      </c>
      <c r="F1532">
        <v>3.5052533238191201</v>
      </c>
      <c r="G1532">
        <v>1.63052260754344</v>
      </c>
      <c r="H1532">
        <v>9</v>
      </c>
      <c r="I1532">
        <v>19.851668358980401</v>
      </c>
      <c r="J1532">
        <v>4.4459999999999997</v>
      </c>
      <c r="K1532">
        <v>40.789500406321402</v>
      </c>
      <c r="L1532">
        <v>42.248384816706</v>
      </c>
      <c r="M1532">
        <v>2.3385865499996799</v>
      </c>
      <c r="N1532">
        <v>53.749455202958998</v>
      </c>
      <c r="O1532">
        <v>20.834524070231598</v>
      </c>
      <c r="P1532">
        <v>0.281064587576416</v>
      </c>
      <c r="Q1532">
        <v>27.273815038954702</v>
      </c>
      <c r="R1532">
        <v>84.357058349852693</v>
      </c>
      <c r="S1532">
        <v>0.68069872332649395</v>
      </c>
      <c r="T1532">
        <v>66.020508177521506</v>
      </c>
      <c r="U1532">
        <v>0.97448097351697904</v>
      </c>
      <c r="V1532">
        <v>59.718131971266999</v>
      </c>
    </row>
    <row r="1533" spans="1:22" x14ac:dyDescent="0.25">
      <c r="A1533" t="str">
        <f t="shared" si="23"/>
        <v>Slovenia2020</v>
      </c>
      <c r="B1533" t="s">
        <v>205</v>
      </c>
      <c r="C1533" t="s">
        <v>206</v>
      </c>
      <c r="D1533">
        <v>2020</v>
      </c>
      <c r="E1533">
        <v>25392.0651093612</v>
      </c>
      <c r="F1533">
        <v>-4.0850009494289603</v>
      </c>
      <c r="G1533">
        <v>-5.4856815760610002E-2</v>
      </c>
      <c r="H1533">
        <v>9</v>
      </c>
      <c r="I1533">
        <v>20.1213887142885</v>
      </c>
      <c r="J1533">
        <v>4.9710000000000001</v>
      </c>
      <c r="K1533">
        <v>49.107530785142302</v>
      </c>
      <c r="L1533">
        <v>42.1064159274095</v>
      </c>
      <c r="M1533">
        <v>1.1895331828211499</v>
      </c>
      <c r="N1533">
        <v>54.463108894625996</v>
      </c>
      <c r="O1533">
        <v>20.189671946153201</v>
      </c>
      <c r="P1533">
        <v>0.40327130962345398</v>
      </c>
      <c r="Q1533">
        <v>27.8534286976423</v>
      </c>
      <c r="R1533">
        <v>78.271799991694294</v>
      </c>
      <c r="S1533">
        <v>-7.6767218600431697</v>
      </c>
      <c r="T1533">
        <v>80.169966216432996</v>
      </c>
      <c r="U1533">
        <v>0.51967200690188797</v>
      </c>
      <c r="V1533">
        <v>51.001340512657997</v>
      </c>
    </row>
    <row r="1534" spans="1:22" x14ac:dyDescent="0.25">
      <c r="A1534" t="str">
        <f t="shared" si="23"/>
        <v>Slovenia2021</v>
      </c>
      <c r="B1534" t="s">
        <v>205</v>
      </c>
      <c r="C1534" t="s">
        <v>206</v>
      </c>
      <c r="D1534">
        <v>2021</v>
      </c>
      <c r="E1534">
        <v>29192.840193301901</v>
      </c>
      <c r="F1534">
        <v>8.4168645772532091</v>
      </c>
      <c r="G1534">
        <v>1.9170650608925901</v>
      </c>
      <c r="H1534">
        <v>9</v>
      </c>
      <c r="I1534">
        <v>20.430907303261801</v>
      </c>
      <c r="J1534">
        <v>4.7439999999999998</v>
      </c>
      <c r="K1534">
        <v>46.607862405416398</v>
      </c>
      <c r="L1534">
        <v>43.144656587702499</v>
      </c>
      <c r="M1534">
        <v>2.6834307718612398</v>
      </c>
      <c r="N1534">
        <v>55.263134636375298</v>
      </c>
      <c r="O1534">
        <v>21.797927164493299</v>
      </c>
      <c r="P1534">
        <v>0.52974084399153598</v>
      </c>
      <c r="Q1534">
        <v>25.3690386159093</v>
      </c>
      <c r="R1534">
        <v>83.699941788190202</v>
      </c>
      <c r="S1534">
        <v>-4.61058878698657</v>
      </c>
      <c r="T1534">
        <v>74.817805828675901</v>
      </c>
      <c r="U1534">
        <v>0.818857645585089</v>
      </c>
      <c r="V1534">
        <v>56.735481682348897</v>
      </c>
    </row>
    <row r="1535" spans="1:22" x14ac:dyDescent="0.25">
      <c r="A1535" t="str">
        <f t="shared" si="23"/>
        <v>Slovenia2022</v>
      </c>
      <c r="B1535" t="s">
        <v>205</v>
      </c>
      <c r="C1535" t="s">
        <v>206</v>
      </c>
      <c r="D1535">
        <v>2022</v>
      </c>
      <c r="E1535">
        <v>28360.304146726801</v>
      </c>
      <c r="F1535">
        <v>2.66850555542486</v>
      </c>
      <c r="G1535">
        <v>8.8336988674945207</v>
      </c>
      <c r="H1535">
        <v>9</v>
      </c>
      <c r="I1535">
        <v>20.8812714279501</v>
      </c>
      <c r="J1535">
        <v>4.0110000000000001</v>
      </c>
      <c r="K1535">
        <v>43.553544751929998</v>
      </c>
      <c r="L1535">
        <v>42.3403234348526</v>
      </c>
      <c r="M1535">
        <v>6.4782540274426603</v>
      </c>
      <c r="N1535">
        <v>56.194955646518103</v>
      </c>
      <c r="O1535">
        <v>24.571488595833902</v>
      </c>
      <c r="P1535">
        <v>0.46356199581790902</v>
      </c>
      <c r="Q1535">
        <v>23.764109902994399</v>
      </c>
      <c r="R1535">
        <v>94.316259424726297</v>
      </c>
      <c r="S1535">
        <v>-3.0139799161767602</v>
      </c>
      <c r="T1535">
        <v>72.773445191415107</v>
      </c>
      <c r="U1535">
        <v>0.81495654360474201</v>
      </c>
      <c r="V1535">
        <v>56.6607138239346</v>
      </c>
    </row>
    <row r="1536" spans="1:22" x14ac:dyDescent="0.25">
      <c r="A1536" t="str">
        <f t="shared" si="23"/>
        <v>Slovenia2023</v>
      </c>
      <c r="B1536" t="s">
        <v>205</v>
      </c>
      <c r="C1536" t="s">
        <v>206</v>
      </c>
      <c r="D1536">
        <v>2023</v>
      </c>
      <c r="E1536">
        <v>32660.475358134601</v>
      </c>
      <c r="F1536">
        <v>2.3758326648385002</v>
      </c>
      <c r="G1536">
        <v>7.4468771738583799</v>
      </c>
      <c r="H1536">
        <v>9</v>
      </c>
      <c r="I1536">
        <v>21.332342961372699</v>
      </c>
      <c r="J1536">
        <v>3.6520000000000001</v>
      </c>
      <c r="K1536">
        <v>42.874491131991697</v>
      </c>
      <c r="L1536">
        <v>41.807401491659498</v>
      </c>
      <c r="M1536">
        <v>9.9891248163472408</v>
      </c>
      <c r="N1536">
        <v>56.892676184726099</v>
      </c>
      <c r="O1536">
        <v>22.510001872286999</v>
      </c>
      <c r="P1536">
        <v>0.49646307426539399</v>
      </c>
      <c r="Q1536">
        <v>27.376910649693901</v>
      </c>
      <c r="R1536">
        <v>83.438273731363196</v>
      </c>
      <c r="S1536">
        <v>-2.5832943013270802</v>
      </c>
      <c r="T1536">
        <v>68.2886807181889</v>
      </c>
      <c r="U1536">
        <v>0.88241889399743301</v>
      </c>
      <c r="V1536">
        <v>57.953685781056102</v>
      </c>
    </row>
    <row r="1537" spans="1:22" x14ac:dyDescent="0.25">
      <c r="A1537" t="str">
        <f t="shared" si="23"/>
        <v>Slovenia2024</v>
      </c>
      <c r="B1537" t="s">
        <v>205</v>
      </c>
      <c r="C1537" t="s">
        <v>206</v>
      </c>
      <c r="D1537">
        <v>2024</v>
      </c>
      <c r="E1537">
        <v>34301.031868659396</v>
      </c>
      <c r="F1537">
        <v>1.7313972247949301</v>
      </c>
      <c r="G1537">
        <v>1.9656265643251201</v>
      </c>
      <c r="H1537">
        <v>9</v>
      </c>
      <c r="I1537">
        <v>21.772349177902498</v>
      </c>
      <c r="J1537">
        <v>3.7</v>
      </c>
      <c r="K1537">
        <v>46.665035436104603</v>
      </c>
      <c r="L1537">
        <v>43.525585613663701</v>
      </c>
      <c r="M1537">
        <v>3.4670805972439198</v>
      </c>
      <c r="N1537">
        <v>57.4487296195149</v>
      </c>
      <c r="O1537">
        <v>21.5339676972715</v>
      </c>
      <c r="P1537">
        <v>0.57503615035164901</v>
      </c>
      <c r="Q1537">
        <v>26.189702759306599</v>
      </c>
      <c r="R1537">
        <v>80.917389492035696</v>
      </c>
      <c r="S1537">
        <v>-0.944258209973597</v>
      </c>
      <c r="T1537">
        <v>66.606395918004097</v>
      </c>
      <c r="U1537">
        <v>1.0110497979588999</v>
      </c>
      <c r="V1537">
        <v>60.419003853629199</v>
      </c>
    </row>
    <row r="1538" spans="1:22" x14ac:dyDescent="0.25">
      <c r="A1538" t="str">
        <f t="shared" si="23"/>
        <v>Slovenia2025</v>
      </c>
      <c r="B1538" t="s">
        <v>205</v>
      </c>
      <c r="C1538" t="s">
        <v>206</v>
      </c>
      <c r="D1538">
        <v>2025</v>
      </c>
      <c r="E1538">
        <v>24940.628484160501</v>
      </c>
      <c r="F1538">
        <v>2.3933062133816798</v>
      </c>
      <c r="G1538">
        <v>1.76920085881907</v>
      </c>
      <c r="H1538">
        <v>9</v>
      </c>
      <c r="I1538">
        <v>19.000998831464202</v>
      </c>
      <c r="J1538">
        <v>3.1749999999999998</v>
      </c>
      <c r="K1538">
        <v>46.665035436104603</v>
      </c>
      <c r="L1538">
        <v>42.698599404101401</v>
      </c>
      <c r="M1538">
        <v>1.28763102357318</v>
      </c>
      <c r="N1538">
        <v>51.5486078260965</v>
      </c>
      <c r="O1538">
        <v>20.834524070231598</v>
      </c>
      <c r="P1538">
        <v>0.33529191187693103</v>
      </c>
      <c r="Q1538">
        <v>24.903149374233401</v>
      </c>
      <c r="R1538">
        <v>78.436586667559695</v>
      </c>
      <c r="S1538">
        <v>-2.3540670741187602</v>
      </c>
      <c r="T1538">
        <v>65.889664083814907</v>
      </c>
      <c r="U1538">
        <v>0.84900065285476201</v>
      </c>
      <c r="V1538">
        <v>57.313197443453198</v>
      </c>
    </row>
    <row r="1539" spans="1:22" x14ac:dyDescent="0.25">
      <c r="A1539" t="str">
        <f t="shared" si="23"/>
        <v>South Africa2010</v>
      </c>
      <c r="B1539" t="s">
        <v>207</v>
      </c>
      <c r="C1539" t="s">
        <v>208</v>
      </c>
      <c r="D1539">
        <v>2010</v>
      </c>
      <c r="E1539">
        <v>7973.47195771517</v>
      </c>
      <c r="F1539">
        <v>3.0397328812795599</v>
      </c>
      <c r="G1539">
        <v>4.0674955595026301</v>
      </c>
      <c r="H1539">
        <v>9</v>
      </c>
      <c r="I1539">
        <v>5.2473699446762296</v>
      </c>
      <c r="J1539">
        <v>24.683</v>
      </c>
      <c r="K1539">
        <v>29.577512826076902</v>
      </c>
      <c r="L1539">
        <v>25.519226716585798</v>
      </c>
      <c r="M1539">
        <v>6.1284324316044403</v>
      </c>
      <c r="N1539">
        <v>53.023518309656602</v>
      </c>
      <c r="O1539">
        <v>17.5956446037105</v>
      </c>
      <c r="P1539">
        <v>4.5405984880241697</v>
      </c>
      <c r="Q1539">
        <v>17.142405911840001</v>
      </c>
      <c r="R1539">
        <v>25.783417626722098</v>
      </c>
      <c r="S1539">
        <v>-4.5141509861519999</v>
      </c>
      <c r="T1539">
        <v>31.1853628060883</v>
      </c>
      <c r="U1539">
        <v>-0.627978425735087</v>
      </c>
      <c r="V1539">
        <v>29.005667113489402</v>
      </c>
    </row>
    <row r="1540" spans="1:22" x14ac:dyDescent="0.25">
      <c r="A1540" t="str">
        <f t="shared" ref="A1540:A1603" si="24">C1540&amp;D1540</f>
        <v>South Africa2011</v>
      </c>
      <c r="B1540" t="s">
        <v>207</v>
      </c>
      <c r="C1540" t="s">
        <v>208</v>
      </c>
      <c r="D1540">
        <v>2011</v>
      </c>
      <c r="E1540">
        <v>8646.0557107163495</v>
      </c>
      <c r="F1540">
        <v>3.1685562785881798</v>
      </c>
      <c r="G1540">
        <v>5.0008533879502002</v>
      </c>
      <c r="H1540">
        <v>9</v>
      </c>
      <c r="I1540">
        <v>5.2415223226327701</v>
      </c>
      <c r="J1540">
        <v>24.638999999999999</v>
      </c>
      <c r="K1540">
        <v>31.061973446417099</v>
      </c>
      <c r="L1540">
        <v>25.974054755098699</v>
      </c>
      <c r="M1540">
        <v>5.5390564315126198</v>
      </c>
      <c r="N1540">
        <v>52.361004289034199</v>
      </c>
      <c r="O1540">
        <v>18.853237655013199</v>
      </c>
      <c r="P1540">
        <v>4.19180307031227</v>
      </c>
      <c r="Q1540">
        <v>16.102056856890201</v>
      </c>
      <c r="R1540">
        <v>27.698148470375202</v>
      </c>
      <c r="S1540">
        <v>-3.7042748800127199</v>
      </c>
      <c r="T1540">
        <v>34.742040013260997</v>
      </c>
      <c r="U1540">
        <v>-0.58864646483736305</v>
      </c>
      <c r="V1540">
        <v>29.759496800171402</v>
      </c>
    </row>
    <row r="1541" spans="1:22" x14ac:dyDescent="0.25">
      <c r="A1541" t="str">
        <f t="shared" si="24"/>
        <v>South Africa2012</v>
      </c>
      <c r="B1541" t="s">
        <v>207</v>
      </c>
      <c r="C1541" t="s">
        <v>208</v>
      </c>
      <c r="D1541">
        <v>2012</v>
      </c>
      <c r="E1541">
        <v>8076.9767847974099</v>
      </c>
      <c r="F1541">
        <v>2.3962323846574498</v>
      </c>
      <c r="G1541">
        <v>5.73797139141739</v>
      </c>
      <c r="H1541">
        <v>9</v>
      </c>
      <c r="I1541">
        <v>5.2502226720623302</v>
      </c>
      <c r="J1541">
        <v>24.727</v>
      </c>
      <c r="K1541">
        <v>30.365179734174301</v>
      </c>
      <c r="L1541">
        <v>26.522785683462502</v>
      </c>
      <c r="M1541">
        <v>4.68520638813985</v>
      </c>
      <c r="N1541">
        <v>51.865507235376697</v>
      </c>
      <c r="O1541">
        <v>18.5845354435045</v>
      </c>
      <c r="P1541">
        <v>4.3317187321731696</v>
      </c>
      <c r="Q1541">
        <v>13.4973772040141</v>
      </c>
      <c r="R1541">
        <v>27.139149193767899</v>
      </c>
      <c r="S1541">
        <v>-4.0394742929591398</v>
      </c>
      <c r="T1541">
        <v>37.4078794072989</v>
      </c>
      <c r="U1541">
        <v>-0.63776716044939197</v>
      </c>
      <c r="V1541">
        <v>28.818057885414401</v>
      </c>
    </row>
    <row r="1542" spans="1:22" x14ac:dyDescent="0.25">
      <c r="A1542" t="str">
        <f t="shared" si="24"/>
        <v>South Africa2013</v>
      </c>
      <c r="B1542" t="s">
        <v>207</v>
      </c>
      <c r="C1542" t="s">
        <v>208</v>
      </c>
      <c r="D1542">
        <v>2013</v>
      </c>
      <c r="E1542">
        <v>7331.6546738491897</v>
      </c>
      <c r="F1542">
        <v>2.48546800826588</v>
      </c>
      <c r="G1542">
        <v>5.7801691006917597</v>
      </c>
      <c r="H1542">
        <v>9</v>
      </c>
      <c r="I1542">
        <v>5.2878427278335201</v>
      </c>
      <c r="J1542">
        <v>24.561</v>
      </c>
      <c r="K1542">
        <v>31.259190573784998</v>
      </c>
      <c r="L1542">
        <v>27.4101862231804</v>
      </c>
      <c r="M1542">
        <v>5.8441114006734702</v>
      </c>
      <c r="N1542">
        <v>51.460030273286399</v>
      </c>
      <c r="O1542">
        <v>19.168762594311101</v>
      </c>
      <c r="P1542">
        <v>4.3046372612746904</v>
      </c>
      <c r="Q1542">
        <v>13.8378436838246</v>
      </c>
      <c r="R1542">
        <v>28.379280320361001</v>
      </c>
      <c r="S1542">
        <v>-3.9041957336421</v>
      </c>
      <c r="T1542">
        <v>40.355903677554103</v>
      </c>
      <c r="U1542">
        <v>-0.61646815632978502</v>
      </c>
      <c r="V1542">
        <v>29.226270983252899</v>
      </c>
    </row>
    <row r="1543" spans="1:22" x14ac:dyDescent="0.25">
      <c r="A1543" t="str">
        <f t="shared" si="24"/>
        <v>South Africa2014</v>
      </c>
      <c r="B1543" t="s">
        <v>207</v>
      </c>
      <c r="C1543" t="s">
        <v>208</v>
      </c>
      <c r="D1543">
        <v>2014</v>
      </c>
      <c r="E1543">
        <v>6856.7313709252203</v>
      </c>
      <c r="F1543">
        <v>1.41382645223793</v>
      </c>
      <c r="G1543">
        <v>6.1328295305914899</v>
      </c>
      <c r="H1543">
        <v>9</v>
      </c>
      <c r="I1543">
        <v>5.3311549776333997</v>
      </c>
      <c r="J1543">
        <v>24.89</v>
      </c>
      <c r="K1543">
        <v>31.9053501556958</v>
      </c>
      <c r="L1543">
        <v>28.872613056716499</v>
      </c>
      <c r="M1543">
        <v>5.3665461846838101</v>
      </c>
      <c r="N1543">
        <v>51.139011595015297</v>
      </c>
      <c r="O1543">
        <v>18.4879638168327</v>
      </c>
      <c r="P1543">
        <v>4.42516066122755</v>
      </c>
      <c r="Q1543">
        <v>13.6817734164401</v>
      </c>
      <c r="R1543">
        <v>29.000619303347101</v>
      </c>
      <c r="S1543">
        <v>-3.9263344059759402</v>
      </c>
      <c r="T1543">
        <v>43.253384900794003</v>
      </c>
      <c r="U1543">
        <v>-0.60901543537388703</v>
      </c>
      <c r="V1543">
        <v>29.369108568129999</v>
      </c>
    </row>
    <row r="1544" spans="1:22" x14ac:dyDescent="0.25">
      <c r="A1544" t="str">
        <f t="shared" si="24"/>
        <v>South Africa2015</v>
      </c>
      <c r="B1544" t="s">
        <v>207</v>
      </c>
      <c r="C1544" t="s">
        <v>208</v>
      </c>
      <c r="D1544">
        <v>2015</v>
      </c>
      <c r="E1544">
        <v>6112.2738248597398</v>
      </c>
      <c r="F1544">
        <v>1.3218622367822901</v>
      </c>
      <c r="G1544">
        <v>4.5186909489250597</v>
      </c>
      <c r="H1544">
        <v>9</v>
      </c>
      <c r="I1544">
        <v>5.3696114310503198</v>
      </c>
      <c r="J1544">
        <v>25.149000000000001</v>
      </c>
      <c r="K1544">
        <v>33.679778745490701</v>
      </c>
      <c r="L1544">
        <v>29.647258188711199</v>
      </c>
      <c r="M1544">
        <v>5.5455281233987304</v>
      </c>
      <c r="N1544">
        <v>50.779814223848398</v>
      </c>
      <c r="O1544">
        <v>18.633206663837601</v>
      </c>
      <c r="P1544">
        <v>4.7242141325130103</v>
      </c>
      <c r="Q1544">
        <v>14.288975935154999</v>
      </c>
      <c r="R1544">
        <v>27.713638412482901</v>
      </c>
      <c r="S1544">
        <v>-4.3739929746819097</v>
      </c>
      <c r="T1544">
        <v>45.195466062310501</v>
      </c>
      <c r="U1544">
        <v>-0.61787002148328096</v>
      </c>
      <c r="V1544">
        <v>29.199403073662101</v>
      </c>
    </row>
    <row r="1545" spans="1:22" x14ac:dyDescent="0.25">
      <c r="A1545" t="str">
        <f t="shared" si="24"/>
        <v>South Africa2016</v>
      </c>
      <c r="B1545" t="s">
        <v>207</v>
      </c>
      <c r="C1545" t="s">
        <v>208</v>
      </c>
      <c r="D1545">
        <v>2016</v>
      </c>
      <c r="E1545">
        <v>5651.2058516574898</v>
      </c>
      <c r="F1545">
        <v>0.66455230785811603</v>
      </c>
      <c r="G1545">
        <v>6.6029084239487199</v>
      </c>
      <c r="H1545">
        <v>9</v>
      </c>
      <c r="I1545">
        <v>5.4735348867824696</v>
      </c>
      <c r="J1545">
        <v>26.536000000000001</v>
      </c>
      <c r="K1545">
        <v>32.189660800211101</v>
      </c>
      <c r="L1545">
        <v>29.040659001519501</v>
      </c>
      <c r="M1545">
        <v>6.9521719608848001</v>
      </c>
      <c r="N1545">
        <v>51.058957696117098</v>
      </c>
      <c r="O1545">
        <v>16.960452294824599</v>
      </c>
      <c r="P1545">
        <v>5.4370066212458203</v>
      </c>
      <c r="Q1545">
        <v>14.287908824841701</v>
      </c>
      <c r="R1545">
        <v>28.156088169895501</v>
      </c>
      <c r="S1545">
        <v>-3.7249927128355398</v>
      </c>
      <c r="T1545">
        <v>47.134049296625399</v>
      </c>
      <c r="U1545">
        <v>-0.62617509555397299</v>
      </c>
      <c r="V1545">
        <v>29.040229433658201</v>
      </c>
    </row>
    <row r="1546" spans="1:22" x14ac:dyDescent="0.25">
      <c r="A1546" t="str">
        <f t="shared" si="24"/>
        <v>South Africa2017</v>
      </c>
      <c r="B1546" t="s">
        <v>207</v>
      </c>
      <c r="C1546" t="s">
        <v>208</v>
      </c>
      <c r="D1546">
        <v>2017</v>
      </c>
      <c r="E1546">
        <v>6618.3350825570096</v>
      </c>
      <c r="F1546">
        <v>1.15794695181735</v>
      </c>
      <c r="G1546">
        <v>5.1861865552414903</v>
      </c>
      <c r="H1546">
        <v>9</v>
      </c>
      <c r="I1546">
        <v>5.6280556650469702</v>
      </c>
      <c r="J1546">
        <v>27.035</v>
      </c>
      <c r="K1546">
        <v>33.251812476877298</v>
      </c>
      <c r="L1546">
        <v>28.913155819620599</v>
      </c>
      <c r="M1546">
        <v>5.4733219748147697</v>
      </c>
      <c r="N1546">
        <v>51.2667885388625</v>
      </c>
      <c r="O1546">
        <v>16.610734061240201</v>
      </c>
      <c r="P1546">
        <v>5.22545718092341</v>
      </c>
      <c r="Q1546">
        <v>14.2437065990572</v>
      </c>
      <c r="R1546">
        <v>27.3400757812216</v>
      </c>
      <c r="S1546">
        <v>-4.0158340843077696</v>
      </c>
      <c r="T1546">
        <v>48.588207887415003</v>
      </c>
      <c r="U1546">
        <v>-0.63446340484989106</v>
      </c>
      <c r="V1546">
        <v>28.881377104482102</v>
      </c>
    </row>
    <row r="1547" spans="1:22" x14ac:dyDescent="0.25">
      <c r="A1547" t="str">
        <f t="shared" si="24"/>
        <v>South Africa2018</v>
      </c>
      <c r="B1547" t="s">
        <v>207</v>
      </c>
      <c r="C1547" t="s">
        <v>208</v>
      </c>
      <c r="D1547">
        <v>2018</v>
      </c>
      <c r="E1547">
        <v>6914.1780318075998</v>
      </c>
      <c r="F1547">
        <v>1.5567838472167601</v>
      </c>
      <c r="G1547">
        <v>4.5098726486738796</v>
      </c>
      <c r="H1547">
        <v>9</v>
      </c>
      <c r="I1547">
        <v>5.7766092353521499</v>
      </c>
      <c r="J1547">
        <v>26.905999999999999</v>
      </c>
      <c r="K1547">
        <v>33.995497825497203</v>
      </c>
      <c r="L1547">
        <v>28.364336831890199</v>
      </c>
      <c r="M1547">
        <v>3.99329508509443</v>
      </c>
      <c r="N1547">
        <v>50.677427584449603</v>
      </c>
      <c r="O1547">
        <v>16.170582978661901</v>
      </c>
      <c r="P1547">
        <v>4.8124624951831203</v>
      </c>
      <c r="Q1547">
        <v>13.2302445569483</v>
      </c>
      <c r="R1547">
        <v>27.497037150842299</v>
      </c>
      <c r="S1547">
        <v>-3.73226008615711</v>
      </c>
      <c r="T1547">
        <v>51.536268526753602</v>
      </c>
      <c r="U1547">
        <v>-0.62142898382907896</v>
      </c>
      <c r="V1547">
        <v>29.131192605411499</v>
      </c>
    </row>
    <row r="1548" spans="1:22" x14ac:dyDescent="0.25">
      <c r="A1548" t="str">
        <f t="shared" si="24"/>
        <v>South Africa2019</v>
      </c>
      <c r="B1548" t="s">
        <v>207</v>
      </c>
      <c r="C1548" t="s">
        <v>208</v>
      </c>
      <c r="D1548">
        <v>2019</v>
      </c>
      <c r="E1548">
        <v>6533.7112103285599</v>
      </c>
      <c r="F1548">
        <v>0.25993557687633001</v>
      </c>
      <c r="G1548">
        <v>4.10285075461156</v>
      </c>
      <c r="H1548">
        <v>9</v>
      </c>
      <c r="I1548">
        <v>5.9452201907718303</v>
      </c>
      <c r="J1548">
        <v>28.468</v>
      </c>
      <c r="K1548">
        <v>34.653275461787203</v>
      </c>
      <c r="L1548">
        <v>28.897615749940201</v>
      </c>
      <c r="M1548">
        <v>4.6135246905248097</v>
      </c>
      <c r="N1548">
        <v>50.094339366001599</v>
      </c>
      <c r="O1548">
        <v>15.8207933783179</v>
      </c>
      <c r="P1548">
        <v>5.4069008151217401</v>
      </c>
      <c r="Q1548">
        <v>13.2160151443918</v>
      </c>
      <c r="R1548">
        <v>27.202129405115102</v>
      </c>
      <c r="S1548">
        <v>-5.0721031462099004</v>
      </c>
      <c r="T1548">
        <v>56.101331026573703</v>
      </c>
      <c r="U1548">
        <v>-0.71175884615304696</v>
      </c>
      <c r="V1548">
        <v>27.399945795958701</v>
      </c>
    </row>
    <row r="1549" spans="1:22" x14ac:dyDescent="0.25">
      <c r="A1549" t="str">
        <f t="shared" si="24"/>
        <v>South Africa2020</v>
      </c>
      <c r="B1549" t="s">
        <v>207</v>
      </c>
      <c r="C1549" t="s">
        <v>208</v>
      </c>
      <c r="D1549">
        <v>2020</v>
      </c>
      <c r="E1549">
        <v>5580.6038307518902</v>
      </c>
      <c r="F1549">
        <v>-6.1689177146757004</v>
      </c>
      <c r="G1549">
        <v>3.23238831615113</v>
      </c>
      <c r="H1549">
        <v>9</v>
      </c>
      <c r="I1549">
        <v>6.1094889911940502</v>
      </c>
      <c r="J1549">
        <v>29.216999999999999</v>
      </c>
      <c r="K1549">
        <v>37.835416201174503</v>
      </c>
      <c r="L1549">
        <v>27.8138753889078</v>
      </c>
      <c r="M1549">
        <v>5.3913943350576004</v>
      </c>
      <c r="N1549">
        <v>49.49614178865</v>
      </c>
      <c r="O1549">
        <v>12.3455441478462</v>
      </c>
      <c r="P1549">
        <v>7.1235429557003496</v>
      </c>
      <c r="Q1549">
        <v>14.308189735040999</v>
      </c>
      <c r="R1549">
        <v>27.575914160396302</v>
      </c>
      <c r="S1549">
        <v>-9.6213844982997596</v>
      </c>
      <c r="T1549">
        <v>68.927079363481397</v>
      </c>
      <c r="U1549">
        <v>-0.95487778498056797</v>
      </c>
      <c r="V1549">
        <v>22.740369479400901</v>
      </c>
    </row>
    <row r="1550" spans="1:22" x14ac:dyDescent="0.25">
      <c r="A1550" t="str">
        <f t="shared" si="24"/>
        <v>South Africa2021</v>
      </c>
      <c r="B1550" t="s">
        <v>207</v>
      </c>
      <c r="C1550" t="s">
        <v>208</v>
      </c>
      <c r="D1550">
        <v>2021</v>
      </c>
      <c r="E1550">
        <v>6828.7562459001701</v>
      </c>
      <c r="F1550">
        <v>4.8586486506014799</v>
      </c>
      <c r="G1550">
        <v>4.6187454488713602</v>
      </c>
      <c r="H1550">
        <v>9</v>
      </c>
      <c r="I1550">
        <v>6.2346255491007403</v>
      </c>
      <c r="J1550">
        <v>34.006999999999998</v>
      </c>
      <c r="K1550">
        <v>34.605055096743499</v>
      </c>
      <c r="L1550">
        <v>30.029204085095099</v>
      </c>
      <c r="M1550">
        <v>6.408442941004</v>
      </c>
      <c r="N1550">
        <v>48.916285204892503</v>
      </c>
      <c r="O1550">
        <v>12.8355522251838</v>
      </c>
      <c r="P1550">
        <v>5.5629127558249802</v>
      </c>
      <c r="Q1550">
        <v>16.565600162391402</v>
      </c>
      <c r="R1550">
        <v>31.191610505160799</v>
      </c>
      <c r="S1550">
        <v>-5.5402296955133803</v>
      </c>
      <c r="T1550">
        <v>68.819017596874104</v>
      </c>
      <c r="U1550">
        <v>-0.71894310129037797</v>
      </c>
      <c r="V1550">
        <v>27.262253581393001</v>
      </c>
    </row>
    <row r="1551" spans="1:22" x14ac:dyDescent="0.25">
      <c r="A1551" t="str">
        <f t="shared" si="24"/>
        <v>South Africa2022</v>
      </c>
      <c r="B1551" t="s">
        <v>207</v>
      </c>
      <c r="C1551" t="s">
        <v>208</v>
      </c>
      <c r="D1551">
        <v>2022</v>
      </c>
      <c r="E1551">
        <v>6534.2486778339699</v>
      </c>
      <c r="F1551">
        <v>2.0581366169219302</v>
      </c>
      <c r="G1551">
        <v>7.0398727254648197</v>
      </c>
      <c r="H1551">
        <v>9</v>
      </c>
      <c r="I1551">
        <v>6.3616265627802999</v>
      </c>
      <c r="J1551">
        <v>33.268000000000001</v>
      </c>
      <c r="K1551">
        <v>33.424305629608497</v>
      </c>
      <c r="L1551">
        <v>29.663512453511402</v>
      </c>
      <c r="M1551">
        <v>5.2409666963093304</v>
      </c>
      <c r="N1551">
        <v>48.5504660443153</v>
      </c>
      <c r="O1551">
        <v>15.6721092997041</v>
      </c>
      <c r="P1551">
        <v>4.9138846327169903</v>
      </c>
      <c r="Q1551">
        <v>15.3398330255299</v>
      </c>
      <c r="R1551">
        <v>33.539440316427203</v>
      </c>
      <c r="S1551">
        <v>-4.2498587779110402</v>
      </c>
      <c r="T1551">
        <v>70.714973687411799</v>
      </c>
      <c r="U1551">
        <v>-0.72699978117940101</v>
      </c>
      <c r="V1551">
        <v>27.107840622114701</v>
      </c>
    </row>
    <row r="1552" spans="1:22" x14ac:dyDescent="0.25">
      <c r="A1552" t="str">
        <f t="shared" si="24"/>
        <v>South Africa2023</v>
      </c>
      <c r="B1552" t="s">
        <v>207</v>
      </c>
      <c r="C1552" t="s">
        <v>208</v>
      </c>
      <c r="D1552">
        <v>2023</v>
      </c>
      <c r="E1552">
        <v>6034.2720896467299</v>
      </c>
      <c r="F1552">
        <v>0.80610455095804001</v>
      </c>
      <c r="G1552">
        <v>6.0752438457966003</v>
      </c>
      <c r="H1552">
        <v>9</v>
      </c>
      <c r="I1552">
        <v>6.5150936762256402</v>
      </c>
      <c r="J1552">
        <v>32.097999999999999</v>
      </c>
      <c r="K1552">
        <v>33.251812476877298</v>
      </c>
      <c r="L1552">
        <v>29.8093094943187</v>
      </c>
      <c r="M1552">
        <v>4.7223024326352299</v>
      </c>
      <c r="N1552">
        <v>48.367934469521401</v>
      </c>
      <c r="O1552">
        <v>15.391317499566799</v>
      </c>
      <c r="P1552">
        <v>5.3307498588091899</v>
      </c>
      <c r="Q1552">
        <v>14.7159503601655</v>
      </c>
      <c r="R1552">
        <v>33.253812755681601</v>
      </c>
      <c r="S1552">
        <v>-5.5998940843618197</v>
      </c>
      <c r="T1552">
        <v>73.220285565941197</v>
      </c>
      <c r="U1552">
        <v>-0.77923148483065696</v>
      </c>
      <c r="V1552">
        <v>26.1067766553148</v>
      </c>
    </row>
    <row r="1553" spans="1:22" x14ac:dyDescent="0.25">
      <c r="A1553" t="str">
        <f t="shared" si="24"/>
        <v>South Africa2024</v>
      </c>
      <c r="B1553" t="s">
        <v>207</v>
      </c>
      <c r="C1553" t="s">
        <v>208</v>
      </c>
      <c r="D1553">
        <v>2024</v>
      </c>
      <c r="E1553">
        <v>6267.1868140930001</v>
      </c>
      <c r="F1553">
        <v>0.534843531905139</v>
      </c>
      <c r="G1553">
        <v>4.3611524651896199</v>
      </c>
      <c r="H1553">
        <v>9</v>
      </c>
      <c r="I1553">
        <v>6.6905479433938204</v>
      </c>
      <c r="J1553">
        <v>32.279000000000003</v>
      </c>
      <c r="K1553">
        <v>33.251812476877298</v>
      </c>
      <c r="L1553">
        <v>28.885114403328298</v>
      </c>
      <c r="M1553">
        <v>3.91692100295103</v>
      </c>
      <c r="N1553">
        <v>48.311417336709901</v>
      </c>
      <c r="O1553">
        <v>14.069550876988799</v>
      </c>
      <c r="P1553">
        <v>5.67102712164409</v>
      </c>
      <c r="Q1553">
        <v>13.581504035779499</v>
      </c>
      <c r="R1553">
        <v>31.791907064630301</v>
      </c>
      <c r="S1553">
        <v>-5.6708891128206202</v>
      </c>
      <c r="T1553">
        <v>75.962907181169598</v>
      </c>
      <c r="U1553">
        <v>-0.80023132990116197</v>
      </c>
      <c r="V1553">
        <v>25.704297189034602</v>
      </c>
    </row>
    <row r="1554" spans="1:22" x14ac:dyDescent="0.25">
      <c r="A1554" t="str">
        <f t="shared" si="24"/>
        <v>South Africa2025</v>
      </c>
      <c r="B1554" t="s">
        <v>207</v>
      </c>
      <c r="C1554" t="s">
        <v>208</v>
      </c>
      <c r="D1554">
        <v>2025</v>
      </c>
      <c r="E1554">
        <v>6618.3350825570096</v>
      </c>
      <c r="F1554">
        <v>1.41382645223793</v>
      </c>
      <c r="G1554">
        <v>5.0008533879502002</v>
      </c>
      <c r="H1554">
        <v>9</v>
      </c>
      <c r="I1554">
        <v>5.6280556650469702</v>
      </c>
      <c r="J1554">
        <v>32.390999999999998</v>
      </c>
      <c r="K1554">
        <v>33.251812476877298</v>
      </c>
      <c r="L1554">
        <v>28.885114403328298</v>
      </c>
      <c r="M1554">
        <v>5.3913943350576004</v>
      </c>
      <c r="N1554">
        <v>50.779814223848398</v>
      </c>
      <c r="O1554">
        <v>16.610734061240201</v>
      </c>
      <c r="P1554">
        <v>4.9138846327169903</v>
      </c>
      <c r="Q1554">
        <v>14.287908824841701</v>
      </c>
      <c r="R1554">
        <v>27.713638412482901</v>
      </c>
      <c r="S1554">
        <v>-5.7824374495506401</v>
      </c>
      <c r="T1554">
        <v>78.642085639967803</v>
      </c>
      <c r="U1554">
        <v>-0.89229548382720103</v>
      </c>
      <c r="V1554">
        <v>23.939811241100902</v>
      </c>
    </row>
    <row r="1555" spans="1:22" x14ac:dyDescent="0.25">
      <c r="A1555" t="str">
        <f t="shared" si="24"/>
        <v>Spain2010</v>
      </c>
      <c r="B1555" t="s">
        <v>209</v>
      </c>
      <c r="C1555" t="s">
        <v>210</v>
      </c>
      <c r="D1555">
        <v>2010</v>
      </c>
      <c r="E1555">
        <v>30658.742228291201</v>
      </c>
      <c r="F1555">
        <v>9.4122311636951395E-2</v>
      </c>
      <c r="G1555">
        <v>1.79986457728768</v>
      </c>
      <c r="H1555">
        <v>10</v>
      </c>
      <c r="I1555">
        <v>16.892460187980799</v>
      </c>
      <c r="J1555">
        <v>19.86</v>
      </c>
      <c r="K1555">
        <v>31.467815382330102</v>
      </c>
      <c r="L1555">
        <v>26.4248545924643</v>
      </c>
      <c r="M1555">
        <v>0.29283773127339402</v>
      </c>
      <c r="N1555">
        <v>46.657707082949599</v>
      </c>
      <c r="O1555">
        <v>22.398841381615298</v>
      </c>
      <c r="P1555">
        <v>0.80400379772560504</v>
      </c>
      <c r="Q1555">
        <v>18.8360772554486</v>
      </c>
      <c r="R1555">
        <v>25.8278133398939</v>
      </c>
      <c r="S1555">
        <v>-9.4873949189756193</v>
      </c>
      <c r="T1555">
        <v>60.266030107367101</v>
      </c>
      <c r="U1555">
        <v>-0.34176192548655598</v>
      </c>
      <c r="V1555">
        <v>34.491243977216399</v>
      </c>
    </row>
    <row r="1556" spans="1:22" x14ac:dyDescent="0.25">
      <c r="A1556" t="str">
        <f t="shared" si="24"/>
        <v>Spain2011</v>
      </c>
      <c r="B1556" t="s">
        <v>209</v>
      </c>
      <c r="C1556" t="s">
        <v>210</v>
      </c>
      <c r="D1556">
        <v>2011</v>
      </c>
      <c r="E1556">
        <v>31824.621913477698</v>
      </c>
      <c r="F1556">
        <v>-0.63992063652034403</v>
      </c>
      <c r="G1556">
        <v>3.1961018883379002</v>
      </c>
      <c r="H1556">
        <v>10</v>
      </c>
      <c r="I1556">
        <v>17.168705483850701</v>
      </c>
      <c r="J1556">
        <v>21.39</v>
      </c>
      <c r="K1556">
        <v>31.193798014391501</v>
      </c>
      <c r="L1556">
        <v>25.9231395446762</v>
      </c>
      <c r="M1556">
        <v>-0.14595877182101399</v>
      </c>
      <c r="N1556">
        <v>47.444042236968599</v>
      </c>
      <c r="O1556">
        <v>20.713583920500799</v>
      </c>
      <c r="P1556">
        <v>1.0500935486692899</v>
      </c>
      <c r="Q1556">
        <v>18.107108335715498</v>
      </c>
      <c r="R1556">
        <v>29.3884101095734</v>
      </c>
      <c r="S1556">
        <v>-9.6946729173099708</v>
      </c>
      <c r="T1556">
        <v>69.528409735283304</v>
      </c>
      <c r="U1556">
        <v>-0.383826585592628</v>
      </c>
      <c r="V1556">
        <v>33.685039841333101</v>
      </c>
    </row>
    <row r="1557" spans="1:22" x14ac:dyDescent="0.25">
      <c r="A1557" t="str">
        <f t="shared" si="24"/>
        <v>Spain2012</v>
      </c>
      <c r="B1557" t="s">
        <v>209</v>
      </c>
      <c r="C1557" t="s">
        <v>210</v>
      </c>
      <c r="D1557">
        <v>2012</v>
      </c>
      <c r="E1557">
        <v>28456.443815147701</v>
      </c>
      <c r="F1557">
        <v>-2.8651136863774802</v>
      </c>
      <c r="G1557">
        <v>2.4461278236680801</v>
      </c>
      <c r="H1557">
        <v>10</v>
      </c>
      <c r="I1557">
        <v>17.456517084377101</v>
      </c>
      <c r="J1557">
        <v>24.789000000000001</v>
      </c>
      <c r="K1557">
        <v>38.0321130850107</v>
      </c>
      <c r="L1557">
        <v>25.873292894347699</v>
      </c>
      <c r="M1557">
        <v>-0.202954992229195</v>
      </c>
      <c r="N1557">
        <v>48.184430011302098</v>
      </c>
      <c r="O1557">
        <v>18.594468533655601</v>
      </c>
      <c r="P1557">
        <v>1.3078166820835699</v>
      </c>
      <c r="Q1557">
        <v>18.7454846382292</v>
      </c>
      <c r="R1557">
        <v>31.299736284272399</v>
      </c>
      <c r="S1557">
        <v>-11.4965384897544</v>
      </c>
      <c r="T1557">
        <v>89.560379607785606</v>
      </c>
      <c r="U1557">
        <v>-0.549189517879069</v>
      </c>
      <c r="V1557">
        <v>30.515721948476202</v>
      </c>
    </row>
    <row r="1558" spans="1:22" x14ac:dyDescent="0.25">
      <c r="A1558" t="str">
        <f t="shared" si="24"/>
        <v>Spain2013</v>
      </c>
      <c r="B1558" t="s">
        <v>209</v>
      </c>
      <c r="C1558" t="s">
        <v>210</v>
      </c>
      <c r="D1558">
        <v>2013</v>
      </c>
      <c r="E1558">
        <v>29228.846559842001</v>
      </c>
      <c r="F1558">
        <v>-1.4273222475762599</v>
      </c>
      <c r="G1558">
        <v>1.40858109183018</v>
      </c>
      <c r="H1558">
        <v>10</v>
      </c>
      <c r="I1558">
        <v>17.850818523935001</v>
      </c>
      <c r="J1558">
        <v>26.094000000000001</v>
      </c>
      <c r="K1558">
        <v>35.339764364521301</v>
      </c>
      <c r="L1558">
        <v>27.921946235175302</v>
      </c>
      <c r="M1558">
        <v>0.43817503269718799</v>
      </c>
      <c r="N1558">
        <v>49.082313056499203</v>
      </c>
      <c r="O1558">
        <v>17.412338687976</v>
      </c>
      <c r="P1558">
        <v>1.17195937387583</v>
      </c>
      <c r="Q1558">
        <v>19.498635402445998</v>
      </c>
      <c r="R1558">
        <v>32.755457016609903</v>
      </c>
      <c r="S1558">
        <v>-7.49162483961421</v>
      </c>
      <c r="T1558">
        <v>100.000312874152</v>
      </c>
      <c r="U1558">
        <v>-0.369548110801734</v>
      </c>
      <c r="V1558">
        <v>33.9586986656645</v>
      </c>
    </row>
    <row r="1559" spans="1:22" x14ac:dyDescent="0.25">
      <c r="A1559" t="str">
        <f t="shared" si="24"/>
        <v>Spain2014</v>
      </c>
      <c r="B1559" t="s">
        <v>209</v>
      </c>
      <c r="C1559" t="s">
        <v>210</v>
      </c>
      <c r="D1559">
        <v>2014</v>
      </c>
      <c r="E1559">
        <v>29707.765509467001</v>
      </c>
      <c r="F1559">
        <v>1.52048593647231</v>
      </c>
      <c r="G1559">
        <v>-0.15111483752723401</v>
      </c>
      <c r="H1559">
        <v>10</v>
      </c>
      <c r="I1559">
        <v>18.255644843034901</v>
      </c>
      <c r="J1559">
        <v>24.440999999999999</v>
      </c>
      <c r="K1559">
        <v>34.530665124082098</v>
      </c>
      <c r="L1559">
        <v>28.3139018373375</v>
      </c>
      <c r="M1559">
        <v>-0.22068679671149</v>
      </c>
      <c r="N1559">
        <v>49.940563672098101</v>
      </c>
      <c r="O1559">
        <v>18.148147791662499</v>
      </c>
      <c r="P1559">
        <v>1.23281778498774</v>
      </c>
      <c r="Q1559">
        <v>19.913885145023201</v>
      </c>
      <c r="R1559">
        <v>33.219339929101402</v>
      </c>
      <c r="S1559">
        <v>-6.0731566227023599</v>
      </c>
      <c r="T1559">
        <v>104.417616360379</v>
      </c>
      <c r="U1559">
        <v>-0.24890514267822</v>
      </c>
      <c r="V1559">
        <v>36.270921315773897</v>
      </c>
    </row>
    <row r="1560" spans="1:22" x14ac:dyDescent="0.25">
      <c r="A1560" t="str">
        <f t="shared" si="24"/>
        <v>Spain2015</v>
      </c>
      <c r="B1560" t="s">
        <v>209</v>
      </c>
      <c r="C1560" t="s">
        <v>210</v>
      </c>
      <c r="D1560">
        <v>2015</v>
      </c>
      <c r="E1560">
        <v>25982.441619777499</v>
      </c>
      <c r="F1560">
        <v>4.0608667247386601</v>
      </c>
      <c r="G1560">
        <v>-0.50036570990324203</v>
      </c>
      <c r="H1560">
        <v>10</v>
      </c>
      <c r="I1560">
        <v>18.541754607808802</v>
      </c>
      <c r="J1560">
        <v>22.056999999999999</v>
      </c>
      <c r="K1560">
        <v>32.656064876480102</v>
      </c>
      <c r="L1560">
        <v>27.5393887658309</v>
      </c>
      <c r="M1560">
        <v>0.55244181604578602</v>
      </c>
      <c r="N1560">
        <v>50.463152001925998</v>
      </c>
      <c r="O1560">
        <v>19.373440823024701</v>
      </c>
      <c r="P1560">
        <v>1.51753270703603</v>
      </c>
      <c r="Q1560">
        <v>21.4157589741659</v>
      </c>
      <c r="R1560">
        <v>33.298684956103898</v>
      </c>
      <c r="S1560">
        <v>-5.2648669134367001</v>
      </c>
      <c r="T1560">
        <v>102.44212445451799</v>
      </c>
      <c r="U1560">
        <v>-0.182191958894936</v>
      </c>
      <c r="V1560">
        <v>37.5495348728168</v>
      </c>
    </row>
    <row r="1561" spans="1:22" x14ac:dyDescent="0.25">
      <c r="A1561" t="str">
        <f t="shared" si="24"/>
        <v>Spain2016</v>
      </c>
      <c r="B1561" t="s">
        <v>209</v>
      </c>
      <c r="C1561" t="s">
        <v>210</v>
      </c>
      <c r="D1561">
        <v>2016</v>
      </c>
      <c r="E1561">
        <v>26755.606114939801</v>
      </c>
      <c r="F1561">
        <v>2.91515598595787</v>
      </c>
      <c r="G1561">
        <v>-0.20259800042645201</v>
      </c>
      <c r="H1561">
        <v>10</v>
      </c>
      <c r="I1561">
        <v>18.767338876609699</v>
      </c>
      <c r="J1561">
        <v>19.635000000000002</v>
      </c>
      <c r="K1561">
        <v>32.432386704150701</v>
      </c>
      <c r="L1561">
        <v>27.128847063181698</v>
      </c>
      <c r="M1561">
        <v>0.37218253961582098</v>
      </c>
      <c r="N1561">
        <v>50.7968795026243</v>
      </c>
      <c r="O1561">
        <v>19.0611122143393</v>
      </c>
      <c r="P1561">
        <v>1.7623538662920799</v>
      </c>
      <c r="Q1561">
        <v>22.209674578857602</v>
      </c>
      <c r="R1561">
        <v>33.5770329849408</v>
      </c>
      <c r="S1561">
        <v>-4.2648626362128104</v>
      </c>
      <c r="T1561">
        <v>101.966502755646</v>
      </c>
      <c r="U1561">
        <v>-8.4394280856800299E-2</v>
      </c>
      <c r="V1561">
        <v>39.4239085707217</v>
      </c>
    </row>
    <row r="1562" spans="1:22" x14ac:dyDescent="0.25">
      <c r="A1562" t="str">
        <f t="shared" si="24"/>
        <v>Spain2017</v>
      </c>
      <c r="B1562" t="s">
        <v>209</v>
      </c>
      <c r="C1562" t="s">
        <v>210</v>
      </c>
      <c r="D1562">
        <v>2017</v>
      </c>
      <c r="E1562">
        <v>28381.342559690602</v>
      </c>
      <c r="F1562">
        <v>2.89604207865007</v>
      </c>
      <c r="G1562">
        <v>1.9560763336396301</v>
      </c>
      <c r="H1562">
        <v>10</v>
      </c>
      <c r="I1562">
        <v>18.992820043007299</v>
      </c>
      <c r="J1562">
        <v>17.224</v>
      </c>
      <c r="K1562">
        <v>31.3619207811122</v>
      </c>
      <c r="L1562">
        <v>27.036026611419899</v>
      </c>
      <c r="M1562">
        <v>1.2579443181247401</v>
      </c>
      <c r="N1562">
        <v>51.087986425085397</v>
      </c>
      <c r="O1562">
        <v>19.565667029052399</v>
      </c>
      <c r="P1562">
        <v>1.7286870989724801</v>
      </c>
      <c r="Q1562">
        <v>22.3642572421609</v>
      </c>
      <c r="R1562">
        <v>34.900395205568401</v>
      </c>
      <c r="S1562">
        <v>-3.0963467416052999</v>
      </c>
      <c r="T1562">
        <v>101.14423857972101</v>
      </c>
      <c r="U1562">
        <v>2.6648466331661801E-2</v>
      </c>
      <c r="V1562">
        <v>41.5521350158525</v>
      </c>
    </row>
    <row r="1563" spans="1:22" x14ac:dyDescent="0.25">
      <c r="A1563" t="str">
        <f t="shared" si="24"/>
        <v>Spain2018</v>
      </c>
      <c r="B1563" t="s">
        <v>209</v>
      </c>
      <c r="C1563" t="s">
        <v>210</v>
      </c>
      <c r="D1563">
        <v>2018</v>
      </c>
      <c r="E1563">
        <v>30602.421288111302</v>
      </c>
      <c r="F1563">
        <v>2.3954112447887801</v>
      </c>
      <c r="G1563">
        <v>1.6749813686379</v>
      </c>
      <c r="H1563">
        <v>10</v>
      </c>
      <c r="I1563">
        <v>19.202340840868299</v>
      </c>
      <c r="J1563">
        <v>15.255000000000001</v>
      </c>
      <c r="K1563">
        <v>31.725613639138299</v>
      </c>
      <c r="L1563">
        <v>27.752508504664</v>
      </c>
      <c r="M1563">
        <v>1.1873547023759801</v>
      </c>
      <c r="N1563">
        <v>51.21278722932</v>
      </c>
      <c r="O1563">
        <v>20.7061758213476</v>
      </c>
      <c r="P1563">
        <v>1.5808003454262001</v>
      </c>
      <c r="Q1563">
        <v>22.5830072433622</v>
      </c>
      <c r="R1563">
        <v>34.874813986253997</v>
      </c>
      <c r="S1563">
        <v>-2.5756510893558802</v>
      </c>
      <c r="T1563">
        <v>99.718282717796896</v>
      </c>
      <c r="U1563">
        <v>0.11131542183271199</v>
      </c>
      <c r="V1563">
        <v>43.174847514312503</v>
      </c>
    </row>
    <row r="1564" spans="1:22" x14ac:dyDescent="0.25">
      <c r="A1564" t="str">
        <f t="shared" si="24"/>
        <v>Spain2019</v>
      </c>
      <c r="B1564" t="s">
        <v>209</v>
      </c>
      <c r="C1564" t="s">
        <v>210</v>
      </c>
      <c r="D1564">
        <v>2019</v>
      </c>
      <c r="E1564">
        <v>29786.524568900699</v>
      </c>
      <c r="F1564">
        <v>1.9611785084171101</v>
      </c>
      <c r="G1564">
        <v>0.699518994458738</v>
      </c>
      <c r="H1564">
        <v>10</v>
      </c>
      <c r="I1564">
        <v>19.3818276285973</v>
      </c>
      <c r="J1564">
        <v>14.103999999999999</v>
      </c>
      <c r="K1564">
        <v>32.114922908806697</v>
      </c>
      <c r="L1564">
        <v>27.8396917947532</v>
      </c>
      <c r="M1564">
        <v>1.42867123652391</v>
      </c>
      <c r="N1564">
        <v>51.127313480927498</v>
      </c>
      <c r="O1564">
        <v>20.908822614480201</v>
      </c>
      <c r="P1564">
        <v>1.7280606830974601</v>
      </c>
      <c r="Q1564">
        <v>23.035930069375301</v>
      </c>
      <c r="R1564">
        <v>34.675562929226103</v>
      </c>
      <c r="S1564">
        <v>-3.04025651865263</v>
      </c>
      <c r="T1564">
        <v>97.578816073892696</v>
      </c>
      <c r="U1564">
        <v>0.119822532710294</v>
      </c>
      <c r="V1564">
        <v>43.337893357465198</v>
      </c>
    </row>
    <row r="1565" spans="1:22" x14ac:dyDescent="0.25">
      <c r="A1565" t="str">
        <f t="shared" si="24"/>
        <v>Spain2020</v>
      </c>
      <c r="B1565" t="s">
        <v>209</v>
      </c>
      <c r="C1565" t="s">
        <v>210</v>
      </c>
      <c r="D1565">
        <v>2020</v>
      </c>
      <c r="E1565">
        <v>27233.942646160802</v>
      </c>
      <c r="F1565">
        <v>-10.940070635037101</v>
      </c>
      <c r="G1565">
        <v>-0.32275301729973899</v>
      </c>
      <c r="H1565">
        <v>10</v>
      </c>
      <c r="I1565">
        <v>19.5596160856506</v>
      </c>
      <c r="J1565">
        <v>15.532</v>
      </c>
      <c r="K1565">
        <v>40.369407393107103</v>
      </c>
      <c r="L1565">
        <v>29.223335877876099</v>
      </c>
      <c r="M1565">
        <v>1.1339145416404199</v>
      </c>
      <c r="N1565">
        <v>50.964187073164801</v>
      </c>
      <c r="O1565">
        <v>20.626648270389801</v>
      </c>
      <c r="P1565">
        <v>2.2660541461691501</v>
      </c>
      <c r="Q1565">
        <v>21.422299729351099</v>
      </c>
      <c r="R1565">
        <v>30.481024854456301</v>
      </c>
      <c r="S1565">
        <v>-10.0245834713349</v>
      </c>
      <c r="T1565">
        <v>119.178980689222</v>
      </c>
      <c r="U1565">
        <v>-0.36838134970298603</v>
      </c>
      <c r="V1565">
        <v>33.981060610846598</v>
      </c>
    </row>
    <row r="1566" spans="1:22" x14ac:dyDescent="0.25">
      <c r="A1566" t="str">
        <f t="shared" si="24"/>
        <v>Spain2021</v>
      </c>
      <c r="B1566" t="s">
        <v>209</v>
      </c>
      <c r="C1566" t="s">
        <v>210</v>
      </c>
      <c r="D1566">
        <v>2021</v>
      </c>
      <c r="E1566">
        <v>30799.477593777501</v>
      </c>
      <c r="F1566">
        <v>6.6831442047300103</v>
      </c>
      <c r="G1566">
        <v>3.0931351197641899</v>
      </c>
      <c r="H1566">
        <v>10</v>
      </c>
      <c r="I1566">
        <v>19.813382294351101</v>
      </c>
      <c r="J1566">
        <v>14.914</v>
      </c>
      <c r="K1566">
        <v>38.362118506743201</v>
      </c>
      <c r="L1566">
        <v>30.1223659907048</v>
      </c>
      <c r="M1566">
        <v>2.5561123650161299</v>
      </c>
      <c r="N1566">
        <v>50.878943744210297</v>
      </c>
      <c r="O1566">
        <v>21.8740337716536</v>
      </c>
      <c r="P1566">
        <v>2.03235175101754</v>
      </c>
      <c r="Q1566">
        <v>22.6413419908449</v>
      </c>
      <c r="R1566">
        <v>33.757084325530101</v>
      </c>
      <c r="S1566">
        <v>-6.6583351814769003</v>
      </c>
      <c r="T1566">
        <v>115.593914157643</v>
      </c>
      <c r="U1566">
        <v>2.6996444376702001E-2</v>
      </c>
      <c r="V1566">
        <v>41.558804304000802</v>
      </c>
    </row>
    <row r="1567" spans="1:22" x14ac:dyDescent="0.25">
      <c r="A1567" t="str">
        <f t="shared" si="24"/>
        <v>Spain2022</v>
      </c>
      <c r="B1567" t="s">
        <v>209</v>
      </c>
      <c r="C1567" t="s">
        <v>210</v>
      </c>
      <c r="D1567">
        <v>2022</v>
      </c>
      <c r="E1567">
        <v>30319.498719661598</v>
      </c>
      <c r="F1567">
        <v>6.3703171212960097</v>
      </c>
      <c r="G1567">
        <v>8.3905763411862608</v>
      </c>
      <c r="H1567">
        <v>10</v>
      </c>
      <c r="I1567">
        <v>20.1879992491906</v>
      </c>
      <c r="J1567">
        <v>13.032999999999999</v>
      </c>
      <c r="K1567">
        <v>35.337820698717799</v>
      </c>
      <c r="L1567">
        <v>29.742932254156099</v>
      </c>
      <c r="M1567">
        <v>4.6938395310693899</v>
      </c>
      <c r="N1567">
        <v>51.020695883890603</v>
      </c>
      <c r="O1567">
        <v>22.689613718807799</v>
      </c>
      <c r="P1567">
        <v>1.7498738424217899</v>
      </c>
      <c r="Q1567">
        <v>23.108186746982302</v>
      </c>
      <c r="R1567">
        <v>39.671682427683599</v>
      </c>
      <c r="S1567">
        <v>-4.58657584367048</v>
      </c>
      <c r="T1567">
        <v>109.22628997218401</v>
      </c>
      <c r="U1567">
        <v>0.16353671367803699</v>
      </c>
      <c r="V1567">
        <v>44.1757119302072</v>
      </c>
    </row>
    <row r="1568" spans="1:22" x14ac:dyDescent="0.25">
      <c r="A1568" t="str">
        <f t="shared" si="24"/>
        <v>Spain2023</v>
      </c>
      <c r="B1568" t="s">
        <v>209</v>
      </c>
      <c r="C1568" t="s">
        <v>210</v>
      </c>
      <c r="D1568">
        <v>2023</v>
      </c>
      <c r="E1568">
        <v>33493.222540911098</v>
      </c>
      <c r="F1568">
        <v>2.4608579680558198</v>
      </c>
      <c r="G1568">
        <v>3.5323613349243201</v>
      </c>
      <c r="H1568">
        <v>10</v>
      </c>
      <c r="I1568">
        <v>20.653707523877401</v>
      </c>
      <c r="J1568">
        <v>12.179</v>
      </c>
      <c r="K1568">
        <v>34.044149901085703</v>
      </c>
      <c r="L1568">
        <v>29.649256456804501</v>
      </c>
      <c r="M1568">
        <v>6.2452048025848104</v>
      </c>
      <c r="N1568">
        <v>51.314222840243197</v>
      </c>
      <c r="O1568">
        <v>21.120926502960099</v>
      </c>
      <c r="P1568">
        <v>1.83602597176732</v>
      </c>
      <c r="Q1568">
        <v>23.850490935783</v>
      </c>
      <c r="R1568">
        <v>37.8166476493913</v>
      </c>
      <c r="S1568">
        <v>-3.3401190176536799</v>
      </c>
      <c r="T1568">
        <v>105.073740469941</v>
      </c>
      <c r="U1568">
        <v>0.24717367039326099</v>
      </c>
      <c r="V1568">
        <v>45.7786836467616</v>
      </c>
    </row>
    <row r="1569" spans="1:22" x14ac:dyDescent="0.25">
      <c r="A1569" t="str">
        <f t="shared" si="24"/>
        <v>Spain2024</v>
      </c>
      <c r="B1569" t="s">
        <v>209</v>
      </c>
      <c r="C1569" t="s">
        <v>210</v>
      </c>
      <c r="D1569">
        <v>2024</v>
      </c>
      <c r="E1569">
        <v>35326.768306927799</v>
      </c>
      <c r="F1569">
        <v>3.4552540563019098</v>
      </c>
      <c r="G1569">
        <v>2.7741782653477198</v>
      </c>
      <c r="H1569">
        <v>10</v>
      </c>
      <c r="I1569">
        <v>21.1454438932121</v>
      </c>
      <c r="J1569">
        <v>11.4</v>
      </c>
      <c r="K1569">
        <v>33.350107388782902</v>
      </c>
      <c r="L1569">
        <v>29.670582627185102</v>
      </c>
      <c r="M1569">
        <v>2.89236477965287</v>
      </c>
      <c r="N1569">
        <v>51.669551975503303</v>
      </c>
      <c r="O1569">
        <v>21.173220098724901</v>
      </c>
      <c r="P1569">
        <v>1.8246587180755001</v>
      </c>
      <c r="Q1569">
        <v>24.351845721174801</v>
      </c>
      <c r="R1569">
        <v>37.055879272170799</v>
      </c>
      <c r="S1569">
        <v>-3.2155827212684902</v>
      </c>
      <c r="T1569">
        <v>101.647813125262</v>
      </c>
      <c r="U1569">
        <v>0.30638537514007602</v>
      </c>
      <c r="V1569">
        <v>46.913525129830902</v>
      </c>
    </row>
    <row r="1570" spans="1:22" x14ac:dyDescent="0.25">
      <c r="A1570" t="str">
        <f t="shared" si="24"/>
        <v>Spain2025</v>
      </c>
      <c r="B1570" t="s">
        <v>209</v>
      </c>
      <c r="C1570" t="s">
        <v>210</v>
      </c>
      <c r="D1570">
        <v>2025</v>
      </c>
      <c r="E1570">
        <v>29786.524568900699</v>
      </c>
      <c r="F1570">
        <v>2.3954112447887801</v>
      </c>
      <c r="G1570">
        <v>1.79986457728768</v>
      </c>
      <c r="H1570">
        <v>10</v>
      </c>
      <c r="I1570">
        <v>18.992820043007299</v>
      </c>
      <c r="J1570">
        <v>10.375999999999999</v>
      </c>
      <c r="K1570">
        <v>33.350107388782902</v>
      </c>
      <c r="L1570">
        <v>27.8396917947532</v>
      </c>
      <c r="M1570">
        <v>1.1339145416404199</v>
      </c>
      <c r="N1570">
        <v>50.878943744210297</v>
      </c>
      <c r="O1570">
        <v>20.7061758213476</v>
      </c>
      <c r="P1570">
        <v>1.7280606830974601</v>
      </c>
      <c r="Q1570">
        <v>22.209674578857602</v>
      </c>
      <c r="R1570">
        <v>33.5770329849408</v>
      </c>
      <c r="S1570">
        <v>-2.4958131905449799</v>
      </c>
      <c r="T1570">
        <v>100.432592657415</v>
      </c>
      <c r="U1570">
        <v>0.20930505399601901</v>
      </c>
      <c r="V1570">
        <v>45.052900172399703</v>
      </c>
    </row>
    <row r="1571" spans="1:22" x14ac:dyDescent="0.25">
      <c r="A1571" t="str">
        <f t="shared" si="24"/>
        <v>Sri Lanka2010</v>
      </c>
      <c r="B1571" t="s">
        <v>211</v>
      </c>
      <c r="C1571" t="s">
        <v>212</v>
      </c>
      <c r="D1571">
        <v>2010</v>
      </c>
      <c r="E1571">
        <v>2808.3624450370899</v>
      </c>
      <c r="F1571">
        <v>8.0159673705513903</v>
      </c>
      <c r="G1571">
        <v>6.2176488930462002</v>
      </c>
      <c r="H1571">
        <v>9</v>
      </c>
      <c r="I1571">
        <v>7.4272277875725301</v>
      </c>
      <c r="J1571">
        <v>4.7839999999999998</v>
      </c>
      <c r="K1571">
        <v>16.300848744151601</v>
      </c>
      <c r="L1571">
        <v>12.3276099679489</v>
      </c>
      <c r="M1571">
        <v>26.934876175848501</v>
      </c>
      <c r="N1571">
        <v>48.913153949334401</v>
      </c>
      <c r="O1571">
        <v>34.192257434876197</v>
      </c>
      <c r="P1571">
        <v>5.3435443177697204</v>
      </c>
      <c r="Q1571">
        <v>32.041351268961598</v>
      </c>
      <c r="R1571">
        <v>20.058791928169398</v>
      </c>
      <c r="S1571">
        <v>-6.7275626362530696</v>
      </c>
      <c r="T1571">
        <v>68.730763629737893</v>
      </c>
      <c r="U1571">
        <v>-0.65502785314637402</v>
      </c>
      <c r="V1571">
        <v>28.4872423788721</v>
      </c>
    </row>
    <row r="1572" spans="1:22" x14ac:dyDescent="0.25">
      <c r="A1572" t="str">
        <f t="shared" si="24"/>
        <v>Sri Lanka2011</v>
      </c>
      <c r="B1572" t="s">
        <v>211</v>
      </c>
      <c r="C1572" t="s">
        <v>212</v>
      </c>
      <c r="D1572">
        <v>2011</v>
      </c>
      <c r="E1572">
        <v>3224.9574515049599</v>
      </c>
      <c r="F1572">
        <v>8.6694830119313995</v>
      </c>
      <c r="G1572">
        <v>6.7167684358853998</v>
      </c>
      <c r="H1572">
        <v>9</v>
      </c>
      <c r="I1572">
        <v>7.6800481392588598</v>
      </c>
      <c r="J1572">
        <v>4.1180000000000003</v>
      </c>
      <c r="K1572">
        <v>15.578503623106799</v>
      </c>
      <c r="L1572">
        <v>12.4783946176924</v>
      </c>
      <c r="M1572">
        <v>3.9799293433703902</v>
      </c>
      <c r="N1572">
        <v>49.239494068686703</v>
      </c>
      <c r="O1572">
        <v>34.192257434876197</v>
      </c>
      <c r="P1572">
        <v>3.4607960155479498</v>
      </c>
      <c r="Q1572">
        <v>32.041351268961598</v>
      </c>
      <c r="R1572">
        <v>20.058791928169398</v>
      </c>
      <c r="S1572">
        <v>-6.0094329900485297</v>
      </c>
      <c r="T1572">
        <v>69.428037292500704</v>
      </c>
      <c r="U1572">
        <v>-0.62330220380432599</v>
      </c>
      <c r="V1572">
        <v>29.095290789310901</v>
      </c>
    </row>
    <row r="1573" spans="1:22" x14ac:dyDescent="0.25">
      <c r="A1573" t="str">
        <f t="shared" si="24"/>
        <v>Sri Lanka2012</v>
      </c>
      <c r="B1573" t="s">
        <v>211</v>
      </c>
      <c r="C1573" t="s">
        <v>212</v>
      </c>
      <c r="D1573">
        <v>2012</v>
      </c>
      <c r="E1573">
        <v>3327.7761369128302</v>
      </c>
      <c r="F1573">
        <v>8.6321813766268498</v>
      </c>
      <c r="G1573">
        <v>7.5429137323943696</v>
      </c>
      <c r="H1573">
        <v>9</v>
      </c>
      <c r="I1573">
        <v>7.9704048162215599</v>
      </c>
      <c r="J1573">
        <v>3.88</v>
      </c>
      <c r="K1573">
        <v>15.0683571124812</v>
      </c>
      <c r="L1573">
        <v>11.6875492526828</v>
      </c>
      <c r="M1573">
        <v>10.463447180026799</v>
      </c>
      <c r="N1573">
        <v>49.586002914634399</v>
      </c>
      <c r="O1573">
        <v>34.192257434876197</v>
      </c>
      <c r="P1573">
        <v>3.6889781526359502</v>
      </c>
      <c r="Q1573">
        <v>32.041351268961598</v>
      </c>
      <c r="R1573">
        <v>20.058791928169398</v>
      </c>
      <c r="S1573">
        <v>-5.4393995706673897</v>
      </c>
      <c r="T1573">
        <v>67.503913047394505</v>
      </c>
      <c r="U1573">
        <v>-0.59578248648519005</v>
      </c>
      <c r="V1573">
        <v>29.622729020478801</v>
      </c>
    </row>
    <row r="1574" spans="1:22" x14ac:dyDescent="0.25">
      <c r="A1574" t="str">
        <f t="shared" si="24"/>
        <v>Sri Lanka2013</v>
      </c>
      <c r="B1574" t="s">
        <v>211</v>
      </c>
      <c r="C1574" t="s">
        <v>212</v>
      </c>
      <c r="D1574">
        <v>2013</v>
      </c>
      <c r="E1574">
        <v>3739.4318110020199</v>
      </c>
      <c r="F1574">
        <v>4.0517463302786902</v>
      </c>
      <c r="G1574">
        <v>6.9084503482845196</v>
      </c>
      <c r="H1574">
        <v>9</v>
      </c>
      <c r="I1574">
        <v>8.2923350612840299</v>
      </c>
      <c r="J1574">
        <v>4.1859999999999999</v>
      </c>
      <c r="K1574">
        <v>14.1567195342154</v>
      </c>
      <c r="L1574">
        <v>11.4450227733131</v>
      </c>
      <c r="M1574">
        <v>6.2528852576767804</v>
      </c>
      <c r="N1574">
        <v>49.968454534460299</v>
      </c>
      <c r="O1574">
        <v>34.192257434876197</v>
      </c>
      <c r="P1574">
        <v>3.8476038940560202</v>
      </c>
      <c r="Q1574">
        <v>32.041351268961598</v>
      </c>
      <c r="R1574">
        <v>20.058791928169398</v>
      </c>
      <c r="S1574">
        <v>-5.0047341672041403</v>
      </c>
      <c r="T1574">
        <v>69.456927664458107</v>
      </c>
      <c r="U1574">
        <v>-0.63620931669902103</v>
      </c>
      <c r="V1574">
        <v>28.847915254318401</v>
      </c>
    </row>
    <row r="1575" spans="1:22" x14ac:dyDescent="0.25">
      <c r="A1575" t="str">
        <f t="shared" si="24"/>
        <v>Sri Lanka2014</v>
      </c>
      <c r="B1575" t="s">
        <v>211</v>
      </c>
      <c r="C1575" t="s">
        <v>212</v>
      </c>
      <c r="D1575">
        <v>2014</v>
      </c>
      <c r="E1575">
        <v>3972.04375736464</v>
      </c>
      <c r="F1575">
        <v>6.3779788972686999</v>
      </c>
      <c r="G1575">
        <v>3.1790022823605999</v>
      </c>
      <c r="H1575">
        <v>9</v>
      </c>
      <c r="I1575">
        <v>8.6356760631046203</v>
      </c>
      <c r="J1575">
        <v>4.157</v>
      </c>
      <c r="K1575">
        <v>14.203291823048</v>
      </c>
      <c r="L1575">
        <v>10.9286954833971</v>
      </c>
      <c r="M1575">
        <v>1.92062880371155</v>
      </c>
      <c r="N1575">
        <v>50.393822923686898</v>
      </c>
      <c r="O1575">
        <v>34.192257434876197</v>
      </c>
      <c r="P1575">
        <v>3.92468380375978</v>
      </c>
      <c r="Q1575">
        <v>32.041351268961598</v>
      </c>
      <c r="R1575">
        <v>20.058791928169398</v>
      </c>
      <c r="S1575">
        <v>-5.9916446038871003</v>
      </c>
      <c r="T1575">
        <v>69.560522433199097</v>
      </c>
      <c r="U1575">
        <v>-0.65418566711399695</v>
      </c>
      <c r="V1575">
        <v>28.503383573423001</v>
      </c>
    </row>
    <row r="1576" spans="1:22" x14ac:dyDescent="0.25">
      <c r="A1576" t="str">
        <f t="shared" si="24"/>
        <v>Sri Lanka2015</v>
      </c>
      <c r="B1576" t="s">
        <v>211</v>
      </c>
      <c r="C1576" t="s">
        <v>212</v>
      </c>
      <c r="D1576">
        <v>2015</v>
      </c>
      <c r="E1576">
        <v>4057.7158346230999</v>
      </c>
      <c r="F1576">
        <v>4.2059554744924101</v>
      </c>
      <c r="G1576">
        <v>3.76836783062096</v>
      </c>
      <c r="H1576">
        <v>9</v>
      </c>
      <c r="I1576">
        <v>8.9905456157639208</v>
      </c>
      <c r="J1576">
        <v>4.5190000000000001</v>
      </c>
      <c r="K1576">
        <v>17.088055654682801</v>
      </c>
      <c r="L1576">
        <v>12.5770043165448</v>
      </c>
      <c r="M1576">
        <v>3.0143808039816</v>
      </c>
      <c r="N1576">
        <v>50.791865867860402</v>
      </c>
      <c r="O1576">
        <v>34.275798809822099</v>
      </c>
      <c r="P1576">
        <v>3.48457714580903</v>
      </c>
      <c r="Q1576">
        <v>32.047899683791996</v>
      </c>
      <c r="R1576">
        <v>19.893383820225498</v>
      </c>
      <c r="S1576">
        <v>-6.6389631111368903</v>
      </c>
      <c r="T1576">
        <v>76.3337899313332</v>
      </c>
      <c r="U1576">
        <v>-0.68780874568650896</v>
      </c>
      <c r="V1576">
        <v>27.858969356407201</v>
      </c>
    </row>
    <row r="1577" spans="1:22" x14ac:dyDescent="0.25">
      <c r="A1577" t="str">
        <f t="shared" si="24"/>
        <v>Sri Lanka2016</v>
      </c>
      <c r="B1577" t="s">
        <v>211</v>
      </c>
      <c r="C1577" t="s">
        <v>212</v>
      </c>
      <c r="D1577">
        <v>2016</v>
      </c>
      <c r="E1577">
        <v>4149.1919077559296</v>
      </c>
      <c r="F1577">
        <v>5.0536248899443601</v>
      </c>
      <c r="G1577">
        <v>3.9588884659307002</v>
      </c>
      <c r="H1577">
        <v>11</v>
      </c>
      <c r="I1577">
        <v>9.3455080143796803</v>
      </c>
      <c r="J1577">
        <v>4.242</v>
      </c>
      <c r="K1577">
        <v>15.6608133524657</v>
      </c>
      <c r="L1577">
        <v>13.1558457997857</v>
      </c>
      <c r="M1577">
        <v>5.4432217187956802</v>
      </c>
      <c r="N1577">
        <v>51.111850199985099</v>
      </c>
      <c r="O1577">
        <v>36.453044458329003</v>
      </c>
      <c r="P1577">
        <v>2.79773151721733</v>
      </c>
      <c r="Q1577">
        <v>34.467818336008797</v>
      </c>
      <c r="R1577">
        <v>19.8240360429518</v>
      </c>
      <c r="S1577">
        <v>-4.9974814590273802</v>
      </c>
      <c r="T1577">
        <v>75.000268632936496</v>
      </c>
      <c r="U1577">
        <v>-0.49652397341469301</v>
      </c>
      <c r="V1577">
        <v>31.5251008346638</v>
      </c>
    </row>
    <row r="1578" spans="1:22" x14ac:dyDescent="0.25">
      <c r="A1578" t="str">
        <f t="shared" si="24"/>
        <v>Sri Lanka2017</v>
      </c>
      <c r="B1578" t="s">
        <v>211</v>
      </c>
      <c r="C1578" t="s">
        <v>212</v>
      </c>
      <c r="D1578">
        <v>2017</v>
      </c>
      <c r="E1578">
        <v>4398.8882806871497</v>
      </c>
      <c r="F1578">
        <v>6.4606812706575303</v>
      </c>
      <c r="G1578">
        <v>7.7041376785060196</v>
      </c>
      <c r="H1578">
        <v>11</v>
      </c>
      <c r="I1578">
        <v>9.6936858738612699</v>
      </c>
      <c r="J1578">
        <v>4.0460000000000003</v>
      </c>
      <c r="K1578">
        <v>15.3308825075313</v>
      </c>
      <c r="L1578">
        <v>12.7301741326834</v>
      </c>
      <c r="M1578">
        <v>5.4728452962510197</v>
      </c>
      <c r="N1578">
        <v>51.338057618654297</v>
      </c>
      <c r="O1578">
        <v>39.726630522663797</v>
      </c>
      <c r="P1578">
        <v>3.4241305335599801</v>
      </c>
      <c r="Q1578">
        <v>37.286137054383403</v>
      </c>
      <c r="R1578">
        <v>20.224200036113299</v>
      </c>
      <c r="S1578">
        <v>-5.0981979338888603</v>
      </c>
      <c r="T1578">
        <v>72.260278709200094</v>
      </c>
      <c r="U1578">
        <v>-0.47953375728346098</v>
      </c>
      <c r="V1578">
        <v>31.850732433255299</v>
      </c>
    </row>
    <row r="1579" spans="1:22" x14ac:dyDescent="0.25">
      <c r="A1579" t="str">
        <f t="shared" si="24"/>
        <v>Sri Lanka2018</v>
      </c>
      <c r="B1579" t="s">
        <v>211</v>
      </c>
      <c r="C1579" t="s">
        <v>212</v>
      </c>
      <c r="D1579">
        <v>2018</v>
      </c>
      <c r="E1579">
        <v>4358.5609590604699</v>
      </c>
      <c r="F1579">
        <v>2.3100842554584502</v>
      </c>
      <c r="G1579">
        <v>2.135037737132</v>
      </c>
      <c r="H1579">
        <v>11</v>
      </c>
      <c r="I1579">
        <v>10.035973385841899</v>
      </c>
      <c r="J1579">
        <v>4.3179999999999996</v>
      </c>
      <c r="K1579">
        <v>15.2847949273464</v>
      </c>
      <c r="L1579">
        <v>12.506396953209601</v>
      </c>
      <c r="M1579">
        <v>4.2953061925730101</v>
      </c>
      <c r="N1579">
        <v>51.489910611165698</v>
      </c>
      <c r="O1579">
        <v>38.056774775053299</v>
      </c>
      <c r="P1579">
        <v>2.8177324793296101</v>
      </c>
      <c r="Q1579">
        <v>35.126756218518601</v>
      </c>
      <c r="R1579">
        <v>21.4462486146411</v>
      </c>
      <c r="S1579">
        <v>-4.95552547320748</v>
      </c>
      <c r="T1579">
        <v>83.584943130292203</v>
      </c>
      <c r="U1579">
        <v>-0.546790426294124</v>
      </c>
      <c r="V1579">
        <v>30.561702530591202</v>
      </c>
    </row>
    <row r="1580" spans="1:22" x14ac:dyDescent="0.25">
      <c r="A1580" t="str">
        <f t="shared" si="24"/>
        <v>Sri Lanka2019</v>
      </c>
      <c r="B1580" t="s">
        <v>211</v>
      </c>
      <c r="C1580" t="s">
        <v>212</v>
      </c>
      <c r="D1580">
        <v>2019</v>
      </c>
      <c r="E1580">
        <v>4081.9477272200302</v>
      </c>
      <c r="F1580">
        <v>-0.22048388683127501</v>
      </c>
      <c r="G1580">
        <v>3.5283935823181101</v>
      </c>
      <c r="H1580">
        <v>11</v>
      </c>
      <c r="I1580">
        <v>10.375460862710099</v>
      </c>
      <c r="J1580">
        <v>4.67</v>
      </c>
      <c r="K1580">
        <v>15.934064514130601</v>
      </c>
      <c r="L1580">
        <v>11.884243117178499</v>
      </c>
      <c r="M1580">
        <v>3.8705276123282002</v>
      </c>
      <c r="N1580">
        <v>51.583938484855899</v>
      </c>
      <c r="O1580">
        <v>34.108716059930302</v>
      </c>
      <c r="P1580">
        <v>3.36492073802706</v>
      </c>
      <c r="Q1580">
        <v>32.0348028541313</v>
      </c>
      <c r="R1580">
        <v>21.8235309247363</v>
      </c>
      <c r="S1580">
        <v>-7.5192279056020803</v>
      </c>
      <c r="T1580">
        <v>82.594027710913494</v>
      </c>
      <c r="U1580">
        <v>-0.66857130571443402</v>
      </c>
      <c r="V1580">
        <v>28.227670865707001</v>
      </c>
    </row>
    <row r="1581" spans="1:22" x14ac:dyDescent="0.25">
      <c r="A1581" t="str">
        <f t="shared" si="24"/>
        <v>Sri Lanka2020</v>
      </c>
      <c r="B1581" t="s">
        <v>211</v>
      </c>
      <c r="C1581" t="s">
        <v>212</v>
      </c>
      <c r="D1581">
        <v>2020</v>
      </c>
      <c r="E1581">
        <v>3847.6013769563901</v>
      </c>
      <c r="F1581">
        <v>-4.6245150374950201</v>
      </c>
      <c r="G1581">
        <v>6.1539450839173799</v>
      </c>
      <c r="H1581">
        <v>11</v>
      </c>
      <c r="I1581">
        <v>10.7157108470966</v>
      </c>
      <c r="J1581">
        <v>5.3639999999999999</v>
      </c>
      <c r="K1581">
        <v>19.0691715859524</v>
      </c>
      <c r="L1581">
        <v>8.7430486547737303</v>
      </c>
      <c r="M1581">
        <v>3.10430535364954</v>
      </c>
      <c r="N1581">
        <v>51.637297475933202</v>
      </c>
      <c r="O1581">
        <v>32.871123147451897</v>
      </c>
      <c r="P1581">
        <v>3.2874468562880299</v>
      </c>
      <c r="Q1581">
        <v>31.3529726551217</v>
      </c>
      <c r="R1581">
        <v>15.4576399173458</v>
      </c>
      <c r="S1581">
        <v>-13.3580640913802</v>
      </c>
      <c r="T1581">
        <v>96.881066693731697</v>
      </c>
      <c r="U1581">
        <v>-1.0603648187715999</v>
      </c>
      <c r="V1581">
        <v>20.718622894264001</v>
      </c>
    </row>
    <row r="1582" spans="1:22" x14ac:dyDescent="0.25">
      <c r="A1582" t="str">
        <f t="shared" si="24"/>
        <v>Sri Lanka2021</v>
      </c>
      <c r="B1582" t="s">
        <v>211</v>
      </c>
      <c r="C1582" t="s">
        <v>212</v>
      </c>
      <c r="D1582">
        <v>2021</v>
      </c>
      <c r="E1582">
        <v>3996.9624001490902</v>
      </c>
      <c r="F1582">
        <v>4.2074764951157002</v>
      </c>
      <c r="G1582">
        <v>7.0147807123819499</v>
      </c>
      <c r="H1582">
        <v>11</v>
      </c>
      <c r="I1582">
        <v>11.045644978857601</v>
      </c>
      <c r="J1582">
        <v>4.9809999999999999</v>
      </c>
      <c r="K1582">
        <v>17.4670693340871</v>
      </c>
      <c r="L1582">
        <v>8.2729965691374296</v>
      </c>
      <c r="M1582">
        <v>8.0210916448161207</v>
      </c>
      <c r="N1582">
        <v>51.656779816478597</v>
      </c>
      <c r="O1582">
        <v>36.733098374247298</v>
      </c>
      <c r="P1582">
        <v>1.5949945032514199</v>
      </c>
      <c r="Q1582">
        <v>33.004296134316199</v>
      </c>
      <c r="R1582">
        <v>16.9214215895555</v>
      </c>
      <c r="S1582">
        <v>-11.6834697605803</v>
      </c>
      <c r="T1582">
        <v>102.668628484141</v>
      </c>
      <c r="U1582">
        <v>-0.94667159821814495</v>
      </c>
      <c r="V1582">
        <v>22.897647862038799</v>
      </c>
    </row>
    <row r="1583" spans="1:22" x14ac:dyDescent="0.25">
      <c r="A1583" t="str">
        <f t="shared" si="24"/>
        <v>Sri Lanka2022</v>
      </c>
      <c r="B1583" t="s">
        <v>211</v>
      </c>
      <c r="C1583" t="s">
        <v>212</v>
      </c>
      <c r="D1583">
        <v>2022</v>
      </c>
      <c r="E1583">
        <v>3342.6365025385498</v>
      </c>
      <c r="F1583">
        <v>-7.3491930130674499</v>
      </c>
      <c r="G1583">
        <v>49.7211021114327</v>
      </c>
      <c r="H1583">
        <v>11</v>
      </c>
      <c r="I1583">
        <v>11.3824347880542</v>
      </c>
      <c r="J1583">
        <v>4.5279999999999996</v>
      </c>
      <c r="K1583">
        <v>15.7428689340544</v>
      </c>
      <c r="L1583">
        <v>8.2249540968920591</v>
      </c>
      <c r="M1583">
        <v>47.463884820827097</v>
      </c>
      <c r="N1583">
        <v>51.682319056553901</v>
      </c>
      <c r="O1583">
        <v>27.2717494247654</v>
      </c>
      <c r="P1583">
        <v>1.0642979382817199</v>
      </c>
      <c r="Q1583">
        <v>25.8596702506672</v>
      </c>
      <c r="R1583">
        <v>21.5595624620967</v>
      </c>
      <c r="S1583">
        <v>-10.2229582682728</v>
      </c>
      <c r="T1583">
        <v>115.942464721142</v>
      </c>
      <c r="U1583">
        <v>-0.99470155599114096</v>
      </c>
      <c r="V1583">
        <v>21.9771138435718</v>
      </c>
    </row>
    <row r="1584" spans="1:22" x14ac:dyDescent="0.25">
      <c r="A1584" t="str">
        <f t="shared" si="24"/>
        <v>Sri Lanka2023</v>
      </c>
      <c r="B1584" t="s">
        <v>211</v>
      </c>
      <c r="C1584" t="s">
        <v>212</v>
      </c>
      <c r="D1584">
        <v>2023</v>
      </c>
      <c r="E1584">
        <v>3798.8901657301099</v>
      </c>
      <c r="F1584">
        <v>-2.3298481898333998</v>
      </c>
      <c r="G1584">
        <v>16.541174227983198</v>
      </c>
      <c r="H1584">
        <v>11</v>
      </c>
      <c r="I1584">
        <v>11.738709991551801</v>
      </c>
      <c r="J1584">
        <v>4.5279999999999996</v>
      </c>
      <c r="K1584">
        <v>18.113506805919702</v>
      </c>
      <c r="L1584">
        <v>11.1190517645773</v>
      </c>
      <c r="M1584">
        <v>16.667474244168101</v>
      </c>
      <c r="N1584">
        <v>51.745033375022999</v>
      </c>
      <c r="O1584">
        <v>24.5850342832275</v>
      </c>
      <c r="P1584">
        <v>2.3831200889239401</v>
      </c>
      <c r="Q1584">
        <v>26.356429931692499</v>
      </c>
      <c r="R1584">
        <v>20.689136230193999</v>
      </c>
      <c r="S1584">
        <v>-8.3234258523442399</v>
      </c>
      <c r="T1584">
        <v>110.375514625202</v>
      </c>
      <c r="U1584">
        <v>-0.727906583429488</v>
      </c>
      <c r="V1584">
        <v>27.0904610041027</v>
      </c>
    </row>
    <row r="1585" spans="1:22" x14ac:dyDescent="0.25">
      <c r="A1585" t="str">
        <f t="shared" si="24"/>
        <v>Sri Lanka2024</v>
      </c>
      <c r="B1585" t="s">
        <v>211</v>
      </c>
      <c r="C1585" t="s">
        <v>212</v>
      </c>
      <c r="D1585">
        <v>2024</v>
      </c>
      <c r="E1585">
        <v>4515.56787322732</v>
      </c>
      <c r="F1585">
        <v>5.0087193095715898</v>
      </c>
      <c r="G1585">
        <v>-0.42936004906973002</v>
      </c>
      <c r="H1585">
        <v>11</v>
      </c>
      <c r="I1585">
        <v>12.103939632345501</v>
      </c>
      <c r="J1585">
        <v>4.2389999999999999</v>
      </c>
      <c r="K1585">
        <v>15.701841143259999</v>
      </c>
      <c r="L1585">
        <v>11.7858961849306</v>
      </c>
      <c r="M1585">
        <v>3.8390306898809001</v>
      </c>
      <c r="N1585">
        <v>51.823920275677203</v>
      </c>
      <c r="O1585">
        <v>26.9589666223169</v>
      </c>
      <c r="P1585">
        <v>2.86493580597896</v>
      </c>
      <c r="Q1585">
        <v>28.350115821836201</v>
      </c>
      <c r="R1585">
        <v>19.886320716899501</v>
      </c>
      <c r="S1585">
        <v>-5.4255956908127496</v>
      </c>
      <c r="T1585">
        <v>100.84003258692999</v>
      </c>
      <c r="U1585">
        <v>-0.489936248435965</v>
      </c>
      <c r="V1585">
        <v>31.651360053459801</v>
      </c>
    </row>
    <row r="1586" spans="1:22" x14ac:dyDescent="0.25">
      <c r="A1586" t="str">
        <f t="shared" si="24"/>
        <v>Sri Lanka2025</v>
      </c>
      <c r="B1586" t="s">
        <v>211</v>
      </c>
      <c r="C1586" t="s">
        <v>212</v>
      </c>
      <c r="D1586">
        <v>2025</v>
      </c>
      <c r="E1586">
        <v>3972.04375736464</v>
      </c>
      <c r="F1586">
        <v>4.2074764951157002</v>
      </c>
      <c r="G1586">
        <v>6.2176488930462002</v>
      </c>
      <c r="H1586">
        <v>11</v>
      </c>
      <c r="I1586">
        <v>9.6936858738612699</v>
      </c>
      <c r="J1586">
        <v>4.0049999999999999</v>
      </c>
      <c r="K1586">
        <v>15.701841143259999</v>
      </c>
      <c r="L1586">
        <v>11.7858961849306</v>
      </c>
      <c r="M1586">
        <v>5.4432217187956802</v>
      </c>
      <c r="N1586">
        <v>51.338057618654297</v>
      </c>
      <c r="O1586">
        <v>34.192257434876197</v>
      </c>
      <c r="P1586">
        <v>3.36492073802706</v>
      </c>
      <c r="Q1586">
        <v>32.041351268961598</v>
      </c>
      <c r="R1586">
        <v>20.058791928169398</v>
      </c>
      <c r="S1586">
        <v>-2.3606450632623401</v>
      </c>
      <c r="T1586">
        <v>96.592914041536801</v>
      </c>
      <c r="U1586">
        <v>-0.443416828239387</v>
      </c>
      <c r="V1586">
        <v>32.542943365123399</v>
      </c>
    </row>
    <row r="1587" spans="1:22" x14ac:dyDescent="0.25">
      <c r="A1587" t="str">
        <f t="shared" si="24"/>
        <v>Sudan2010</v>
      </c>
      <c r="B1587" t="s">
        <v>213</v>
      </c>
      <c r="C1587" t="s">
        <v>214</v>
      </c>
      <c r="D1587">
        <v>2010</v>
      </c>
      <c r="E1587">
        <v>1305.63598632813</v>
      </c>
      <c r="F1587">
        <v>3.85824195230107</v>
      </c>
      <c r="G1587">
        <v>12.977666389801399</v>
      </c>
      <c r="H1587">
        <v>8</v>
      </c>
      <c r="I1587">
        <v>2.5866399344142499</v>
      </c>
      <c r="J1587">
        <v>15.167999999999999</v>
      </c>
      <c r="K1587">
        <v>14.130491536260401</v>
      </c>
      <c r="L1587">
        <v>11.435053826350099</v>
      </c>
      <c r="M1587">
        <v>22.6694192116219</v>
      </c>
      <c r="N1587">
        <v>89.392467426509796</v>
      </c>
      <c r="O1587">
        <v>20.398539232300301</v>
      </c>
      <c r="P1587">
        <v>0.79317065258492203</v>
      </c>
      <c r="Q1587">
        <v>28.1007017844084</v>
      </c>
      <c r="R1587">
        <v>17.475606345745302</v>
      </c>
      <c r="S1587">
        <v>0.11056815818726599</v>
      </c>
      <c r="T1587">
        <v>74.567906810750301</v>
      </c>
      <c r="U1587">
        <v>-1.1123330742809101</v>
      </c>
      <c r="V1587">
        <v>19.722608129837202</v>
      </c>
    </row>
    <row r="1588" spans="1:22" x14ac:dyDescent="0.25">
      <c r="A1588" t="str">
        <f t="shared" si="24"/>
        <v>Sudan2011</v>
      </c>
      <c r="B1588" t="s">
        <v>213</v>
      </c>
      <c r="C1588" t="s">
        <v>214</v>
      </c>
      <c r="D1588">
        <v>2011</v>
      </c>
      <c r="E1588">
        <v>1332.6572265625</v>
      </c>
      <c r="F1588">
        <v>-3.2135320925337099</v>
      </c>
      <c r="G1588">
        <v>18.0966171221351</v>
      </c>
      <c r="H1588">
        <v>8</v>
      </c>
      <c r="I1588">
        <v>2.5865361165437202</v>
      </c>
      <c r="J1588">
        <v>17.440000000000001</v>
      </c>
      <c r="K1588">
        <v>11.475439965786601</v>
      </c>
      <c r="L1588">
        <v>11.3060875333572</v>
      </c>
      <c r="M1588">
        <v>26.3283499650477</v>
      </c>
      <c r="N1588">
        <v>89.424846870146595</v>
      </c>
      <c r="O1588">
        <v>23.262434017525901</v>
      </c>
      <c r="P1588">
        <v>0.15587034815929701</v>
      </c>
      <c r="Q1588">
        <v>28.7637144631219</v>
      </c>
      <c r="R1588">
        <v>12.4787060282521</v>
      </c>
      <c r="S1588">
        <v>-2.3269063721400398</v>
      </c>
      <c r="T1588">
        <v>78.1131729234598</v>
      </c>
      <c r="U1588">
        <v>-1.4223256507808</v>
      </c>
      <c r="V1588">
        <v>13.781343024232299</v>
      </c>
    </row>
    <row r="1589" spans="1:22" x14ac:dyDescent="0.25">
      <c r="A1589" t="str">
        <f t="shared" si="24"/>
        <v>Sudan2012</v>
      </c>
      <c r="B1589" t="s">
        <v>213</v>
      </c>
      <c r="C1589" t="s">
        <v>214</v>
      </c>
      <c r="D1589">
        <v>2012</v>
      </c>
      <c r="E1589">
        <v>1019.22210693359</v>
      </c>
      <c r="F1589">
        <v>-17.004688404894502</v>
      </c>
      <c r="G1589">
        <v>35.559057414702401</v>
      </c>
      <c r="H1589">
        <v>8</v>
      </c>
      <c r="I1589">
        <v>2.5971911193559798</v>
      </c>
      <c r="J1589">
        <v>16.972999999999999</v>
      </c>
      <c r="K1589">
        <v>11.6352473770618</v>
      </c>
      <c r="L1589">
        <v>9.4124151668383398</v>
      </c>
      <c r="M1589">
        <v>30.1285931395558</v>
      </c>
      <c r="N1589">
        <v>89.184332171715795</v>
      </c>
      <c r="O1589">
        <v>19.724131619978898</v>
      </c>
      <c r="P1589">
        <v>0.18839071208320499</v>
      </c>
      <c r="Q1589">
        <v>9.9565074972145595</v>
      </c>
      <c r="R1589">
        <v>6.8564526367308698</v>
      </c>
      <c r="S1589">
        <v>-7.3684416017872403</v>
      </c>
      <c r="T1589">
        <v>117.67133257894599</v>
      </c>
      <c r="U1589">
        <v>-2.0515637537306599</v>
      </c>
      <c r="V1589">
        <v>1.72147234479911</v>
      </c>
    </row>
    <row r="1590" spans="1:22" x14ac:dyDescent="0.25">
      <c r="A1590" t="str">
        <f t="shared" si="24"/>
        <v>Sudan2013</v>
      </c>
      <c r="B1590" t="s">
        <v>213</v>
      </c>
      <c r="C1590" t="s">
        <v>214</v>
      </c>
      <c r="D1590">
        <v>2013</v>
      </c>
      <c r="E1590">
        <v>1138.62780761719</v>
      </c>
      <c r="F1590">
        <v>1.9551446330242199</v>
      </c>
      <c r="G1590">
        <v>36.522344913915397</v>
      </c>
      <c r="H1590">
        <v>8</v>
      </c>
      <c r="I1590">
        <v>2.6160600839756198</v>
      </c>
      <c r="J1590">
        <v>16.273</v>
      </c>
      <c r="K1590">
        <v>11.519019901887701</v>
      </c>
      <c r="L1590">
        <v>10.277406950253599</v>
      </c>
      <c r="M1590">
        <v>36.428629117693298</v>
      </c>
      <c r="N1590">
        <v>88.621264199814505</v>
      </c>
      <c r="O1590">
        <v>17.195046696631401</v>
      </c>
      <c r="P1590">
        <v>0.17067088407481301</v>
      </c>
      <c r="Q1590">
        <v>9.9361298792894601</v>
      </c>
      <c r="R1590">
        <v>9.5068911683901405</v>
      </c>
      <c r="S1590">
        <v>-5.7607551014137401</v>
      </c>
      <c r="T1590">
        <v>105.752457539494</v>
      </c>
      <c r="U1590">
        <v>-1.6847735540042501</v>
      </c>
      <c r="V1590">
        <v>8.7513110568016899</v>
      </c>
    </row>
    <row r="1591" spans="1:22" x14ac:dyDescent="0.25">
      <c r="A1591" t="str">
        <f t="shared" si="24"/>
        <v>Sudan2014</v>
      </c>
      <c r="B1591" t="s">
        <v>213</v>
      </c>
      <c r="C1591" t="s">
        <v>214</v>
      </c>
      <c r="D1591">
        <v>2014</v>
      </c>
      <c r="E1591">
        <v>1275.43835449219</v>
      </c>
      <c r="F1591">
        <v>4.6613795422987296</v>
      </c>
      <c r="G1591">
        <v>36.906642786359498</v>
      </c>
      <c r="H1591">
        <v>8</v>
      </c>
      <c r="I1591">
        <v>2.6394060394322798</v>
      </c>
      <c r="J1591">
        <v>15.41</v>
      </c>
      <c r="K1591">
        <v>11.431860029685501</v>
      </c>
      <c r="L1591">
        <v>11.041820625138399</v>
      </c>
      <c r="M1591">
        <v>34.066985518911103</v>
      </c>
      <c r="N1591">
        <v>87.473585360578397</v>
      </c>
      <c r="O1591">
        <v>15.0415341466529</v>
      </c>
      <c r="P1591">
        <v>0.194994810038632</v>
      </c>
      <c r="Q1591">
        <v>8.9969338037536701</v>
      </c>
      <c r="R1591">
        <v>7.6089111228327599</v>
      </c>
      <c r="S1591">
        <v>-4.71845161994999</v>
      </c>
      <c r="T1591">
        <v>84.425689235843194</v>
      </c>
      <c r="U1591">
        <v>-1.51253418120276</v>
      </c>
      <c r="V1591">
        <v>12.0524216414195</v>
      </c>
    </row>
    <row r="1592" spans="1:22" x14ac:dyDescent="0.25">
      <c r="A1592" t="str">
        <f t="shared" si="24"/>
        <v>Sudan2015</v>
      </c>
      <c r="B1592" t="s">
        <v>213</v>
      </c>
      <c r="C1592" t="s">
        <v>214</v>
      </c>
      <c r="D1592">
        <v>2015</v>
      </c>
      <c r="E1592">
        <v>1292.37963867188</v>
      </c>
      <c r="F1592">
        <v>1.9101768905275101</v>
      </c>
      <c r="G1592">
        <v>16.909570605097699</v>
      </c>
      <c r="H1592">
        <v>8</v>
      </c>
      <c r="I1592">
        <v>2.6730373422043501</v>
      </c>
      <c r="J1592">
        <v>14.39</v>
      </c>
      <c r="K1592">
        <v>10.711725274440701</v>
      </c>
      <c r="L1592">
        <v>10.314396584642999</v>
      </c>
      <c r="M1592">
        <v>14.0225574392301</v>
      </c>
      <c r="N1592">
        <v>85.987763806076103</v>
      </c>
      <c r="O1592">
        <v>12.8081335322639</v>
      </c>
      <c r="P1592">
        <v>0.183852571194075</v>
      </c>
      <c r="Q1592">
        <v>8.1062066925291205</v>
      </c>
      <c r="R1592">
        <v>6.42291092918573</v>
      </c>
      <c r="S1592">
        <v>-3.8694029703327302</v>
      </c>
      <c r="T1592">
        <v>93.195965197680096</v>
      </c>
      <c r="U1592">
        <v>-1.4910488728825799</v>
      </c>
      <c r="V1592">
        <v>12.4642054139444</v>
      </c>
    </row>
    <row r="1593" spans="1:22" x14ac:dyDescent="0.25">
      <c r="A1593" t="str">
        <f t="shared" si="24"/>
        <v>Sudan2016</v>
      </c>
      <c r="B1593" t="s">
        <v>213</v>
      </c>
      <c r="C1593" t="s">
        <v>214</v>
      </c>
      <c r="D1593">
        <v>2016</v>
      </c>
      <c r="E1593">
        <v>1033.21594238281</v>
      </c>
      <c r="F1593">
        <v>3.4676421840928802</v>
      </c>
      <c r="G1593">
        <v>17.750253831196002</v>
      </c>
      <c r="H1593">
        <v>8</v>
      </c>
      <c r="I1593">
        <v>2.7209693132497801</v>
      </c>
      <c r="J1593">
        <v>13.656000000000001</v>
      </c>
      <c r="K1593">
        <v>9.72624152630822</v>
      </c>
      <c r="L1593">
        <v>8.7741348250521298</v>
      </c>
      <c r="M1593">
        <v>20.685587730624501</v>
      </c>
      <c r="N1593">
        <v>84.639865175850204</v>
      </c>
      <c r="O1593">
        <v>9.3059152625504993</v>
      </c>
      <c r="P1593">
        <v>0.206371176337176</v>
      </c>
      <c r="Q1593">
        <v>9.5127239310820606</v>
      </c>
      <c r="R1593">
        <v>5.0044910073824704</v>
      </c>
      <c r="S1593">
        <v>-3.9183567249422202</v>
      </c>
      <c r="T1593">
        <v>109.92954521162</v>
      </c>
      <c r="U1593">
        <v>-1.4795639238142</v>
      </c>
      <c r="V1593">
        <v>12.6843239984282</v>
      </c>
    </row>
    <row r="1594" spans="1:22" x14ac:dyDescent="0.25">
      <c r="A1594" t="str">
        <f t="shared" si="24"/>
        <v>Sudan2017</v>
      </c>
      <c r="B1594" t="s">
        <v>213</v>
      </c>
      <c r="C1594" t="s">
        <v>214</v>
      </c>
      <c r="D1594">
        <v>2017</v>
      </c>
      <c r="E1594">
        <v>966.50567626953102</v>
      </c>
      <c r="F1594">
        <v>0.70925628476643998</v>
      </c>
      <c r="G1594">
        <v>32.351626096843702</v>
      </c>
      <c r="H1594">
        <v>8</v>
      </c>
      <c r="I1594">
        <v>2.7780434641962399</v>
      </c>
      <c r="J1594">
        <v>13</v>
      </c>
      <c r="K1594">
        <v>11.475439965786601</v>
      </c>
      <c r="L1594">
        <v>10.314396584642999</v>
      </c>
      <c r="M1594">
        <v>34.622370731531603</v>
      </c>
      <c r="N1594">
        <v>82.909645363630801</v>
      </c>
      <c r="O1594">
        <v>10.7686344431485</v>
      </c>
      <c r="P1594">
        <v>0.18614672132257601</v>
      </c>
      <c r="Q1594">
        <v>9.4181874256011504</v>
      </c>
      <c r="R1594">
        <v>6.1121442582129299</v>
      </c>
      <c r="S1594">
        <v>-6.0693992181545102</v>
      </c>
      <c r="T1594">
        <v>149.53924750696399</v>
      </c>
      <c r="U1594">
        <v>-1.6559247854627801</v>
      </c>
      <c r="V1594">
        <v>9.3042216581145691</v>
      </c>
    </row>
    <row r="1595" spans="1:22" x14ac:dyDescent="0.25">
      <c r="A1595" t="str">
        <f t="shared" si="24"/>
        <v>Sudan2018</v>
      </c>
      <c r="B1595" t="s">
        <v>213</v>
      </c>
      <c r="C1595" t="s">
        <v>214</v>
      </c>
      <c r="D1595">
        <v>2018</v>
      </c>
      <c r="E1595">
        <v>731.02746582031295</v>
      </c>
      <c r="F1595">
        <v>-2.6809305497998999</v>
      </c>
      <c r="G1595">
        <v>63.292507345588803</v>
      </c>
      <c r="H1595">
        <v>8</v>
      </c>
      <c r="I1595">
        <v>2.84336548392882</v>
      </c>
      <c r="J1595">
        <v>12.347</v>
      </c>
      <c r="K1595">
        <v>11.475439965786601</v>
      </c>
      <c r="L1595">
        <v>10.314396584642999</v>
      </c>
      <c r="M1595">
        <v>55.975325443756901</v>
      </c>
      <c r="N1595">
        <v>81.334257744288905</v>
      </c>
      <c r="O1595">
        <v>9.9893502376745005</v>
      </c>
      <c r="P1595">
        <v>0.18726871670289</v>
      </c>
      <c r="Q1595">
        <v>-1.17286347573313</v>
      </c>
      <c r="R1595">
        <v>7.6502019846639202</v>
      </c>
      <c r="S1595">
        <v>-7.9221670693354502</v>
      </c>
      <c r="T1595">
        <v>209.80898618510901</v>
      </c>
      <c r="U1595">
        <v>-1.9799257290202299</v>
      </c>
      <c r="V1595">
        <v>3.0944745671495801</v>
      </c>
    </row>
    <row r="1596" spans="1:22" x14ac:dyDescent="0.25">
      <c r="A1596" t="str">
        <f t="shared" si="24"/>
        <v>Sudan2019</v>
      </c>
      <c r="B1596" t="s">
        <v>213</v>
      </c>
      <c r="C1596" t="s">
        <v>214</v>
      </c>
      <c r="D1596">
        <v>2019</v>
      </c>
      <c r="E1596">
        <v>709.97528076171898</v>
      </c>
      <c r="F1596">
        <v>-2.1782510453009101</v>
      </c>
      <c r="G1596">
        <v>50.9940515002965</v>
      </c>
      <c r="H1596">
        <v>8</v>
      </c>
      <c r="I1596">
        <v>2.9179533217526998</v>
      </c>
      <c r="J1596">
        <v>11.696999999999999</v>
      </c>
      <c r="K1596">
        <v>11.475439965786601</v>
      </c>
      <c r="L1596">
        <v>10.314396584642999</v>
      </c>
      <c r="M1596">
        <v>51.978893346545199</v>
      </c>
      <c r="N1596">
        <v>80.498504932997903</v>
      </c>
      <c r="O1596">
        <v>14.305007836220099</v>
      </c>
      <c r="P1596">
        <v>0.18726871670289</v>
      </c>
      <c r="Q1596">
        <v>5.1130071095337</v>
      </c>
      <c r="R1596">
        <v>8.4529834176285306</v>
      </c>
      <c r="S1596">
        <v>-10.7793097230873</v>
      </c>
      <c r="T1596">
        <v>216.50084785852701</v>
      </c>
      <c r="U1596">
        <v>-2.0805515011127098</v>
      </c>
      <c r="V1596">
        <v>1.16589809861667</v>
      </c>
    </row>
    <row r="1597" spans="1:22" x14ac:dyDescent="0.25">
      <c r="A1597" t="str">
        <f t="shared" si="24"/>
        <v>Sudan2020</v>
      </c>
      <c r="B1597" t="s">
        <v>213</v>
      </c>
      <c r="C1597" t="s">
        <v>214</v>
      </c>
      <c r="D1597">
        <v>2020</v>
      </c>
      <c r="E1597">
        <v>577.79522705078102</v>
      </c>
      <c r="F1597">
        <v>-3.6298008241075199</v>
      </c>
      <c r="G1597">
        <v>163.257782355458</v>
      </c>
      <c r="H1597">
        <v>8</v>
      </c>
      <c r="I1597">
        <v>2.9898973975443202</v>
      </c>
      <c r="J1597">
        <v>11.994999999999999</v>
      </c>
      <c r="K1597">
        <v>11.475439965786601</v>
      </c>
      <c r="L1597">
        <v>10.314396584642999</v>
      </c>
      <c r="M1597">
        <v>115.65291501439</v>
      </c>
      <c r="N1597">
        <v>79.933327818722702</v>
      </c>
      <c r="O1597">
        <v>5.7865352334106799</v>
      </c>
      <c r="P1597">
        <v>0.18726871670289</v>
      </c>
      <c r="Q1597">
        <v>4.6502735170110698</v>
      </c>
      <c r="R1597">
        <v>5.1253126946859799</v>
      </c>
      <c r="S1597">
        <v>-6.0362255698702203</v>
      </c>
      <c r="T1597">
        <v>278.77188519193299</v>
      </c>
      <c r="U1597">
        <v>-2.0103622651203401</v>
      </c>
      <c r="V1597">
        <v>2.5111330823024498</v>
      </c>
    </row>
    <row r="1598" spans="1:22" x14ac:dyDescent="0.25">
      <c r="A1598" t="str">
        <f t="shared" si="24"/>
        <v>Sudan2021</v>
      </c>
      <c r="B1598" t="s">
        <v>213</v>
      </c>
      <c r="C1598" t="s">
        <v>214</v>
      </c>
      <c r="D1598">
        <v>2021</v>
      </c>
      <c r="E1598">
        <v>712.12200927734398</v>
      </c>
      <c r="F1598">
        <v>-1.8685204827207</v>
      </c>
      <c r="G1598">
        <v>359.09304077899901</v>
      </c>
      <c r="H1598">
        <v>8</v>
      </c>
      <c r="I1598">
        <v>3.0536372579198101</v>
      </c>
      <c r="J1598">
        <v>11.087</v>
      </c>
      <c r="K1598">
        <v>11.475439965786601</v>
      </c>
      <c r="L1598">
        <v>10.314396584642999</v>
      </c>
      <c r="M1598">
        <v>235.51544358234301</v>
      </c>
      <c r="N1598">
        <v>79.316293004344104</v>
      </c>
      <c r="O1598">
        <v>3.4658092027071401</v>
      </c>
      <c r="P1598">
        <v>0.18726871670289</v>
      </c>
      <c r="Q1598">
        <v>6.7196318094798997</v>
      </c>
      <c r="R1598">
        <v>2.2498704277993</v>
      </c>
      <c r="S1598">
        <v>-0.287299570528393</v>
      </c>
      <c r="T1598">
        <v>191.29195025083899</v>
      </c>
      <c r="U1598">
        <v>-1.5250998762611201</v>
      </c>
      <c r="V1598">
        <v>11.8115896627287</v>
      </c>
    </row>
    <row r="1599" spans="1:22" x14ac:dyDescent="0.25">
      <c r="A1599" t="str">
        <f t="shared" si="24"/>
        <v>Sudan2022</v>
      </c>
      <c r="B1599" t="s">
        <v>213</v>
      </c>
      <c r="C1599" t="s">
        <v>214</v>
      </c>
      <c r="D1599">
        <v>2022</v>
      </c>
      <c r="E1599">
        <v>1046.24084472656</v>
      </c>
      <c r="F1599">
        <v>-0.95781659111918305</v>
      </c>
      <c r="G1599">
        <v>138.80846024176</v>
      </c>
      <c r="H1599">
        <v>8</v>
      </c>
      <c r="I1599">
        <v>3.1250110424373698</v>
      </c>
      <c r="J1599">
        <v>7.53</v>
      </c>
      <c r="K1599">
        <v>11.475439965786601</v>
      </c>
      <c r="L1599">
        <v>10.314396584642999</v>
      </c>
      <c r="M1599">
        <v>116.874075405794</v>
      </c>
      <c r="N1599">
        <v>78.689245069191301</v>
      </c>
      <c r="O1599">
        <v>2.17826429341476</v>
      </c>
      <c r="P1599">
        <v>0.18726871670289</v>
      </c>
      <c r="Q1599">
        <v>4.9906228883529797</v>
      </c>
      <c r="R1599">
        <v>1.5711618305558599</v>
      </c>
      <c r="S1599">
        <v>-2.1490218214442001</v>
      </c>
      <c r="T1599">
        <v>188.96016730397599</v>
      </c>
      <c r="U1599">
        <v>-1.44248194899199</v>
      </c>
      <c r="V1599">
        <v>13.395030833880901</v>
      </c>
    </row>
    <row r="1600" spans="1:22" x14ac:dyDescent="0.25">
      <c r="A1600" t="str">
        <f t="shared" si="24"/>
        <v>Sudan2023</v>
      </c>
      <c r="B1600" t="s">
        <v>213</v>
      </c>
      <c r="C1600" t="s">
        <v>214</v>
      </c>
      <c r="D1600">
        <v>2023</v>
      </c>
      <c r="E1600">
        <v>797.283447265625</v>
      </c>
      <c r="F1600">
        <v>-29.433271832514901</v>
      </c>
      <c r="G1600">
        <v>36.522344913915397</v>
      </c>
      <c r="H1600">
        <v>8</v>
      </c>
      <c r="I1600">
        <v>3.2116604288883499</v>
      </c>
      <c r="J1600">
        <v>13.656000000000001</v>
      </c>
      <c r="K1600">
        <v>11.475439965786601</v>
      </c>
      <c r="L1600">
        <v>10.314396584642999</v>
      </c>
      <c r="M1600">
        <v>29.689669855638801</v>
      </c>
      <c r="N1600">
        <v>78.129580689836999</v>
      </c>
      <c r="O1600">
        <v>2.1727984621893599</v>
      </c>
      <c r="P1600">
        <v>0.18726871670289</v>
      </c>
      <c r="Q1600">
        <v>8.9969338037536701</v>
      </c>
      <c r="R1600">
        <v>1.10810859308483</v>
      </c>
      <c r="S1600">
        <v>-3.6964397318133799</v>
      </c>
      <c r="T1600">
        <v>261.23758257143697</v>
      </c>
      <c r="U1600">
        <v>-2.0495901563330201</v>
      </c>
      <c r="V1600">
        <v>1.7592979775400199</v>
      </c>
    </row>
    <row r="1601" spans="1:22" x14ac:dyDescent="0.25">
      <c r="A1601" t="str">
        <f t="shared" si="24"/>
        <v>Sudan2024</v>
      </c>
      <c r="B1601" t="s">
        <v>213</v>
      </c>
      <c r="C1601" t="s">
        <v>214</v>
      </c>
      <c r="D1601">
        <v>2024</v>
      </c>
      <c r="E1601">
        <v>984.607666015625</v>
      </c>
      <c r="F1601">
        <v>-13.964337519717899</v>
      </c>
      <c r="G1601">
        <v>36.522344913915397</v>
      </c>
      <c r="H1601">
        <v>8</v>
      </c>
      <c r="I1601">
        <v>3.30171309271226</v>
      </c>
      <c r="J1601">
        <v>13.656000000000001</v>
      </c>
      <c r="K1601">
        <v>11.475439965786601</v>
      </c>
      <c r="L1601">
        <v>10.314396584642999</v>
      </c>
      <c r="M1601">
        <v>243.90725417404701</v>
      </c>
      <c r="N1601">
        <v>77.850702177466104</v>
      </c>
      <c r="O1601">
        <v>2.8867400054827299</v>
      </c>
      <c r="P1601">
        <v>0.18726871670289</v>
      </c>
      <c r="Q1601">
        <v>8.9969338037536701</v>
      </c>
      <c r="R1601">
        <v>0.720930190156301</v>
      </c>
      <c r="S1601">
        <v>-3.4574206468272299</v>
      </c>
      <c r="T1601">
        <v>262.57293489756103</v>
      </c>
      <c r="U1601">
        <v>-1.8540788057473501</v>
      </c>
      <c r="V1601">
        <v>5.5064353383751898</v>
      </c>
    </row>
    <row r="1602" spans="1:22" x14ac:dyDescent="0.25">
      <c r="A1602" t="str">
        <f t="shared" si="24"/>
        <v>Sudan2025</v>
      </c>
      <c r="B1602" t="s">
        <v>213</v>
      </c>
      <c r="C1602" t="s">
        <v>214</v>
      </c>
      <c r="D1602">
        <v>2025</v>
      </c>
      <c r="E1602">
        <v>1019.22210693359</v>
      </c>
      <c r="F1602">
        <v>-1.8685204827207</v>
      </c>
      <c r="G1602">
        <v>36.522344913915397</v>
      </c>
      <c r="H1602">
        <v>8</v>
      </c>
      <c r="I1602">
        <v>2.7780434641962399</v>
      </c>
      <c r="J1602">
        <v>13.656000000000001</v>
      </c>
      <c r="K1602">
        <v>11.475439965786601</v>
      </c>
      <c r="L1602">
        <v>10.314396584642999</v>
      </c>
      <c r="M1602">
        <v>34.622370731531603</v>
      </c>
      <c r="N1602">
        <v>82.909645363630801</v>
      </c>
      <c r="O1602">
        <v>10.7686344431485</v>
      </c>
      <c r="P1602">
        <v>0.18726871670289</v>
      </c>
      <c r="Q1602">
        <v>8.9969338037536701</v>
      </c>
      <c r="R1602">
        <v>6.42291092918573</v>
      </c>
      <c r="S1602">
        <v>-3.1011278688044901</v>
      </c>
      <c r="T1602">
        <v>187.55667421596101</v>
      </c>
      <c r="U1602">
        <v>-1.6641935351205299</v>
      </c>
      <c r="V1602">
        <v>9.1457442056437408</v>
      </c>
    </row>
    <row r="1603" spans="1:22" x14ac:dyDescent="0.25">
      <c r="A1603" t="str">
        <f t="shared" si="24"/>
        <v>Sweden2010</v>
      </c>
      <c r="B1603" t="s">
        <v>215</v>
      </c>
      <c r="C1603" t="s">
        <v>216</v>
      </c>
      <c r="D1603">
        <v>2010</v>
      </c>
      <c r="E1603">
        <v>52542.575909029903</v>
      </c>
      <c r="F1603">
        <v>5.7507647757925504</v>
      </c>
      <c r="G1603">
        <v>1.1579880271562599</v>
      </c>
      <c r="H1603">
        <v>9</v>
      </c>
      <c r="I1603">
        <v>18.277288299116499</v>
      </c>
      <c r="J1603">
        <v>8.61</v>
      </c>
      <c r="K1603">
        <v>33.264939966448097</v>
      </c>
      <c r="L1603">
        <v>33.946677388854397</v>
      </c>
      <c r="M1603">
        <v>1.03023451831319</v>
      </c>
      <c r="N1603">
        <v>53.566802633755103</v>
      </c>
      <c r="O1603">
        <v>22.421902321094599</v>
      </c>
      <c r="P1603">
        <v>2.38037538162465</v>
      </c>
      <c r="Q1603">
        <v>28.3752178713302</v>
      </c>
      <c r="R1603">
        <v>44.877029908934603</v>
      </c>
      <c r="S1603">
        <v>-0.14371335717668501</v>
      </c>
      <c r="T1603">
        <v>38.603254837232797</v>
      </c>
      <c r="U1603">
        <v>0.80826455367292804</v>
      </c>
      <c r="V1603">
        <v>56.532456280744803</v>
      </c>
    </row>
    <row r="1604" spans="1:22" x14ac:dyDescent="0.25">
      <c r="A1604" t="str">
        <f t="shared" ref="A1604:A1667" si="25">C1604&amp;D1604</f>
        <v>Sweden2011</v>
      </c>
      <c r="B1604" t="s">
        <v>215</v>
      </c>
      <c r="C1604" t="s">
        <v>216</v>
      </c>
      <c r="D1604">
        <v>2011</v>
      </c>
      <c r="E1604">
        <v>60379.481459932198</v>
      </c>
      <c r="F1604">
        <v>3.16388567406926</v>
      </c>
      <c r="G1604">
        <v>2.9611507382214</v>
      </c>
      <c r="H1604">
        <v>9</v>
      </c>
      <c r="I1604">
        <v>18.6361385585896</v>
      </c>
      <c r="J1604">
        <v>7.8040000000000003</v>
      </c>
      <c r="K1604">
        <v>32.439470019706803</v>
      </c>
      <c r="L1604">
        <v>33.341997728902697</v>
      </c>
      <c r="M1604">
        <v>1.11731713646294</v>
      </c>
      <c r="N1604">
        <v>54.559702880431303</v>
      </c>
      <c r="O1604">
        <v>23.2373150954555</v>
      </c>
      <c r="P1604">
        <v>2.1036002810450198</v>
      </c>
      <c r="Q1604">
        <v>28.336985234634302</v>
      </c>
      <c r="R1604">
        <v>45.414118969978801</v>
      </c>
      <c r="S1604">
        <v>-0.40749651062387099</v>
      </c>
      <c r="T1604">
        <v>37.6806735663327</v>
      </c>
      <c r="U1604">
        <v>0.82964508045774199</v>
      </c>
      <c r="V1604">
        <v>56.942231828147698</v>
      </c>
    </row>
    <row r="1605" spans="1:22" x14ac:dyDescent="0.25">
      <c r="A1605" t="str">
        <f t="shared" si="25"/>
        <v>Sweden2012</v>
      </c>
      <c r="B1605" t="s">
        <v>215</v>
      </c>
      <c r="C1605" t="s">
        <v>216</v>
      </c>
      <c r="D1605">
        <v>2012</v>
      </c>
      <c r="E1605">
        <v>57749.561542085299</v>
      </c>
      <c r="F1605">
        <v>-0.41439770245440899</v>
      </c>
      <c r="G1605">
        <v>0.88837750692373496</v>
      </c>
      <c r="H1605">
        <v>9</v>
      </c>
      <c r="I1605">
        <v>18.977551992956801</v>
      </c>
      <c r="J1605">
        <v>7.976</v>
      </c>
      <c r="K1605">
        <v>33.008716617957603</v>
      </c>
      <c r="L1605">
        <v>32.958669564598701</v>
      </c>
      <c r="M1605">
        <v>0.94947866293976801</v>
      </c>
      <c r="N1605">
        <v>55.678161987238099</v>
      </c>
      <c r="O1605">
        <v>21.993773652535399</v>
      </c>
      <c r="P1605">
        <v>2.3207596513065401</v>
      </c>
      <c r="Q1605">
        <v>26.733046046163601</v>
      </c>
      <c r="R1605">
        <v>44.833568040767901</v>
      </c>
      <c r="S1605">
        <v>-1.1914098421396699</v>
      </c>
      <c r="T1605">
        <v>37.991727737585897</v>
      </c>
      <c r="U1605">
        <v>0.72900919011007803</v>
      </c>
      <c r="V1605">
        <v>55.013461434853198</v>
      </c>
    </row>
    <row r="1606" spans="1:22" x14ac:dyDescent="0.25">
      <c r="A1606" t="str">
        <f t="shared" si="25"/>
        <v>Sweden2013</v>
      </c>
      <c r="B1606" t="s">
        <v>215</v>
      </c>
      <c r="C1606" t="s">
        <v>216</v>
      </c>
      <c r="D1606">
        <v>2013</v>
      </c>
      <c r="E1606">
        <v>60843.9888799369</v>
      </c>
      <c r="F1606">
        <v>1.1376667180142599</v>
      </c>
      <c r="G1606">
        <v>-4.4292970148681998E-2</v>
      </c>
      <c r="H1606">
        <v>9</v>
      </c>
      <c r="I1606">
        <v>19.2744218602549</v>
      </c>
      <c r="J1606">
        <v>8.0519999999999996</v>
      </c>
      <c r="K1606">
        <v>33.723235048000298</v>
      </c>
      <c r="L1606">
        <v>33.038132172187197</v>
      </c>
      <c r="M1606">
        <v>1.01168043710824</v>
      </c>
      <c r="N1606">
        <v>56.842865026699798</v>
      </c>
      <c r="O1606">
        <v>21.899375975039</v>
      </c>
      <c r="P1606">
        <v>2.80719012177958</v>
      </c>
      <c r="Q1606">
        <v>26.287204290022999</v>
      </c>
      <c r="R1606">
        <v>42.736274814874001</v>
      </c>
      <c r="S1606">
        <v>-1.62999714058643</v>
      </c>
      <c r="T1606">
        <v>40.788693542350799</v>
      </c>
      <c r="U1606">
        <v>0.73923247237164302</v>
      </c>
      <c r="V1606">
        <v>55.209399127462497</v>
      </c>
    </row>
    <row r="1607" spans="1:22" x14ac:dyDescent="0.25">
      <c r="A1607" t="str">
        <f t="shared" si="25"/>
        <v>Sweden2014</v>
      </c>
      <c r="B1607" t="s">
        <v>215</v>
      </c>
      <c r="C1607" t="s">
        <v>216</v>
      </c>
      <c r="D1607">
        <v>2014</v>
      </c>
      <c r="E1607">
        <v>59583.458449171398</v>
      </c>
      <c r="F1607">
        <v>2.29577238758284</v>
      </c>
      <c r="G1607">
        <v>-0.17963849411463501</v>
      </c>
      <c r="H1607">
        <v>9</v>
      </c>
      <c r="I1607">
        <v>19.521069267375498</v>
      </c>
      <c r="J1607">
        <v>7.9539999999999997</v>
      </c>
      <c r="K1607">
        <v>33.257191700814303</v>
      </c>
      <c r="L1607">
        <v>32.683202873299599</v>
      </c>
      <c r="M1607">
        <v>1.8327433486397799</v>
      </c>
      <c r="N1607">
        <v>57.934910243126801</v>
      </c>
      <c r="O1607">
        <v>22.8644895912017</v>
      </c>
      <c r="P1607">
        <v>2.5857518361716401</v>
      </c>
      <c r="Q1607">
        <v>26.285786422673301</v>
      </c>
      <c r="R1607">
        <v>43.458732395716503</v>
      </c>
      <c r="S1607">
        <v>-1.8407201817711101</v>
      </c>
      <c r="T1607">
        <v>45.690025345223297</v>
      </c>
      <c r="U1607">
        <v>0.70085504075233795</v>
      </c>
      <c r="V1607">
        <v>54.473863786916702</v>
      </c>
    </row>
    <row r="1608" spans="1:22" x14ac:dyDescent="0.25">
      <c r="A1608" t="str">
        <f t="shared" si="25"/>
        <v>Sweden2015</v>
      </c>
      <c r="B1608" t="s">
        <v>215</v>
      </c>
      <c r="C1608" t="s">
        <v>216</v>
      </c>
      <c r="D1608">
        <v>2015</v>
      </c>
      <c r="E1608">
        <v>51188.165212049302</v>
      </c>
      <c r="F1608">
        <v>4.3882467360858897</v>
      </c>
      <c r="G1608">
        <v>-4.6784744983281203E-2</v>
      </c>
      <c r="H1608">
        <v>9</v>
      </c>
      <c r="I1608">
        <v>19.698261586595201</v>
      </c>
      <c r="J1608">
        <v>7.4320000000000004</v>
      </c>
      <c r="K1608">
        <v>32.3588208377532</v>
      </c>
      <c r="L1608">
        <v>33.193813378410802</v>
      </c>
      <c r="M1608">
        <v>2.2557647804341898</v>
      </c>
      <c r="N1608">
        <v>58.836098148773402</v>
      </c>
      <c r="O1608">
        <v>23.790669487791799</v>
      </c>
      <c r="P1608">
        <v>2.79051939985164</v>
      </c>
      <c r="Q1608">
        <v>26.1607531122864</v>
      </c>
      <c r="R1608">
        <v>43.711462428171899</v>
      </c>
      <c r="S1608">
        <v>-0.27159474877426598</v>
      </c>
      <c r="T1608">
        <v>44.458247536715199</v>
      </c>
      <c r="U1608">
        <v>0.72588156775836399</v>
      </c>
      <c r="V1608">
        <v>54.953517955717203</v>
      </c>
    </row>
    <row r="1609" spans="1:22" x14ac:dyDescent="0.25">
      <c r="A1609" t="str">
        <f t="shared" si="25"/>
        <v>Sweden2016</v>
      </c>
      <c r="B1609" t="s">
        <v>215</v>
      </c>
      <c r="C1609" t="s">
        <v>216</v>
      </c>
      <c r="D1609">
        <v>2016</v>
      </c>
      <c r="E1609">
        <v>51703.508833285101</v>
      </c>
      <c r="F1609">
        <v>2.13117914731151</v>
      </c>
      <c r="G1609">
        <v>0.98426924457799203</v>
      </c>
      <c r="H1609">
        <v>9</v>
      </c>
      <c r="I1609">
        <v>19.773834861053999</v>
      </c>
      <c r="J1609">
        <v>6.99</v>
      </c>
      <c r="K1609">
        <v>32.1089664658153</v>
      </c>
      <c r="L1609">
        <v>34.131389061330097</v>
      </c>
      <c r="M1609">
        <v>1.65920932545671</v>
      </c>
      <c r="N1609">
        <v>59.4873080659899</v>
      </c>
      <c r="O1609">
        <v>24.349111193518699</v>
      </c>
      <c r="P1609">
        <v>2.8061486366930199</v>
      </c>
      <c r="Q1609">
        <v>25.738503121605898</v>
      </c>
      <c r="R1609">
        <v>42.937547136781298</v>
      </c>
      <c r="S1609">
        <v>0.86186467358753505</v>
      </c>
      <c r="T1609">
        <v>42.888353012121399</v>
      </c>
      <c r="U1609">
        <v>0.76415062885754104</v>
      </c>
      <c r="V1609">
        <v>55.686976285268102</v>
      </c>
    </row>
    <row r="1610" spans="1:22" x14ac:dyDescent="0.25">
      <c r="A1610" t="str">
        <f t="shared" si="25"/>
        <v>Sweden2017</v>
      </c>
      <c r="B1610" t="s">
        <v>215</v>
      </c>
      <c r="C1610" t="s">
        <v>216</v>
      </c>
      <c r="D1610">
        <v>2017</v>
      </c>
      <c r="E1610">
        <v>53210.223331896501</v>
      </c>
      <c r="F1610">
        <v>1.8828218496664599</v>
      </c>
      <c r="G1610">
        <v>1.79449904665599</v>
      </c>
      <c r="H1610">
        <v>9</v>
      </c>
      <c r="I1610">
        <v>19.8018336203973</v>
      </c>
      <c r="J1610">
        <v>6.718</v>
      </c>
      <c r="K1610">
        <v>31.9815855954628</v>
      </c>
      <c r="L1610">
        <v>34.136613863610798</v>
      </c>
      <c r="M1610">
        <v>2.2255428204285699</v>
      </c>
      <c r="N1610">
        <v>59.943774687827499</v>
      </c>
      <c r="O1610">
        <v>25.091964921529801</v>
      </c>
      <c r="P1610">
        <v>2.7616723636018401</v>
      </c>
      <c r="Q1610">
        <v>26.789303478274999</v>
      </c>
      <c r="R1610">
        <v>43.917747186190297</v>
      </c>
      <c r="S1610">
        <v>1.2893886359990101</v>
      </c>
      <c r="T1610">
        <v>41.638306717603101</v>
      </c>
      <c r="U1610">
        <v>0.80224299643639196</v>
      </c>
      <c r="V1610">
        <v>56.417048136799004</v>
      </c>
    </row>
    <row r="1611" spans="1:22" x14ac:dyDescent="0.25">
      <c r="A1611" t="str">
        <f t="shared" si="25"/>
        <v>Sweden2018</v>
      </c>
      <c r="B1611" t="s">
        <v>215</v>
      </c>
      <c r="C1611" t="s">
        <v>216</v>
      </c>
      <c r="D1611">
        <v>2018</v>
      </c>
      <c r="E1611">
        <v>54018.455439186102</v>
      </c>
      <c r="F1611">
        <v>1.7702553546772</v>
      </c>
      <c r="G1611">
        <v>1.9535353012702801</v>
      </c>
      <c r="H1611">
        <v>9</v>
      </c>
      <c r="I1611">
        <v>19.862537160070602</v>
      </c>
      <c r="J1611">
        <v>6.3650000000000002</v>
      </c>
      <c r="K1611">
        <v>32.040419126897802</v>
      </c>
      <c r="L1611">
        <v>34.051601174338899</v>
      </c>
      <c r="M1611">
        <v>2.61445551998212</v>
      </c>
      <c r="N1611">
        <v>60.315901520377103</v>
      </c>
      <c r="O1611">
        <v>25.336025486009699</v>
      </c>
      <c r="P1611">
        <v>2.4577747386631499</v>
      </c>
      <c r="Q1611">
        <v>27.003986710879101</v>
      </c>
      <c r="R1611">
        <v>45.940851477352602</v>
      </c>
      <c r="S1611">
        <v>0.67256375636087995</v>
      </c>
      <c r="T1611">
        <v>39.934388720251398</v>
      </c>
      <c r="U1611">
        <v>0.79469403691491103</v>
      </c>
      <c r="V1611">
        <v>56.272366059908599</v>
      </c>
    </row>
    <row r="1612" spans="1:22" x14ac:dyDescent="0.25">
      <c r="A1612" t="str">
        <f t="shared" si="25"/>
        <v>Sweden2019</v>
      </c>
      <c r="B1612" t="s">
        <v>215</v>
      </c>
      <c r="C1612" t="s">
        <v>216</v>
      </c>
      <c r="D1612">
        <v>2019</v>
      </c>
      <c r="E1612">
        <v>51648.9892820514</v>
      </c>
      <c r="F1612">
        <v>2.6082301286952401</v>
      </c>
      <c r="G1612">
        <v>1.7841509740383501</v>
      </c>
      <c r="H1612">
        <v>10</v>
      </c>
      <c r="I1612">
        <v>19.9506621429353</v>
      </c>
      <c r="J1612">
        <v>6.8330000000000002</v>
      </c>
      <c r="K1612">
        <v>31.406333953481301</v>
      </c>
      <c r="L1612">
        <v>33.431871942823697</v>
      </c>
      <c r="M1612">
        <v>2.42588744842773</v>
      </c>
      <c r="N1612">
        <v>60.584123946872801</v>
      </c>
      <c r="O1612">
        <v>24.477245507312499</v>
      </c>
      <c r="P1612">
        <v>2.3617586465910199</v>
      </c>
      <c r="Q1612">
        <v>29.279392009029401</v>
      </c>
      <c r="R1612">
        <v>48.288658381298198</v>
      </c>
      <c r="S1612">
        <v>0.44019753924318</v>
      </c>
      <c r="T1612">
        <v>35.7869606415126</v>
      </c>
      <c r="U1612">
        <v>0.85127480564205305</v>
      </c>
      <c r="V1612">
        <v>57.356783469778399</v>
      </c>
    </row>
    <row r="1613" spans="1:22" x14ac:dyDescent="0.25">
      <c r="A1613" t="str">
        <f t="shared" si="25"/>
        <v>Sweden2020</v>
      </c>
      <c r="B1613" t="s">
        <v>215</v>
      </c>
      <c r="C1613" t="s">
        <v>216</v>
      </c>
      <c r="D1613">
        <v>2020</v>
      </c>
      <c r="E1613">
        <v>52568.572698014599</v>
      </c>
      <c r="F1613">
        <v>-1.93379704032216</v>
      </c>
      <c r="G1613">
        <v>0.49736731885357199</v>
      </c>
      <c r="H1613">
        <v>10</v>
      </c>
      <c r="I1613">
        <v>20.059985397471699</v>
      </c>
      <c r="J1613">
        <v>8.2910000000000004</v>
      </c>
      <c r="K1613">
        <v>34.935620519643997</v>
      </c>
      <c r="L1613">
        <v>32.801188145278502</v>
      </c>
      <c r="M1613">
        <v>1.79876774959563</v>
      </c>
      <c r="N1613">
        <v>60.761067825293601</v>
      </c>
      <c r="O1613">
        <v>24.420754240846801</v>
      </c>
      <c r="P1613">
        <v>2.71477817462825</v>
      </c>
      <c r="Q1613">
        <v>29.9815561986095</v>
      </c>
      <c r="R1613">
        <v>44.287377153338802</v>
      </c>
      <c r="S1613">
        <v>-3.18014385016123</v>
      </c>
      <c r="T1613">
        <v>40.436038943875303</v>
      </c>
      <c r="U1613">
        <v>0.62015484499318396</v>
      </c>
      <c r="V1613">
        <v>52.927177532384697</v>
      </c>
    </row>
    <row r="1614" spans="1:22" x14ac:dyDescent="0.25">
      <c r="A1614" t="str">
        <f t="shared" si="25"/>
        <v>Sweden2021</v>
      </c>
      <c r="B1614" t="s">
        <v>215</v>
      </c>
      <c r="C1614" t="s">
        <v>216</v>
      </c>
      <c r="D1614">
        <v>2021</v>
      </c>
      <c r="E1614">
        <v>60647.541636534697</v>
      </c>
      <c r="F1614">
        <v>5.2258643028772997</v>
      </c>
      <c r="G1614">
        <v>2.1631973644714302</v>
      </c>
      <c r="H1614">
        <v>10</v>
      </c>
      <c r="I1614">
        <v>20.1967832299352</v>
      </c>
      <c r="J1614">
        <v>8.8030000000000008</v>
      </c>
      <c r="K1614">
        <v>33.198535926286901</v>
      </c>
      <c r="L1614">
        <v>33.621570538377497</v>
      </c>
      <c r="M1614">
        <v>2.7098555021782902</v>
      </c>
      <c r="N1614">
        <v>60.893031225028999</v>
      </c>
      <c r="O1614">
        <v>25.271606715690599</v>
      </c>
      <c r="P1614">
        <v>2.2814688739459199</v>
      </c>
      <c r="Q1614">
        <v>31.088378873980901</v>
      </c>
      <c r="R1614">
        <v>47.484237027849098</v>
      </c>
      <c r="S1614">
        <v>-0.14854847759959799</v>
      </c>
      <c r="T1614">
        <v>37.321697528129697</v>
      </c>
      <c r="U1614">
        <v>0.90304881559180605</v>
      </c>
      <c r="V1614">
        <v>58.349075356780503</v>
      </c>
    </row>
    <row r="1615" spans="1:22" x14ac:dyDescent="0.25">
      <c r="A1615" t="str">
        <f t="shared" si="25"/>
        <v>Sweden2022</v>
      </c>
      <c r="B1615" t="s">
        <v>215</v>
      </c>
      <c r="C1615" t="s">
        <v>216</v>
      </c>
      <c r="D1615">
        <v>2022</v>
      </c>
      <c r="E1615">
        <v>54836.890723512399</v>
      </c>
      <c r="F1615">
        <v>1.25543620445816</v>
      </c>
      <c r="G1615">
        <v>8.3692909886918905</v>
      </c>
      <c r="H1615">
        <v>10</v>
      </c>
      <c r="I1615">
        <v>20.3419018248482</v>
      </c>
      <c r="J1615">
        <v>7.4169999999999998</v>
      </c>
      <c r="K1615">
        <v>32.505108387211003</v>
      </c>
      <c r="L1615">
        <v>34.361922249358102</v>
      </c>
      <c r="M1615">
        <v>6.0271955711854002</v>
      </c>
      <c r="N1615">
        <v>60.851065983665698</v>
      </c>
      <c r="O1615">
        <v>26.9218066455024</v>
      </c>
      <c r="P1615">
        <v>2.1547664969876301</v>
      </c>
      <c r="Q1615">
        <v>30.583513264568801</v>
      </c>
      <c r="R1615">
        <v>54.312063358615198</v>
      </c>
      <c r="S1615">
        <v>1.00278264188507</v>
      </c>
      <c r="T1615">
        <v>34.2135146821538</v>
      </c>
      <c r="U1615">
        <v>0.91505048582869397</v>
      </c>
      <c r="V1615">
        <v>58.579097331475801</v>
      </c>
    </row>
    <row r="1616" spans="1:22" x14ac:dyDescent="0.25">
      <c r="A1616" t="str">
        <f t="shared" si="25"/>
        <v>Sweden2023</v>
      </c>
      <c r="B1616" t="s">
        <v>215</v>
      </c>
      <c r="C1616" t="s">
        <v>216</v>
      </c>
      <c r="D1616">
        <v>2023</v>
      </c>
      <c r="E1616">
        <v>54950.283472562201</v>
      </c>
      <c r="F1616">
        <v>-0.204061304891439</v>
      </c>
      <c r="G1616">
        <v>8.5486248974891001</v>
      </c>
      <c r="H1616">
        <v>10</v>
      </c>
      <c r="I1616">
        <v>20.5364235623884</v>
      </c>
      <c r="J1616">
        <v>7.6109999999999998</v>
      </c>
      <c r="K1616">
        <v>32.505108387211003</v>
      </c>
      <c r="L1616">
        <v>32.999646600372103</v>
      </c>
      <c r="M1616">
        <v>5.8340661853804603</v>
      </c>
      <c r="N1616">
        <v>60.736055655034903</v>
      </c>
      <c r="O1616">
        <v>25.262652756622899</v>
      </c>
      <c r="P1616">
        <v>1.97569247334534</v>
      </c>
      <c r="Q1616">
        <v>30.763279809856801</v>
      </c>
      <c r="R1616">
        <v>55.195877970180597</v>
      </c>
      <c r="S1616">
        <v>-0.63027545799924301</v>
      </c>
      <c r="T1616">
        <v>32.051767266729698</v>
      </c>
      <c r="U1616">
        <v>0.83757932725300399</v>
      </c>
      <c r="V1616">
        <v>57.094298255531797</v>
      </c>
    </row>
    <row r="1617" spans="1:22" x14ac:dyDescent="0.25">
      <c r="A1617" t="str">
        <f t="shared" si="25"/>
        <v>Sweden2024</v>
      </c>
      <c r="B1617" t="s">
        <v>215</v>
      </c>
      <c r="C1617" t="s">
        <v>216</v>
      </c>
      <c r="D1617">
        <v>2024</v>
      </c>
      <c r="E1617">
        <v>57117.487744061596</v>
      </c>
      <c r="F1617">
        <v>0.82007180670386504</v>
      </c>
      <c r="G1617">
        <v>2.8358165822403398</v>
      </c>
      <c r="H1617">
        <v>10</v>
      </c>
      <c r="I1617">
        <v>20.746768242365299</v>
      </c>
      <c r="J1617">
        <v>8.4</v>
      </c>
      <c r="K1617">
        <v>32.505108387211003</v>
      </c>
      <c r="L1617">
        <v>33.065280760043798</v>
      </c>
      <c r="M1617">
        <v>3.0075964166021798</v>
      </c>
      <c r="N1617">
        <v>60.597557877489102</v>
      </c>
      <c r="O1617">
        <v>25.356689811959299</v>
      </c>
      <c r="P1617">
        <v>1.96382683398526</v>
      </c>
      <c r="Q1617">
        <v>30.749377528026798</v>
      </c>
      <c r="R1617">
        <v>54.309580972447101</v>
      </c>
      <c r="S1617">
        <v>-1.5025540275048599</v>
      </c>
      <c r="T1617">
        <v>33.919540596746103</v>
      </c>
      <c r="U1617">
        <v>0.81046735120383495</v>
      </c>
      <c r="V1617">
        <v>56.574674724337399</v>
      </c>
    </row>
    <row r="1618" spans="1:22" x14ac:dyDescent="0.25">
      <c r="A1618" t="str">
        <f t="shared" si="25"/>
        <v>Sweden2025</v>
      </c>
      <c r="B1618" t="s">
        <v>215</v>
      </c>
      <c r="C1618" t="s">
        <v>216</v>
      </c>
      <c r="D1618">
        <v>2025</v>
      </c>
      <c r="E1618">
        <v>54836.890723512399</v>
      </c>
      <c r="F1618">
        <v>1.8828218496664599</v>
      </c>
      <c r="G1618">
        <v>1.7841509740383501</v>
      </c>
      <c r="H1618">
        <v>10</v>
      </c>
      <c r="I1618">
        <v>19.8018336203973</v>
      </c>
      <c r="J1618">
        <v>8.6940000000000008</v>
      </c>
      <c r="K1618">
        <v>32.505108387211003</v>
      </c>
      <c r="L1618">
        <v>33.341997728902697</v>
      </c>
      <c r="M1618">
        <v>2.2255428204285699</v>
      </c>
      <c r="N1618">
        <v>59.943774687827499</v>
      </c>
      <c r="O1618">
        <v>24.420754240846801</v>
      </c>
      <c r="P1618">
        <v>2.38037538162465</v>
      </c>
      <c r="Q1618">
        <v>28.336985234634302</v>
      </c>
      <c r="R1618">
        <v>44.877029908934603</v>
      </c>
      <c r="S1618">
        <v>-1.40906190172295</v>
      </c>
      <c r="T1618">
        <v>34.937066315616498</v>
      </c>
      <c r="U1618">
        <v>0.73906096710375402</v>
      </c>
      <c r="V1618">
        <v>55.206112086608002</v>
      </c>
    </row>
    <row r="1619" spans="1:22" x14ac:dyDescent="0.25">
      <c r="A1619" t="str">
        <f t="shared" si="25"/>
        <v>Switzerland2010</v>
      </c>
      <c r="B1619" t="s">
        <v>217</v>
      </c>
      <c r="C1619" t="s">
        <v>218</v>
      </c>
      <c r="D1619">
        <v>2010</v>
      </c>
      <c r="E1619">
        <v>76531.372940769099</v>
      </c>
      <c r="F1619">
        <v>3.2433971565635602</v>
      </c>
      <c r="G1619">
        <v>0.68823870721997404</v>
      </c>
      <c r="H1619">
        <v>11</v>
      </c>
      <c r="I1619">
        <v>16.8296381939452</v>
      </c>
      <c r="J1619">
        <v>4.8079999999999998</v>
      </c>
      <c r="K1619">
        <v>16.719744542920701</v>
      </c>
      <c r="L1619">
        <v>17.0689897525194</v>
      </c>
      <c r="M1619">
        <v>0.312736748117587</v>
      </c>
      <c r="N1619">
        <v>47.025798298201401</v>
      </c>
      <c r="O1619">
        <v>25.895559196580599</v>
      </c>
      <c r="P1619">
        <v>7.5617232219364503</v>
      </c>
      <c r="Q1619">
        <v>39.666997482484803</v>
      </c>
      <c r="R1619">
        <v>64.837628008105497</v>
      </c>
      <c r="S1619">
        <v>0.347743981164502</v>
      </c>
      <c r="T1619">
        <v>40.698864493503699</v>
      </c>
      <c r="U1619">
        <v>1.0537129656365301</v>
      </c>
      <c r="V1619">
        <v>61.236678884043201</v>
      </c>
    </row>
    <row r="1620" spans="1:22" x14ac:dyDescent="0.25">
      <c r="A1620" t="str">
        <f t="shared" si="25"/>
        <v>Switzerland2011</v>
      </c>
      <c r="B1620" t="s">
        <v>217</v>
      </c>
      <c r="C1620" t="s">
        <v>218</v>
      </c>
      <c r="D1620">
        <v>2011</v>
      </c>
      <c r="E1620">
        <v>90476.7589651577</v>
      </c>
      <c r="F1620">
        <v>1.81310830459596</v>
      </c>
      <c r="G1620">
        <v>0.2313492076509</v>
      </c>
      <c r="H1620">
        <v>11</v>
      </c>
      <c r="I1620">
        <v>17.050829620520101</v>
      </c>
      <c r="J1620">
        <v>4.4089999999999998</v>
      </c>
      <c r="K1620">
        <v>16.637679183776498</v>
      </c>
      <c r="L1620">
        <v>17.2901661887072</v>
      </c>
      <c r="M1620">
        <v>-2.0453027237891799E-2</v>
      </c>
      <c r="N1620">
        <v>47.321067994227398</v>
      </c>
      <c r="O1620">
        <v>28.492418734825399</v>
      </c>
      <c r="P1620">
        <v>7.4464496144641199</v>
      </c>
      <c r="Q1620">
        <v>35.573316284443003</v>
      </c>
      <c r="R1620">
        <v>66.449923649768905</v>
      </c>
      <c r="S1620">
        <v>0.672891704767279</v>
      </c>
      <c r="T1620">
        <v>41.236536069633303</v>
      </c>
      <c r="U1620">
        <v>1.1261952296655</v>
      </c>
      <c r="V1620">
        <v>62.625861653878701</v>
      </c>
    </row>
    <row r="1621" spans="1:22" x14ac:dyDescent="0.25">
      <c r="A1621" t="str">
        <f t="shared" si="25"/>
        <v>Switzerland2012</v>
      </c>
      <c r="B1621" t="s">
        <v>217</v>
      </c>
      <c r="C1621" t="s">
        <v>218</v>
      </c>
      <c r="D1621">
        <v>2012</v>
      </c>
      <c r="E1621">
        <v>85836.207676735896</v>
      </c>
      <c r="F1621">
        <v>1.1792538525051299</v>
      </c>
      <c r="G1621">
        <v>-0.69255201810516298</v>
      </c>
      <c r="H1621">
        <v>11</v>
      </c>
      <c r="I1621">
        <v>17.302634297239798</v>
      </c>
      <c r="J1621">
        <v>4.4909999999999997</v>
      </c>
      <c r="K1621">
        <v>16.521926184055602</v>
      </c>
      <c r="L1621">
        <v>17.163979150678198</v>
      </c>
      <c r="M1621">
        <v>6.3720244115515398E-2</v>
      </c>
      <c r="N1621">
        <v>47.655310347425299</v>
      </c>
      <c r="O1621">
        <v>26.660229003760001</v>
      </c>
      <c r="P1621">
        <v>12.2950040469463</v>
      </c>
      <c r="Q1621">
        <v>36.1125598792662</v>
      </c>
      <c r="R1621">
        <v>67.777373053666693</v>
      </c>
      <c r="S1621">
        <v>0.23125305209479799</v>
      </c>
      <c r="T1621">
        <v>41.8569867775687</v>
      </c>
      <c r="U1621">
        <v>1.13628249228124</v>
      </c>
      <c r="V1621">
        <v>62.819192417042899</v>
      </c>
    </row>
    <row r="1622" spans="1:22" x14ac:dyDescent="0.25">
      <c r="A1622" t="str">
        <f t="shared" si="25"/>
        <v>Switzerland2013</v>
      </c>
      <c r="B1622" t="s">
        <v>217</v>
      </c>
      <c r="C1622" t="s">
        <v>218</v>
      </c>
      <c r="D1622">
        <v>2013</v>
      </c>
      <c r="E1622">
        <v>87304.330581355694</v>
      </c>
      <c r="F1622">
        <v>1.7921440071611701</v>
      </c>
      <c r="G1622">
        <v>-0.21732315511567199</v>
      </c>
      <c r="H1622">
        <v>11</v>
      </c>
      <c r="I1622">
        <v>17.520548862826601</v>
      </c>
      <c r="J1622">
        <v>4.7469999999999999</v>
      </c>
      <c r="K1622">
        <v>16.788762009809201</v>
      </c>
      <c r="L1622">
        <v>17.3653496569185</v>
      </c>
      <c r="M1622">
        <v>-8.6842591442902503E-2</v>
      </c>
      <c r="N1622">
        <v>47.996407549561297</v>
      </c>
      <c r="O1622">
        <v>25.154933955202701</v>
      </c>
      <c r="P1622">
        <v>11.7256836953022</v>
      </c>
      <c r="Q1622">
        <v>35.460504752871799</v>
      </c>
      <c r="R1622">
        <v>72.0682136205549</v>
      </c>
      <c r="S1622">
        <v>-0.42477644842177598</v>
      </c>
      <c r="T1622">
        <v>41.222107101479303</v>
      </c>
      <c r="U1622">
        <v>1.15192761042254</v>
      </c>
      <c r="V1622">
        <v>63.119044095865398</v>
      </c>
    </row>
    <row r="1623" spans="1:22" x14ac:dyDescent="0.25">
      <c r="A1623" t="str">
        <f t="shared" si="25"/>
        <v>Switzerland2014</v>
      </c>
      <c r="B1623" t="s">
        <v>217</v>
      </c>
      <c r="C1623" t="s">
        <v>218</v>
      </c>
      <c r="D1623">
        <v>2014</v>
      </c>
      <c r="E1623">
        <v>88724.9909402638</v>
      </c>
      <c r="F1623">
        <v>2.3498814150017902</v>
      </c>
      <c r="G1623">
        <v>-1.32025387515945E-2</v>
      </c>
      <c r="H1623">
        <v>11</v>
      </c>
      <c r="I1623">
        <v>17.714228119569899</v>
      </c>
      <c r="J1623">
        <v>4.8259999999999996</v>
      </c>
      <c r="K1623">
        <v>16.719264503192601</v>
      </c>
      <c r="L1623">
        <v>17.132248458560401</v>
      </c>
      <c r="M1623">
        <v>-0.65312393943049996</v>
      </c>
      <c r="N1623">
        <v>48.352481328327002</v>
      </c>
      <c r="O1623">
        <v>25.5531960420311</v>
      </c>
      <c r="P1623">
        <v>11.724701878599699</v>
      </c>
      <c r="Q1623">
        <v>33.310133931041101</v>
      </c>
      <c r="R1623">
        <v>65.337270121692896</v>
      </c>
      <c r="S1623">
        <v>-0.24222555176194999</v>
      </c>
      <c r="T1623">
        <v>41.244420907437501</v>
      </c>
      <c r="U1623">
        <v>1.1222929592903099</v>
      </c>
      <c r="V1623">
        <v>62.5510714022071</v>
      </c>
    </row>
    <row r="1624" spans="1:22" x14ac:dyDescent="0.25">
      <c r="A1624" t="str">
        <f t="shared" si="25"/>
        <v>Switzerland2015</v>
      </c>
      <c r="B1624" t="s">
        <v>217</v>
      </c>
      <c r="C1624" t="s">
        <v>218</v>
      </c>
      <c r="D1624">
        <v>2015</v>
      </c>
      <c r="E1624">
        <v>83806.447600383704</v>
      </c>
      <c r="F1624">
        <v>1.64462750849488</v>
      </c>
      <c r="G1624">
        <v>-1.1439086722817799</v>
      </c>
      <c r="H1624">
        <v>11</v>
      </c>
      <c r="I1624">
        <v>17.889356675222199</v>
      </c>
      <c r="J1624">
        <v>4.8010000000000002</v>
      </c>
      <c r="K1624">
        <v>17.067444663001702</v>
      </c>
      <c r="L1624">
        <v>17.746151413927699</v>
      </c>
      <c r="M1624">
        <v>-1.2650567013788101</v>
      </c>
      <c r="N1624">
        <v>48.6938829442498</v>
      </c>
      <c r="O1624">
        <v>25.074863281770298</v>
      </c>
      <c r="P1624">
        <v>14.038109311637699</v>
      </c>
      <c r="Q1624">
        <v>34.962995859911302</v>
      </c>
      <c r="R1624">
        <v>63.828955753898803</v>
      </c>
      <c r="S1624">
        <v>0.536440901437788</v>
      </c>
      <c r="T1624">
        <v>41.440211622363599</v>
      </c>
      <c r="U1624">
        <v>1.1556690508378</v>
      </c>
      <c r="V1624">
        <v>63.1907519078229</v>
      </c>
    </row>
    <row r="1625" spans="1:22" x14ac:dyDescent="0.25">
      <c r="A1625" t="str">
        <f t="shared" si="25"/>
        <v>Switzerland2016</v>
      </c>
      <c r="B1625" t="s">
        <v>217</v>
      </c>
      <c r="C1625" t="s">
        <v>218</v>
      </c>
      <c r="D1625">
        <v>2016</v>
      </c>
      <c r="E1625">
        <v>82153.074544788906</v>
      </c>
      <c r="F1625">
        <v>2.0686896903956198</v>
      </c>
      <c r="G1625">
        <v>-0.43461866428581403</v>
      </c>
      <c r="H1625">
        <v>11</v>
      </c>
      <c r="I1625">
        <v>18.0385893516831</v>
      </c>
      <c r="J1625">
        <v>4.9180000000000001</v>
      </c>
      <c r="K1625">
        <v>17.240822849682601</v>
      </c>
      <c r="L1625">
        <v>17.450134877027502</v>
      </c>
      <c r="M1625">
        <v>-0.58329161427467102</v>
      </c>
      <c r="N1625">
        <v>49.064118668278802</v>
      </c>
      <c r="O1625">
        <v>25.561928395454</v>
      </c>
      <c r="P1625">
        <v>14.778143777948801</v>
      </c>
      <c r="Q1625">
        <v>33.919460852575803</v>
      </c>
      <c r="R1625">
        <v>66.817725925771995</v>
      </c>
      <c r="S1625">
        <v>0.234578907840195</v>
      </c>
      <c r="T1625">
        <v>40.301878939505798</v>
      </c>
      <c r="U1625">
        <v>1.1375696425522901</v>
      </c>
      <c r="V1625">
        <v>62.843861720667597</v>
      </c>
    </row>
    <row r="1626" spans="1:22" x14ac:dyDescent="0.25">
      <c r="A1626" t="str">
        <f t="shared" si="25"/>
        <v>Switzerland2017</v>
      </c>
      <c r="B1626" t="s">
        <v>217</v>
      </c>
      <c r="C1626" t="s">
        <v>218</v>
      </c>
      <c r="D1626">
        <v>2017</v>
      </c>
      <c r="E1626">
        <v>82254.376926976707</v>
      </c>
      <c r="F1626">
        <v>1.3627996548885899</v>
      </c>
      <c r="G1626">
        <v>0.53378783982587596</v>
      </c>
      <c r="H1626">
        <v>11</v>
      </c>
      <c r="I1626">
        <v>18.200475582791199</v>
      </c>
      <c r="J1626">
        <v>4.7969999999999997</v>
      </c>
      <c r="K1626">
        <v>17.2162171396998</v>
      </c>
      <c r="L1626">
        <v>18.154632370007601</v>
      </c>
      <c r="M1626">
        <v>-0.36786931291901198</v>
      </c>
      <c r="N1626">
        <v>49.541626421596803</v>
      </c>
      <c r="O1626">
        <v>26.0443143419626</v>
      </c>
      <c r="P1626">
        <v>16.520261560017801</v>
      </c>
      <c r="Q1626">
        <v>32.372040050194798</v>
      </c>
      <c r="R1626">
        <v>66.3484902889967</v>
      </c>
      <c r="S1626">
        <v>1.11171142471243</v>
      </c>
      <c r="T1626">
        <v>41.080627475599897</v>
      </c>
      <c r="U1626">
        <v>1.17656742601903</v>
      </c>
      <c r="V1626">
        <v>63.591286619427798</v>
      </c>
    </row>
    <row r="1627" spans="1:22" x14ac:dyDescent="0.25">
      <c r="A1627" t="str">
        <f t="shared" si="25"/>
        <v>Switzerland2018</v>
      </c>
      <c r="B1627" t="s">
        <v>217</v>
      </c>
      <c r="C1627" t="s">
        <v>218</v>
      </c>
      <c r="D1627">
        <v>2018</v>
      </c>
      <c r="E1627">
        <v>85217.369151227394</v>
      </c>
      <c r="F1627">
        <v>2.8604457943903601</v>
      </c>
      <c r="G1627">
        <v>0.93633546411357205</v>
      </c>
      <c r="H1627">
        <v>11</v>
      </c>
      <c r="I1627">
        <v>18.387584015653701</v>
      </c>
      <c r="J1627">
        <v>4.7130000000000001</v>
      </c>
      <c r="K1627">
        <v>16.7182236540887</v>
      </c>
      <c r="L1627">
        <v>17.6754650084697</v>
      </c>
      <c r="M1627">
        <v>0.76428919739713297</v>
      </c>
      <c r="N1627">
        <v>50.093730046887899</v>
      </c>
      <c r="O1627">
        <v>25.7344532320312</v>
      </c>
      <c r="P1627">
        <v>15.110560484275499</v>
      </c>
      <c r="Q1627">
        <v>31.702916892028099</v>
      </c>
      <c r="R1627">
        <v>67.478186103199903</v>
      </c>
      <c r="S1627">
        <v>1.26322161404734</v>
      </c>
      <c r="T1627">
        <v>38.961747355842</v>
      </c>
      <c r="U1627">
        <v>1.20871180669443</v>
      </c>
      <c r="V1627">
        <v>64.207360363529602</v>
      </c>
    </row>
    <row r="1628" spans="1:22" x14ac:dyDescent="0.25">
      <c r="A1628" t="str">
        <f t="shared" si="25"/>
        <v>Switzerland2019</v>
      </c>
      <c r="B1628" t="s">
        <v>217</v>
      </c>
      <c r="C1628" t="s">
        <v>218</v>
      </c>
      <c r="D1628">
        <v>2019</v>
      </c>
      <c r="E1628">
        <v>84121.931030441396</v>
      </c>
      <c r="F1628">
        <v>1.14198218965691</v>
      </c>
      <c r="G1628">
        <v>0.36288617994067401</v>
      </c>
      <c r="H1628">
        <v>11</v>
      </c>
      <c r="I1628">
        <v>18.582145616847001</v>
      </c>
      <c r="J1628">
        <v>4.3940000000000001</v>
      </c>
      <c r="K1628">
        <v>16.8530605013535</v>
      </c>
      <c r="L1628">
        <v>17.906411725807001</v>
      </c>
      <c r="M1628">
        <v>-0.103895024279751</v>
      </c>
      <c r="N1628">
        <v>50.6327775355631</v>
      </c>
      <c r="O1628">
        <v>26.437792904374501</v>
      </c>
      <c r="P1628">
        <v>16.547493364221399</v>
      </c>
      <c r="Q1628">
        <v>31.702826325524999</v>
      </c>
      <c r="R1628">
        <v>66.965393679841895</v>
      </c>
      <c r="S1628">
        <v>1.3138139877970201</v>
      </c>
      <c r="T1628">
        <v>38.831387875488097</v>
      </c>
      <c r="U1628">
        <v>1.1997543878392301</v>
      </c>
      <c r="V1628">
        <v>64.035683994109405</v>
      </c>
    </row>
    <row r="1629" spans="1:22" x14ac:dyDescent="0.25">
      <c r="A1629" t="str">
        <f t="shared" si="25"/>
        <v>Switzerland2020</v>
      </c>
      <c r="B1629" t="s">
        <v>217</v>
      </c>
      <c r="C1629" t="s">
        <v>218</v>
      </c>
      <c r="D1629">
        <v>2020</v>
      </c>
      <c r="E1629">
        <v>85897.7843338323</v>
      </c>
      <c r="F1629">
        <v>-2.1417371200803799</v>
      </c>
      <c r="G1629">
        <v>-0.72587493331340203</v>
      </c>
      <c r="H1629">
        <v>11</v>
      </c>
      <c r="I1629">
        <v>18.751538886590001</v>
      </c>
      <c r="J1629">
        <v>4.8170000000000002</v>
      </c>
      <c r="K1629">
        <v>20.043195475629499</v>
      </c>
      <c r="L1629">
        <v>17.8932165958268</v>
      </c>
      <c r="M1629">
        <v>-0.69918771043224104</v>
      </c>
      <c r="N1629">
        <v>51.065235905892997</v>
      </c>
      <c r="O1629">
        <v>29.578749838834302</v>
      </c>
      <c r="P1629">
        <v>21.347240539893399</v>
      </c>
      <c r="Q1629">
        <v>31.169135497644</v>
      </c>
      <c r="R1629">
        <v>64.095557158734806</v>
      </c>
      <c r="S1629">
        <v>-2.95717937417235</v>
      </c>
      <c r="T1629">
        <v>42.382855076693602</v>
      </c>
      <c r="U1629">
        <v>0.99521592371557999</v>
      </c>
      <c r="V1629">
        <v>60.115534507393299</v>
      </c>
    </row>
    <row r="1630" spans="1:22" x14ac:dyDescent="0.25">
      <c r="A1630" t="str">
        <f t="shared" si="25"/>
        <v>Switzerland2021</v>
      </c>
      <c r="B1630" t="s">
        <v>217</v>
      </c>
      <c r="C1630" t="s">
        <v>218</v>
      </c>
      <c r="D1630">
        <v>2021</v>
      </c>
      <c r="E1630">
        <v>93664.773669611095</v>
      </c>
      <c r="F1630">
        <v>5.5596202060584403</v>
      </c>
      <c r="G1630">
        <v>0.58181416848985501</v>
      </c>
      <c r="H1630">
        <v>11</v>
      </c>
      <c r="I1630">
        <v>18.928029768152101</v>
      </c>
      <c r="J1630">
        <v>5.0129999999999999</v>
      </c>
      <c r="K1630">
        <v>18.966752342668102</v>
      </c>
      <c r="L1630">
        <v>18.432850577729599</v>
      </c>
      <c r="M1630">
        <v>1.3215013467958601</v>
      </c>
      <c r="N1630">
        <v>51.5313032476218</v>
      </c>
      <c r="O1630">
        <v>26.155565720338199</v>
      </c>
      <c r="P1630">
        <v>19.246714447756801</v>
      </c>
      <c r="Q1630">
        <v>33.713371701388397</v>
      </c>
      <c r="R1630">
        <v>71.119232915733505</v>
      </c>
      <c r="S1630">
        <v>-0.28072426387931798</v>
      </c>
      <c r="T1630">
        <v>39.742087900583101</v>
      </c>
      <c r="U1630">
        <v>1.3258986897975999</v>
      </c>
      <c r="V1630">
        <v>66.453344274746698</v>
      </c>
    </row>
    <row r="1631" spans="1:22" x14ac:dyDescent="0.25">
      <c r="A1631" t="str">
        <f t="shared" si="25"/>
        <v>Switzerland2022</v>
      </c>
      <c r="B1631" t="s">
        <v>217</v>
      </c>
      <c r="C1631" t="s">
        <v>218</v>
      </c>
      <c r="D1631">
        <v>2022</v>
      </c>
      <c r="E1631">
        <v>94394.510680352498</v>
      </c>
      <c r="F1631">
        <v>3.0440610296942299</v>
      </c>
      <c r="G1631">
        <v>2.8350279864445098</v>
      </c>
      <c r="H1631">
        <v>11</v>
      </c>
      <c r="I1631">
        <v>19.2186649457438</v>
      </c>
      <c r="J1631">
        <v>4.1219999999999999</v>
      </c>
      <c r="K1631">
        <v>16.469269753648501</v>
      </c>
      <c r="L1631">
        <v>17.1819545017519</v>
      </c>
      <c r="M1631">
        <v>3.0400522180438698</v>
      </c>
      <c r="N1631">
        <v>52.1817146235677</v>
      </c>
      <c r="O1631">
        <v>24.817343093318701</v>
      </c>
      <c r="P1631">
        <v>15.010536257354699</v>
      </c>
      <c r="Q1631">
        <v>34.885727522396799</v>
      </c>
      <c r="R1631">
        <v>76.1397677689787</v>
      </c>
      <c r="S1631">
        <v>1.1497529791862999</v>
      </c>
      <c r="T1631">
        <v>35.899162093744103</v>
      </c>
      <c r="U1631">
        <v>1.3664018763575101</v>
      </c>
      <c r="V1631">
        <v>67.229621473675905</v>
      </c>
    </row>
    <row r="1632" spans="1:22" x14ac:dyDescent="0.25">
      <c r="A1632" t="str">
        <f t="shared" si="25"/>
        <v>Switzerland2023</v>
      </c>
      <c r="B1632" t="s">
        <v>217</v>
      </c>
      <c r="C1632" t="s">
        <v>218</v>
      </c>
      <c r="D1632">
        <v>2023</v>
      </c>
      <c r="E1632">
        <v>100623.549627296</v>
      </c>
      <c r="F1632">
        <v>0.68332817437604398</v>
      </c>
      <c r="G1632">
        <v>2.1354008801638602</v>
      </c>
      <c r="H1632">
        <v>11</v>
      </c>
      <c r="I1632">
        <v>19.611380836003502</v>
      </c>
      <c r="J1632">
        <v>4.0430000000000001</v>
      </c>
      <c r="K1632">
        <v>16.7263244208761</v>
      </c>
      <c r="L1632">
        <v>17.056281537023299</v>
      </c>
      <c r="M1632">
        <v>0.89627732914728098</v>
      </c>
      <c r="N1632">
        <v>52.957521904303398</v>
      </c>
      <c r="O1632">
        <v>25.987146715025698</v>
      </c>
      <c r="P1632">
        <v>12.943374645766999</v>
      </c>
      <c r="Q1632">
        <v>33.2953895094318</v>
      </c>
      <c r="R1632">
        <v>73.333158767476206</v>
      </c>
      <c r="S1632">
        <v>0.117922206862606</v>
      </c>
      <c r="T1632">
        <v>37.270793738759799</v>
      </c>
      <c r="U1632">
        <v>1.2908523023079601</v>
      </c>
      <c r="V1632">
        <v>65.781651160605904</v>
      </c>
    </row>
    <row r="1633" spans="1:22" x14ac:dyDescent="0.25">
      <c r="A1633" t="str">
        <f t="shared" si="25"/>
        <v>Switzerland2024</v>
      </c>
      <c r="B1633" t="s">
        <v>217</v>
      </c>
      <c r="C1633" t="s">
        <v>218</v>
      </c>
      <c r="D1633">
        <v>2024</v>
      </c>
      <c r="E1633">
        <v>103998.186685604</v>
      </c>
      <c r="F1633">
        <v>1.3023333254110601</v>
      </c>
      <c r="G1633">
        <v>1.0623404197659401</v>
      </c>
      <c r="H1633">
        <v>11</v>
      </c>
      <c r="I1633">
        <v>20.019051822683799</v>
      </c>
      <c r="J1633">
        <v>4.343</v>
      </c>
      <c r="K1633">
        <v>16.757543215342601</v>
      </c>
      <c r="L1633">
        <v>17.644591400535699</v>
      </c>
      <c r="M1633">
        <v>1.2887446452561699</v>
      </c>
      <c r="N1633">
        <v>53.774864924213801</v>
      </c>
      <c r="O1633">
        <v>26.987730982894099</v>
      </c>
      <c r="P1633">
        <v>13.190346746986499</v>
      </c>
      <c r="Q1633">
        <v>31.8105143856335</v>
      </c>
      <c r="R1633">
        <v>72.158944766790498</v>
      </c>
      <c r="S1633">
        <v>0.52911764750885104</v>
      </c>
      <c r="T1633">
        <v>40.493238323174602</v>
      </c>
      <c r="U1633">
        <v>1.31510228484926</v>
      </c>
      <c r="V1633">
        <v>66.246422209999807</v>
      </c>
    </row>
    <row r="1634" spans="1:22" x14ac:dyDescent="0.25">
      <c r="A1634" t="str">
        <f t="shared" si="25"/>
        <v>Switzerland2025</v>
      </c>
      <c r="B1634" t="s">
        <v>217</v>
      </c>
      <c r="C1634" t="s">
        <v>218</v>
      </c>
      <c r="D1634">
        <v>2025</v>
      </c>
      <c r="E1634">
        <v>85897.7843338323</v>
      </c>
      <c r="F1634">
        <v>1.7921440071611701</v>
      </c>
      <c r="G1634">
        <v>0.36288617994067401</v>
      </c>
      <c r="H1634">
        <v>11</v>
      </c>
      <c r="I1634">
        <v>18.200475582791199</v>
      </c>
      <c r="J1634">
        <v>4.8730000000000002</v>
      </c>
      <c r="K1634">
        <v>16.757543215342601</v>
      </c>
      <c r="L1634">
        <v>17.450134877027502</v>
      </c>
      <c r="M1634">
        <v>-2.0453027237891799E-2</v>
      </c>
      <c r="N1634">
        <v>49.541626421596803</v>
      </c>
      <c r="O1634">
        <v>25.987146715025698</v>
      </c>
      <c r="P1634">
        <v>14.038109311637699</v>
      </c>
      <c r="Q1634">
        <v>33.713371701388397</v>
      </c>
      <c r="R1634">
        <v>66.965393679841895</v>
      </c>
      <c r="S1634">
        <v>0.451748155968347</v>
      </c>
      <c r="T1634">
        <v>39.417804434530503</v>
      </c>
      <c r="U1634">
        <v>1.16181751138449</v>
      </c>
      <c r="V1634">
        <v>63.308592259071702</v>
      </c>
    </row>
    <row r="1635" spans="1:22" x14ac:dyDescent="0.25">
      <c r="A1635" t="str">
        <f t="shared" si="25"/>
        <v>Tajikistan2010</v>
      </c>
      <c r="B1635" t="s">
        <v>219</v>
      </c>
      <c r="C1635" t="s">
        <v>220</v>
      </c>
      <c r="D1635">
        <v>2010</v>
      </c>
      <c r="E1635">
        <v>737.33888321935603</v>
      </c>
      <c r="F1635">
        <v>6.49999908585235</v>
      </c>
      <c r="G1635">
        <v>6.4453144078065803</v>
      </c>
      <c r="H1635">
        <v>9</v>
      </c>
      <c r="I1635">
        <v>3.18537669296584</v>
      </c>
      <c r="J1635">
        <v>7.0369999999999999</v>
      </c>
      <c r="K1635">
        <v>11.0194157341873</v>
      </c>
      <c r="L1635">
        <v>18.0921051565075</v>
      </c>
      <c r="M1635">
        <v>12.4616677349709</v>
      </c>
      <c r="N1635">
        <v>66.671879604655999</v>
      </c>
      <c r="O1635">
        <v>23.8461818667509</v>
      </c>
      <c r="P1635">
        <v>1.41314689177981</v>
      </c>
      <c r="Q1635">
        <v>11.776067338068399</v>
      </c>
      <c r="R1635">
        <v>14.939025624213301</v>
      </c>
      <c r="S1635">
        <v>-2.7068240693416201</v>
      </c>
      <c r="T1635">
        <v>36.837828319382801</v>
      </c>
      <c r="U1635">
        <v>-0.80110330628026805</v>
      </c>
      <c r="V1635">
        <v>25.687585037754701</v>
      </c>
    </row>
    <row r="1636" spans="1:22" x14ac:dyDescent="0.25">
      <c r="A1636" t="str">
        <f t="shared" si="25"/>
        <v>Tajikistan2011</v>
      </c>
      <c r="B1636" t="s">
        <v>219</v>
      </c>
      <c r="C1636" t="s">
        <v>220</v>
      </c>
      <c r="D1636">
        <v>2011</v>
      </c>
      <c r="E1636">
        <v>833.60197820285202</v>
      </c>
      <c r="F1636">
        <v>7.4000005995670897</v>
      </c>
      <c r="G1636">
        <v>12.431549043040601</v>
      </c>
      <c r="H1636">
        <v>9</v>
      </c>
      <c r="I1636">
        <v>3.0865894023548601</v>
      </c>
      <c r="J1636">
        <v>7.04</v>
      </c>
      <c r="K1636">
        <v>11.0194157341873</v>
      </c>
      <c r="L1636">
        <v>18.0921051565075</v>
      </c>
      <c r="M1636">
        <v>13.324355569314701</v>
      </c>
      <c r="N1636">
        <v>66.145673309774295</v>
      </c>
      <c r="O1636">
        <v>29.209440293171902</v>
      </c>
      <c r="P1636">
        <v>1.5062827261513401</v>
      </c>
      <c r="Q1636">
        <v>15.1502470679034</v>
      </c>
      <c r="R1636">
        <v>16.447685651672199</v>
      </c>
      <c r="S1636">
        <v>0.60440604570109702</v>
      </c>
      <c r="T1636">
        <v>35.5123239255676</v>
      </c>
      <c r="U1636">
        <v>-0.66180541689910699</v>
      </c>
      <c r="V1636">
        <v>28.357344742355199</v>
      </c>
    </row>
    <row r="1637" spans="1:22" x14ac:dyDescent="0.25">
      <c r="A1637" t="str">
        <f t="shared" si="25"/>
        <v>Tajikistan2012</v>
      </c>
      <c r="B1637" t="s">
        <v>219</v>
      </c>
      <c r="C1637" t="s">
        <v>220</v>
      </c>
      <c r="D1637">
        <v>2012</v>
      </c>
      <c r="E1637">
        <v>952.45281969546897</v>
      </c>
      <c r="F1637">
        <v>7.49999946321525</v>
      </c>
      <c r="G1637">
        <v>5.8311660103146199</v>
      </c>
      <c r="H1637">
        <v>9</v>
      </c>
      <c r="I1637">
        <v>3.0120535297608599</v>
      </c>
      <c r="J1637">
        <v>7.0220000000000002</v>
      </c>
      <c r="K1637">
        <v>11.0194157341873</v>
      </c>
      <c r="L1637">
        <v>18.0921051565075</v>
      </c>
      <c r="M1637">
        <v>11.8685155888293</v>
      </c>
      <c r="N1637">
        <v>65.741318475369795</v>
      </c>
      <c r="O1637">
        <v>23.267363693931099</v>
      </c>
      <c r="P1637">
        <v>1.48653346494773</v>
      </c>
      <c r="Q1637">
        <v>11.487031421735299</v>
      </c>
      <c r="R1637">
        <v>17.2772798792139</v>
      </c>
      <c r="S1637">
        <v>0.406559000354275</v>
      </c>
      <c r="T1637">
        <v>32.462497647504897</v>
      </c>
      <c r="U1637">
        <v>-0.62195707892254104</v>
      </c>
      <c r="V1637">
        <v>29.121071224484702</v>
      </c>
    </row>
    <row r="1638" spans="1:22" x14ac:dyDescent="0.25">
      <c r="A1638" t="str">
        <f t="shared" si="25"/>
        <v>Tajikistan2013</v>
      </c>
      <c r="B1638" t="s">
        <v>219</v>
      </c>
      <c r="C1638" t="s">
        <v>220</v>
      </c>
      <c r="D1638">
        <v>2013</v>
      </c>
      <c r="E1638">
        <v>1028.19704279396</v>
      </c>
      <c r="F1638">
        <v>7.3999997470037897</v>
      </c>
      <c r="G1638">
        <v>5.00964645344951</v>
      </c>
      <c r="H1638">
        <v>9</v>
      </c>
      <c r="I1638">
        <v>2.9663953034320798</v>
      </c>
      <c r="J1638">
        <v>7.0190000000000001</v>
      </c>
      <c r="K1638">
        <v>11.0194157341873</v>
      </c>
      <c r="L1638">
        <v>18.0921051565075</v>
      </c>
      <c r="M1638">
        <v>3.6330094505449599</v>
      </c>
      <c r="N1638">
        <v>65.215142797165996</v>
      </c>
      <c r="O1638">
        <v>24.905714754212401</v>
      </c>
      <c r="P1638">
        <v>1.4474789489558499</v>
      </c>
      <c r="Q1638">
        <v>11.8495534990106</v>
      </c>
      <c r="R1638">
        <v>11.088143661398</v>
      </c>
      <c r="S1638">
        <v>-0.73467804971190198</v>
      </c>
      <c r="T1638">
        <v>29.2916417773707</v>
      </c>
      <c r="U1638">
        <v>-0.70341623675617204</v>
      </c>
      <c r="V1638">
        <v>27.559838831653298</v>
      </c>
    </row>
    <row r="1639" spans="1:22" x14ac:dyDescent="0.25">
      <c r="A1639" t="str">
        <f t="shared" si="25"/>
        <v>Tajikistan2014</v>
      </c>
      <c r="B1639" t="s">
        <v>219</v>
      </c>
      <c r="C1639" t="s">
        <v>220</v>
      </c>
      <c r="D1639">
        <v>2014</v>
      </c>
      <c r="E1639">
        <v>1081.5440293203901</v>
      </c>
      <c r="F1639">
        <v>6.70000069016253</v>
      </c>
      <c r="G1639">
        <v>6.1044276512966702</v>
      </c>
      <c r="H1639">
        <v>9</v>
      </c>
      <c r="I1639">
        <v>2.9494091307014698</v>
      </c>
      <c r="J1639">
        <v>7.024</v>
      </c>
      <c r="K1639">
        <v>11.0194157341873</v>
      </c>
      <c r="L1639">
        <v>18.0921051565075</v>
      </c>
      <c r="M1639">
        <v>4.7666613583367097</v>
      </c>
      <c r="N1639">
        <v>64.7981575112711</v>
      </c>
      <c r="O1639">
        <v>26.515698724943899</v>
      </c>
      <c r="P1639">
        <v>1.4094582438115899</v>
      </c>
      <c r="Q1639">
        <v>16.2152412351248</v>
      </c>
      <c r="R1639">
        <v>9.1700911897337605</v>
      </c>
      <c r="S1639">
        <v>0.92246052862984895</v>
      </c>
      <c r="T1639">
        <v>27.892329228248698</v>
      </c>
      <c r="U1639">
        <v>-0.62039226869506903</v>
      </c>
      <c r="V1639">
        <v>29.151062111706398</v>
      </c>
    </row>
    <row r="1640" spans="1:22" x14ac:dyDescent="0.25">
      <c r="A1640" t="str">
        <f t="shared" si="25"/>
        <v>Tajikistan2015</v>
      </c>
      <c r="B1640" t="s">
        <v>219</v>
      </c>
      <c r="C1640" t="s">
        <v>220</v>
      </c>
      <c r="D1640">
        <v>2015</v>
      </c>
      <c r="E1640">
        <v>956.91631093065598</v>
      </c>
      <c r="F1640">
        <v>6.0193033177118602</v>
      </c>
      <c r="G1640">
        <v>5.7145594964970998</v>
      </c>
      <c r="H1640">
        <v>9</v>
      </c>
      <c r="I1640">
        <v>2.95521434917814</v>
      </c>
      <c r="J1640">
        <v>7.0330000000000004</v>
      </c>
      <c r="K1640">
        <v>11.0194157341873</v>
      </c>
      <c r="L1640">
        <v>18.0921051565075</v>
      </c>
      <c r="M1640">
        <v>6.8662509497970099</v>
      </c>
      <c r="N1640">
        <v>64.654657932418303</v>
      </c>
      <c r="O1640">
        <v>44.6894530560362</v>
      </c>
      <c r="P1640">
        <v>1.6734640969230099</v>
      </c>
      <c r="Q1640">
        <v>41.670010227137901</v>
      </c>
      <c r="R1640">
        <v>9.8026984295124606</v>
      </c>
      <c r="S1640">
        <v>-1.9625139788767301</v>
      </c>
      <c r="T1640">
        <v>35.018933652600502</v>
      </c>
      <c r="U1640">
        <v>-0.744184141570019</v>
      </c>
      <c r="V1640">
        <v>26.778488087600198</v>
      </c>
    </row>
    <row r="1641" spans="1:22" x14ac:dyDescent="0.25">
      <c r="A1641" t="str">
        <f t="shared" si="25"/>
        <v>Tajikistan2016</v>
      </c>
      <c r="B1641" t="s">
        <v>219</v>
      </c>
      <c r="C1641" t="s">
        <v>220</v>
      </c>
      <c r="D1641">
        <v>2016</v>
      </c>
      <c r="E1641">
        <v>788.71048173448503</v>
      </c>
      <c r="F1641">
        <v>6.8999999999999897</v>
      </c>
      <c r="G1641">
        <v>6.0045808232213904</v>
      </c>
      <c r="H1641">
        <v>9</v>
      </c>
      <c r="I1641">
        <v>2.9849144409461701</v>
      </c>
      <c r="J1641">
        <v>7.0359999999999996</v>
      </c>
      <c r="K1641">
        <v>11.0194157341873</v>
      </c>
      <c r="L1641">
        <v>18.0921051565075</v>
      </c>
      <c r="M1641">
        <v>0.54138975684499302</v>
      </c>
      <c r="N1641">
        <v>64.6316867686227</v>
      </c>
      <c r="O1641">
        <v>40.522318731600301</v>
      </c>
      <c r="P1641">
        <v>2.4257738196751202</v>
      </c>
      <c r="Q1641">
        <v>32.305311047856598</v>
      </c>
      <c r="R1641">
        <v>13.2003292553609</v>
      </c>
      <c r="S1641">
        <v>-2.9106994458624902</v>
      </c>
      <c r="T1641">
        <v>42.179214164128297</v>
      </c>
      <c r="U1641">
        <v>-0.80833564099576705</v>
      </c>
      <c r="V1641">
        <v>25.548971338154502</v>
      </c>
    </row>
    <row r="1642" spans="1:22" x14ac:dyDescent="0.25">
      <c r="A1642" t="str">
        <f t="shared" si="25"/>
        <v>Tajikistan2017</v>
      </c>
      <c r="B1642" t="s">
        <v>219</v>
      </c>
      <c r="C1642" t="s">
        <v>220</v>
      </c>
      <c r="D1642">
        <v>2017</v>
      </c>
      <c r="E1642">
        <v>829.45714764956995</v>
      </c>
      <c r="F1642">
        <v>7.1000004186430896</v>
      </c>
      <c r="G1642">
        <v>6.0045808232213904</v>
      </c>
      <c r="H1642">
        <v>9</v>
      </c>
      <c r="I1642">
        <v>3.0356167646164698</v>
      </c>
      <c r="J1642">
        <v>7.0350000000000001</v>
      </c>
      <c r="K1642">
        <v>11.0194157341873</v>
      </c>
      <c r="L1642">
        <v>18.0921051565075</v>
      </c>
      <c r="M1642">
        <v>9.8054671408426692</v>
      </c>
      <c r="N1642">
        <v>64.645778430695003</v>
      </c>
      <c r="O1642">
        <v>29.929556152546098</v>
      </c>
      <c r="P1642">
        <v>4.9612903226633103</v>
      </c>
      <c r="Q1642">
        <v>30.5105614472909</v>
      </c>
      <c r="R1642">
        <v>14.928539613218399</v>
      </c>
      <c r="S1642">
        <v>-5.6469913226751398</v>
      </c>
      <c r="T1642">
        <v>46.299834437884101</v>
      </c>
      <c r="U1642">
        <v>-0.80768452378568001</v>
      </c>
      <c r="V1642">
        <v>25.561450540087801</v>
      </c>
    </row>
    <row r="1643" spans="1:22" x14ac:dyDescent="0.25">
      <c r="A1643" t="str">
        <f t="shared" si="25"/>
        <v>Tajikistan2018</v>
      </c>
      <c r="B1643" t="s">
        <v>219</v>
      </c>
      <c r="C1643" t="s">
        <v>220</v>
      </c>
      <c r="D1643">
        <v>2018</v>
      </c>
      <c r="E1643">
        <v>834.28840457880096</v>
      </c>
      <c r="F1643">
        <v>7.5999988895535999</v>
      </c>
      <c r="G1643">
        <v>6.0045808232213904</v>
      </c>
      <c r="H1643">
        <v>9</v>
      </c>
      <c r="I1643">
        <v>3.1024623272853802</v>
      </c>
      <c r="J1643">
        <v>7.0279999999999996</v>
      </c>
      <c r="K1643">
        <v>11.0194157341873</v>
      </c>
      <c r="L1643">
        <v>18.0921051565075</v>
      </c>
      <c r="M1643">
        <v>2.4922275564845799</v>
      </c>
      <c r="N1643">
        <v>64.877513707265507</v>
      </c>
      <c r="O1643">
        <v>37.263436683779197</v>
      </c>
      <c r="P1643">
        <v>4.3524744702173201</v>
      </c>
      <c r="Q1643">
        <v>34.585225613762397</v>
      </c>
      <c r="R1643">
        <v>14.375478474286201</v>
      </c>
      <c r="S1643">
        <v>-2.6903806192020099</v>
      </c>
      <c r="T1643">
        <v>46.2951035533439</v>
      </c>
      <c r="U1643">
        <v>-0.72381980814164204</v>
      </c>
      <c r="V1643">
        <v>27.168787445613901</v>
      </c>
    </row>
    <row r="1644" spans="1:22" x14ac:dyDescent="0.25">
      <c r="A1644" t="str">
        <f t="shared" si="25"/>
        <v>Tajikistan2019</v>
      </c>
      <c r="B1644" t="s">
        <v>219</v>
      </c>
      <c r="C1644" t="s">
        <v>220</v>
      </c>
      <c r="D1644">
        <v>2019</v>
      </c>
      <c r="E1644">
        <v>871.02237293484598</v>
      </c>
      <c r="F1644">
        <v>7.4000001631055596</v>
      </c>
      <c r="G1644">
        <v>6.0045808232213904</v>
      </c>
      <c r="H1644">
        <v>9</v>
      </c>
      <c r="I1644">
        <v>3.1862600559120602</v>
      </c>
      <c r="J1644">
        <v>7.0259999999999998</v>
      </c>
      <c r="K1644">
        <v>11.0194157341873</v>
      </c>
      <c r="L1644">
        <v>18.0921051565075</v>
      </c>
      <c r="M1644">
        <v>3.6586839501312101</v>
      </c>
      <c r="N1644">
        <v>65.306775224851805</v>
      </c>
      <c r="O1644">
        <v>35.3886623401905</v>
      </c>
      <c r="P1644">
        <v>4.73163479904367</v>
      </c>
      <c r="Q1644">
        <v>36.456701152395901</v>
      </c>
      <c r="R1644">
        <v>14.9799392742745</v>
      </c>
      <c r="S1644">
        <v>-2.0430002734547399</v>
      </c>
      <c r="T1644">
        <v>43.206878389004103</v>
      </c>
      <c r="U1644">
        <v>-0.64969737565336305</v>
      </c>
      <c r="V1644">
        <v>28.589405405751801</v>
      </c>
    </row>
    <row r="1645" spans="1:22" x14ac:dyDescent="0.25">
      <c r="A1645" t="str">
        <f t="shared" si="25"/>
        <v>Tajikistan2020</v>
      </c>
      <c r="B1645" t="s">
        <v>219</v>
      </c>
      <c r="C1645" t="s">
        <v>220</v>
      </c>
      <c r="D1645">
        <v>2020</v>
      </c>
      <c r="E1645">
        <v>834.31171546062501</v>
      </c>
      <c r="F1645">
        <v>4.4000011155349297</v>
      </c>
      <c r="G1645">
        <v>6.0045808232213904</v>
      </c>
      <c r="H1645">
        <v>9</v>
      </c>
      <c r="I1645">
        <v>3.26006644264741</v>
      </c>
      <c r="J1645">
        <v>7.5759999999999996</v>
      </c>
      <c r="K1645">
        <v>11.0194157341873</v>
      </c>
      <c r="L1645">
        <v>18.0921051565075</v>
      </c>
      <c r="M1645">
        <v>1.6559601046961501</v>
      </c>
      <c r="N1645">
        <v>65.849974933617005</v>
      </c>
      <c r="O1645">
        <v>33.474951255563802</v>
      </c>
      <c r="P1645">
        <v>8.1788594323309596</v>
      </c>
      <c r="Q1645">
        <v>36.0648186016426</v>
      </c>
      <c r="R1645">
        <v>17.324314570447498</v>
      </c>
      <c r="S1645">
        <v>-4.3394089006089898</v>
      </c>
      <c r="T1645">
        <v>50.939878679200703</v>
      </c>
      <c r="U1645">
        <v>-0.75539016478544196</v>
      </c>
      <c r="V1645">
        <v>26.5637153486716</v>
      </c>
    </row>
    <row r="1646" spans="1:22" x14ac:dyDescent="0.25">
      <c r="A1646" t="str">
        <f t="shared" si="25"/>
        <v>Tajikistan2021</v>
      </c>
      <c r="B1646" t="s">
        <v>219</v>
      </c>
      <c r="C1646" t="s">
        <v>220</v>
      </c>
      <c r="D1646">
        <v>2021</v>
      </c>
      <c r="E1646">
        <v>896.74805337218197</v>
      </c>
      <c r="F1646">
        <v>9.3999995503752292</v>
      </c>
      <c r="G1646">
        <v>6.0045808232213904</v>
      </c>
      <c r="H1646">
        <v>9</v>
      </c>
      <c r="I1646">
        <v>3.3398119386768701</v>
      </c>
      <c r="J1646">
        <v>7.6870000000000003</v>
      </c>
      <c r="K1646">
        <v>12.4572895743117</v>
      </c>
      <c r="L1646">
        <v>17.752672276290301</v>
      </c>
      <c r="M1646">
        <v>10.0445095549154</v>
      </c>
      <c r="N1646">
        <v>66.377927269455398</v>
      </c>
      <c r="O1646">
        <v>34.8738527231408</v>
      </c>
      <c r="P1646">
        <v>6.6726453603191302</v>
      </c>
      <c r="Q1646">
        <v>40.429735330137902</v>
      </c>
      <c r="R1646">
        <v>24.181929888608899</v>
      </c>
      <c r="S1646">
        <v>-0.64072783862151605</v>
      </c>
      <c r="T1646">
        <v>42.013467144671402</v>
      </c>
      <c r="U1646">
        <v>-0.479386100236809</v>
      </c>
      <c r="V1646">
        <v>31.8535624031494</v>
      </c>
    </row>
    <row r="1647" spans="1:22" x14ac:dyDescent="0.25">
      <c r="A1647" t="str">
        <f t="shared" si="25"/>
        <v>Tajikistan2022</v>
      </c>
      <c r="B1647" t="s">
        <v>219</v>
      </c>
      <c r="C1647" t="s">
        <v>220</v>
      </c>
      <c r="D1647">
        <v>2022</v>
      </c>
      <c r="E1647">
        <v>1052.1794948489401</v>
      </c>
      <c r="F1647">
        <v>8.0000003384636393</v>
      </c>
      <c r="G1647">
        <v>6.0045808232213904</v>
      </c>
      <c r="H1647">
        <v>9</v>
      </c>
      <c r="I1647">
        <v>3.47287654894973</v>
      </c>
      <c r="J1647">
        <v>7.0510000000000002</v>
      </c>
      <c r="K1647">
        <v>10.6910715593023</v>
      </c>
      <c r="L1647">
        <v>17.069894993048798</v>
      </c>
      <c r="M1647">
        <v>8.2622728147574396</v>
      </c>
      <c r="N1647">
        <v>66.841899839355506</v>
      </c>
      <c r="O1647">
        <v>35.467504698273899</v>
      </c>
      <c r="P1647">
        <v>8.2991837717798091</v>
      </c>
      <c r="Q1647">
        <v>50.231666756047602</v>
      </c>
      <c r="R1647">
        <v>16.353124045431699</v>
      </c>
      <c r="S1647">
        <v>-0.23409847765014899</v>
      </c>
      <c r="T1647">
        <v>31.7931621257698</v>
      </c>
      <c r="U1647">
        <v>-0.40216810071254799</v>
      </c>
      <c r="V1647">
        <v>33.333509475682803</v>
      </c>
    </row>
    <row r="1648" spans="1:22" x14ac:dyDescent="0.25">
      <c r="A1648" t="str">
        <f t="shared" si="25"/>
        <v>Tajikistan2023</v>
      </c>
      <c r="B1648" t="s">
        <v>219</v>
      </c>
      <c r="C1648" t="s">
        <v>220</v>
      </c>
      <c r="D1648">
        <v>2023</v>
      </c>
      <c r="E1648">
        <v>1178.47990060249</v>
      </c>
      <c r="F1648">
        <v>8.2999992165193497</v>
      </c>
      <c r="G1648">
        <v>6.0045808232213904</v>
      </c>
      <c r="H1648">
        <v>9</v>
      </c>
      <c r="I1648">
        <v>3.6500563509484798</v>
      </c>
      <c r="J1648">
        <v>7.0369999999999999</v>
      </c>
      <c r="K1648">
        <v>11.0194157341873</v>
      </c>
      <c r="L1648">
        <v>18.431538036724799</v>
      </c>
      <c r="M1648">
        <v>3.7435663876838299</v>
      </c>
      <c r="N1648">
        <v>67.101944290447094</v>
      </c>
      <c r="O1648">
        <v>31.6513056719952</v>
      </c>
      <c r="P1648">
        <v>6.3935186165678699</v>
      </c>
      <c r="Q1648">
        <v>35.344015813841402</v>
      </c>
      <c r="R1648">
        <v>17.1918374601415</v>
      </c>
      <c r="S1648">
        <v>-0.91560339304069804</v>
      </c>
      <c r="T1648">
        <v>29.946907302009901</v>
      </c>
      <c r="U1648">
        <v>-0.49939671273995501</v>
      </c>
      <c r="V1648">
        <v>31.470042400351002</v>
      </c>
    </row>
    <row r="1649" spans="1:22" x14ac:dyDescent="0.25">
      <c r="A1649" t="str">
        <f t="shared" si="25"/>
        <v>Tajikistan2024</v>
      </c>
      <c r="B1649" t="s">
        <v>219</v>
      </c>
      <c r="C1649" t="s">
        <v>220</v>
      </c>
      <c r="D1649">
        <v>2024</v>
      </c>
      <c r="E1649">
        <v>1341.2022902767201</v>
      </c>
      <c r="F1649">
        <v>8.3999998098398105</v>
      </c>
      <c r="G1649">
        <v>6.0045808232213904</v>
      </c>
      <c r="H1649">
        <v>9</v>
      </c>
      <c r="I1649">
        <v>3.85166927070363</v>
      </c>
      <c r="J1649">
        <v>7.0410000000000004</v>
      </c>
      <c r="K1649">
        <v>11.0194157341873</v>
      </c>
      <c r="L1649">
        <v>18.980727721636299</v>
      </c>
      <c r="M1649">
        <v>6.5767436431226702</v>
      </c>
      <c r="N1649">
        <v>66.981344030135404</v>
      </c>
      <c r="O1649">
        <v>32.563128463779499</v>
      </c>
      <c r="P1649">
        <v>5.9363403337290404</v>
      </c>
      <c r="Q1649">
        <v>33.445268330809498</v>
      </c>
      <c r="R1649">
        <v>14.9594824492439</v>
      </c>
      <c r="S1649">
        <v>0.318978626291477</v>
      </c>
      <c r="T1649">
        <v>24.906495521103601</v>
      </c>
      <c r="U1649">
        <v>-0.45578612828413601</v>
      </c>
      <c r="V1649">
        <v>32.305875459928998</v>
      </c>
    </row>
    <row r="1650" spans="1:22" x14ac:dyDescent="0.25">
      <c r="A1650" t="str">
        <f t="shared" si="25"/>
        <v>Tajikistan2025</v>
      </c>
      <c r="B1650" t="s">
        <v>219</v>
      </c>
      <c r="C1650" t="s">
        <v>220</v>
      </c>
      <c r="D1650">
        <v>2025</v>
      </c>
      <c r="E1650">
        <v>896.74805337218197</v>
      </c>
      <c r="F1650">
        <v>7.4000001631055596</v>
      </c>
      <c r="G1650">
        <v>6.0045808232213904</v>
      </c>
      <c r="H1650">
        <v>9</v>
      </c>
      <c r="I1650">
        <v>3.1024623272853802</v>
      </c>
      <c r="J1650">
        <v>6.931</v>
      </c>
      <c r="K1650">
        <v>11.0194157341873</v>
      </c>
      <c r="L1650">
        <v>18.0921051565075</v>
      </c>
      <c r="M1650">
        <v>6.5767436431226702</v>
      </c>
      <c r="N1650">
        <v>65.741318475369795</v>
      </c>
      <c r="O1650">
        <v>32.563128463779499</v>
      </c>
      <c r="P1650">
        <v>4.3524744702173201</v>
      </c>
      <c r="Q1650">
        <v>33.445268330809498</v>
      </c>
      <c r="R1650">
        <v>14.9594824492439</v>
      </c>
      <c r="S1650">
        <v>-1.78688361138138</v>
      </c>
      <c r="T1650">
        <v>21.608777481911702</v>
      </c>
      <c r="U1650">
        <v>-0.58657670022196895</v>
      </c>
      <c r="V1650">
        <v>29.7991655574852</v>
      </c>
    </row>
    <row r="1651" spans="1:22" x14ac:dyDescent="0.25">
      <c r="A1651" t="str">
        <f t="shared" si="25"/>
        <v>Tanzania2010</v>
      </c>
      <c r="B1651" t="s">
        <v>221</v>
      </c>
      <c r="C1651" t="s">
        <v>222</v>
      </c>
      <c r="D1651">
        <v>2010</v>
      </c>
      <c r="E1651">
        <v>736.53015136718795</v>
      </c>
      <c r="F1651">
        <v>6.3365234266688901</v>
      </c>
      <c r="G1651">
        <v>6.2001559564740303</v>
      </c>
      <c r="H1651">
        <v>7</v>
      </c>
      <c r="I1651">
        <v>2.8085913314206601</v>
      </c>
      <c r="J1651">
        <v>3.03</v>
      </c>
      <c r="K1651">
        <v>13.1930823905635</v>
      </c>
      <c r="L1651">
        <v>10.3966652547079</v>
      </c>
      <c r="M1651">
        <v>9.4287162529614896</v>
      </c>
      <c r="N1651">
        <v>92.816706107257602</v>
      </c>
      <c r="O1651">
        <v>32.017244306363096</v>
      </c>
      <c r="P1651">
        <v>4.7851250440624904</v>
      </c>
      <c r="Q1651">
        <v>25.0727696401432</v>
      </c>
      <c r="R1651">
        <v>19.607528736686898</v>
      </c>
      <c r="S1651">
        <v>-4.74383797105643</v>
      </c>
      <c r="T1651">
        <v>27.610758769175199</v>
      </c>
      <c r="U1651">
        <v>-1.13057506740911</v>
      </c>
      <c r="V1651">
        <v>19.372985185787901</v>
      </c>
    </row>
    <row r="1652" spans="1:22" x14ac:dyDescent="0.25">
      <c r="A1652" t="str">
        <f t="shared" si="25"/>
        <v>Tanzania2011</v>
      </c>
      <c r="B1652" t="s">
        <v>221</v>
      </c>
      <c r="C1652" t="s">
        <v>222</v>
      </c>
      <c r="D1652">
        <v>2011</v>
      </c>
      <c r="E1652">
        <v>775.39276123046898</v>
      </c>
      <c r="F1652">
        <v>7.67215543486064</v>
      </c>
      <c r="G1652">
        <v>12.690969469916199</v>
      </c>
      <c r="H1652">
        <v>7</v>
      </c>
      <c r="I1652">
        <v>2.8431088352790099</v>
      </c>
      <c r="J1652">
        <v>3.47</v>
      </c>
      <c r="K1652">
        <v>14.376047434858499</v>
      </c>
      <c r="L1652">
        <v>10.320132545457</v>
      </c>
      <c r="M1652">
        <v>12.198422878403401</v>
      </c>
      <c r="N1652">
        <v>92.606225279490005</v>
      </c>
      <c r="O1652">
        <v>34.736033303522298</v>
      </c>
      <c r="P1652">
        <v>3.4754757497317801</v>
      </c>
      <c r="Q1652">
        <v>22.584205442750299</v>
      </c>
      <c r="R1652">
        <v>21.634282326673901</v>
      </c>
      <c r="S1652">
        <v>-3.5113647624659401</v>
      </c>
      <c r="T1652">
        <v>28.430530065984101</v>
      </c>
      <c r="U1652">
        <v>-1.1182454236927999</v>
      </c>
      <c r="V1652">
        <v>19.609293044522499</v>
      </c>
    </row>
    <row r="1653" spans="1:22" x14ac:dyDescent="0.25">
      <c r="A1653" t="str">
        <f t="shared" si="25"/>
        <v>Tanzania2012</v>
      </c>
      <c r="B1653" t="s">
        <v>221</v>
      </c>
      <c r="C1653" t="s">
        <v>222</v>
      </c>
      <c r="D1653">
        <v>2012</v>
      </c>
      <c r="E1653">
        <v>861.96990966796898</v>
      </c>
      <c r="F1653">
        <v>4.5001535601013103</v>
      </c>
      <c r="G1653">
        <v>16.001093850633801</v>
      </c>
      <c r="H1653">
        <v>7</v>
      </c>
      <c r="I1653">
        <v>2.8811415430959602</v>
      </c>
      <c r="J1653">
        <v>3.2229999999999999</v>
      </c>
      <c r="K1653">
        <v>14.017907635242</v>
      </c>
      <c r="L1653">
        <v>11.323466212315299</v>
      </c>
      <c r="M1653">
        <v>10.483893997403801</v>
      </c>
      <c r="N1653">
        <v>92.233280830002997</v>
      </c>
      <c r="O1653">
        <v>34.845101508325101</v>
      </c>
      <c r="P1653">
        <v>3.63343655509615</v>
      </c>
      <c r="Q1653">
        <v>22.2368870246898</v>
      </c>
      <c r="R1653">
        <v>22.372111684507001</v>
      </c>
      <c r="S1653">
        <v>-3.9969432005476402</v>
      </c>
      <c r="T1653">
        <v>30.045551472178499</v>
      </c>
      <c r="U1653">
        <v>-1.1564055497321499</v>
      </c>
      <c r="V1653">
        <v>18.877922545838398</v>
      </c>
    </row>
    <row r="1654" spans="1:22" x14ac:dyDescent="0.25">
      <c r="A1654" t="str">
        <f t="shared" si="25"/>
        <v>Tanzania2013</v>
      </c>
      <c r="B1654" t="s">
        <v>221</v>
      </c>
      <c r="C1654" t="s">
        <v>222</v>
      </c>
      <c r="D1654">
        <v>2013</v>
      </c>
      <c r="E1654">
        <v>963.05712890625</v>
      </c>
      <c r="F1654">
        <v>6.7815856006531599</v>
      </c>
      <c r="G1654">
        <v>7.8707236457395897</v>
      </c>
      <c r="H1654">
        <v>7</v>
      </c>
      <c r="I1654">
        <v>2.91360653780026</v>
      </c>
      <c r="J1654">
        <v>2.93</v>
      </c>
      <c r="K1654">
        <v>14.831074308240099</v>
      </c>
      <c r="L1654">
        <v>11.3628314322499</v>
      </c>
      <c r="M1654">
        <v>9.6661835779582503</v>
      </c>
      <c r="N1654">
        <v>91.754364026309503</v>
      </c>
      <c r="O1654">
        <v>37.470607348423002</v>
      </c>
      <c r="P1654">
        <v>3.9074100806549099</v>
      </c>
      <c r="Q1654">
        <v>23.1882884312468</v>
      </c>
      <c r="R1654">
        <v>19.0127876013666</v>
      </c>
      <c r="S1654">
        <v>-3.75921494480008</v>
      </c>
      <c r="T1654">
        <v>32.680234062312898</v>
      </c>
      <c r="U1654">
        <v>-1.1391836790193799</v>
      </c>
      <c r="V1654">
        <v>19.207993996820601</v>
      </c>
    </row>
    <row r="1655" spans="1:22" x14ac:dyDescent="0.25">
      <c r="A1655" t="str">
        <f t="shared" si="25"/>
        <v>Tanzania2014</v>
      </c>
      <c r="B1655" t="s">
        <v>221</v>
      </c>
      <c r="C1655" t="s">
        <v>222</v>
      </c>
      <c r="D1655">
        <v>2014</v>
      </c>
      <c r="E1655">
        <v>1022.74841308594</v>
      </c>
      <c r="F1655">
        <v>6.7324618683248296</v>
      </c>
      <c r="G1655">
        <v>6.1316143298801196</v>
      </c>
      <c r="H1655">
        <v>7</v>
      </c>
      <c r="I1655">
        <v>2.9357351069788602</v>
      </c>
      <c r="J1655">
        <v>2.125</v>
      </c>
      <c r="K1655">
        <v>16.079444150273801</v>
      </c>
      <c r="L1655">
        <v>12.237933902581601</v>
      </c>
      <c r="M1655">
        <v>6.0508458893555099</v>
      </c>
      <c r="N1655">
        <v>91.230439204199897</v>
      </c>
      <c r="O1655">
        <v>37.653966563256098</v>
      </c>
      <c r="P1655">
        <v>3.70658896237873</v>
      </c>
      <c r="Q1655">
        <v>24.4704648055713</v>
      </c>
      <c r="R1655">
        <v>18.069209276081299</v>
      </c>
      <c r="S1655">
        <v>-2.9114271753850498</v>
      </c>
      <c r="T1655">
        <v>36.409311138872802</v>
      </c>
      <c r="U1655">
        <v>-1.0665775215761599</v>
      </c>
      <c r="V1655">
        <v>20.5995512868049</v>
      </c>
    </row>
    <row r="1656" spans="1:22" x14ac:dyDescent="0.25">
      <c r="A1656" t="str">
        <f t="shared" si="25"/>
        <v>Tanzania2015</v>
      </c>
      <c r="B1656" t="s">
        <v>221</v>
      </c>
      <c r="C1656" t="s">
        <v>222</v>
      </c>
      <c r="D1656">
        <v>2015</v>
      </c>
      <c r="E1656">
        <v>939.12731933593795</v>
      </c>
      <c r="F1656">
        <v>6.1606287740668204</v>
      </c>
      <c r="G1656">
        <v>5.5881695295929799</v>
      </c>
      <c r="H1656">
        <v>7</v>
      </c>
      <c r="I1656">
        <v>2.9476627133500499</v>
      </c>
      <c r="J1656">
        <v>2.0089999999999999</v>
      </c>
      <c r="K1656">
        <v>14.8700779493296</v>
      </c>
      <c r="L1656">
        <v>11.3831208411787</v>
      </c>
      <c r="M1656">
        <v>7.5913640233224102</v>
      </c>
      <c r="N1656">
        <v>90.382069839357001</v>
      </c>
      <c r="O1656">
        <v>32.758692284560702</v>
      </c>
      <c r="P1656">
        <v>4.2971969542077799</v>
      </c>
      <c r="Q1656">
        <v>25.684052401256</v>
      </c>
      <c r="R1656">
        <v>17.1049115530965</v>
      </c>
      <c r="S1656">
        <v>-3.1685785417105898</v>
      </c>
      <c r="T1656">
        <v>39.523593903425201</v>
      </c>
      <c r="U1656">
        <v>-1.04030609974836</v>
      </c>
      <c r="V1656">
        <v>21.103064898461199</v>
      </c>
    </row>
    <row r="1657" spans="1:22" x14ac:dyDescent="0.25">
      <c r="A1657" t="str">
        <f t="shared" si="25"/>
        <v>Tanzania2016</v>
      </c>
      <c r="B1657" t="s">
        <v>221</v>
      </c>
      <c r="C1657" t="s">
        <v>222</v>
      </c>
      <c r="D1657">
        <v>2016</v>
      </c>
      <c r="E1657">
        <v>953.0107421875</v>
      </c>
      <c r="F1657">
        <v>6.8671161964455099</v>
      </c>
      <c r="G1657">
        <v>5.1747662930149296</v>
      </c>
      <c r="H1657">
        <v>7</v>
      </c>
      <c r="I1657">
        <v>2.95556650523252</v>
      </c>
      <c r="J1657">
        <v>1.931</v>
      </c>
      <c r="K1657">
        <v>13.368853146133301</v>
      </c>
      <c r="L1657">
        <v>12.4026980577624</v>
      </c>
      <c r="M1657">
        <v>7.4720336675972696</v>
      </c>
      <c r="N1657">
        <v>89.304805141728906</v>
      </c>
      <c r="O1657">
        <v>32.174786050965501</v>
      </c>
      <c r="P1657">
        <v>5.21352348052124</v>
      </c>
      <c r="Q1657">
        <v>29.853432187520401</v>
      </c>
      <c r="R1657">
        <v>16.349975063904001</v>
      </c>
      <c r="S1657">
        <v>-2.0832379993706001</v>
      </c>
      <c r="T1657">
        <v>39.797164618237503</v>
      </c>
      <c r="U1657">
        <v>-0.92519213518702803</v>
      </c>
      <c r="V1657">
        <v>23.309319604745699</v>
      </c>
    </row>
    <row r="1658" spans="1:22" x14ac:dyDescent="0.25">
      <c r="A1658" t="str">
        <f t="shared" si="25"/>
        <v>Tanzania2017</v>
      </c>
      <c r="B1658" t="s">
        <v>221</v>
      </c>
      <c r="C1658" t="s">
        <v>222</v>
      </c>
      <c r="D1658">
        <v>2017</v>
      </c>
      <c r="E1658">
        <v>986.67401123046898</v>
      </c>
      <c r="F1658">
        <v>6.7272699683233803</v>
      </c>
      <c r="G1658">
        <v>5.31871605228931</v>
      </c>
      <c r="H1658">
        <v>7</v>
      </c>
      <c r="I1658">
        <v>2.9664542128899298</v>
      </c>
      <c r="J1658">
        <v>1.8540000000000001</v>
      </c>
      <c r="K1658">
        <v>15.7386532808111</v>
      </c>
      <c r="L1658">
        <v>13.582469032933201</v>
      </c>
      <c r="M1658">
        <v>2.67178986834044</v>
      </c>
      <c r="N1658">
        <v>88.417508816482894</v>
      </c>
      <c r="O1658">
        <v>32.354141404315001</v>
      </c>
      <c r="P1658">
        <v>6.8282389435572197</v>
      </c>
      <c r="Q1658">
        <v>30.609175764779099</v>
      </c>
      <c r="R1658">
        <v>15.6634915658043</v>
      </c>
      <c r="S1658">
        <v>-1.14249788117183</v>
      </c>
      <c r="T1658">
        <v>40.109450939577599</v>
      </c>
      <c r="U1658">
        <v>-0.82744470425927796</v>
      </c>
      <c r="V1658">
        <v>25.182730275061399</v>
      </c>
    </row>
    <row r="1659" spans="1:22" x14ac:dyDescent="0.25">
      <c r="A1659" t="str">
        <f t="shared" si="25"/>
        <v>Tanzania2018</v>
      </c>
      <c r="B1659" t="s">
        <v>221</v>
      </c>
      <c r="C1659" t="s">
        <v>222</v>
      </c>
      <c r="D1659">
        <v>2018</v>
      </c>
      <c r="E1659">
        <v>1023.10626220703</v>
      </c>
      <c r="F1659">
        <v>5.5026759938506302</v>
      </c>
      <c r="G1659">
        <v>3.49445848856181</v>
      </c>
      <c r="H1659">
        <v>7</v>
      </c>
      <c r="I1659">
        <v>2.9826500166629999</v>
      </c>
      <c r="J1659">
        <v>1.792</v>
      </c>
      <c r="K1659">
        <v>14.5748625993064</v>
      </c>
      <c r="L1659">
        <v>13.906032593684699</v>
      </c>
      <c r="M1659">
        <v>3.00757512141629</v>
      </c>
      <c r="N1659">
        <v>87.781029635862893</v>
      </c>
      <c r="O1659">
        <v>38.376574483649598</v>
      </c>
      <c r="P1659">
        <v>5.3907935034092596</v>
      </c>
      <c r="Q1659">
        <v>31.710750976806199</v>
      </c>
      <c r="R1659">
        <v>14.7391433931711</v>
      </c>
      <c r="S1659">
        <v>-2.0097884173882701</v>
      </c>
      <c r="T1659">
        <v>42.032443959886201</v>
      </c>
      <c r="U1659">
        <v>-0.94993946478805003</v>
      </c>
      <c r="V1659">
        <v>22.835016486020798</v>
      </c>
    </row>
    <row r="1660" spans="1:22" x14ac:dyDescent="0.25">
      <c r="A1660" t="str">
        <f t="shared" si="25"/>
        <v>Tanzania2019</v>
      </c>
      <c r="B1660" t="s">
        <v>221</v>
      </c>
      <c r="C1660" t="s">
        <v>222</v>
      </c>
      <c r="D1660">
        <v>2019</v>
      </c>
      <c r="E1660">
        <v>1063.32250976563</v>
      </c>
      <c r="F1660">
        <v>5.7999999999672296</v>
      </c>
      <c r="G1660">
        <v>3.4642805799902101</v>
      </c>
      <c r="H1660">
        <v>7</v>
      </c>
      <c r="I1660">
        <v>3.0023409760061899</v>
      </c>
      <c r="J1660">
        <v>1.7350000000000001</v>
      </c>
      <c r="K1660">
        <v>15.3752931466323</v>
      </c>
      <c r="L1660">
        <v>13.2700185532593</v>
      </c>
      <c r="M1660">
        <v>2.2804089300173001</v>
      </c>
      <c r="N1660">
        <v>87.243197893784597</v>
      </c>
      <c r="O1660">
        <v>39.726405727657102</v>
      </c>
      <c r="P1660">
        <v>4.2971969542077799</v>
      </c>
      <c r="Q1660">
        <v>32.583059620911897</v>
      </c>
      <c r="R1660">
        <v>16.036746148498601</v>
      </c>
      <c r="S1660">
        <v>-2.0589334871212799</v>
      </c>
      <c r="T1660">
        <v>40.436605393657899</v>
      </c>
      <c r="U1660">
        <v>-0.95374114315579495</v>
      </c>
      <c r="V1660">
        <v>22.762154163690301</v>
      </c>
    </row>
    <row r="1661" spans="1:22" x14ac:dyDescent="0.25">
      <c r="A1661" t="str">
        <f t="shared" si="25"/>
        <v>Tanzania2020</v>
      </c>
      <c r="B1661" t="s">
        <v>221</v>
      </c>
      <c r="C1661" t="s">
        <v>222</v>
      </c>
      <c r="D1661">
        <v>2020</v>
      </c>
      <c r="E1661">
        <v>1117.41528320313</v>
      </c>
      <c r="F1661">
        <v>1.9919646064785499</v>
      </c>
      <c r="G1661">
        <v>3.29029062798325</v>
      </c>
      <c r="H1661">
        <v>7</v>
      </c>
      <c r="I1661">
        <v>3.0189905588635702</v>
      </c>
      <c r="J1661">
        <v>1.792</v>
      </c>
      <c r="K1661">
        <v>14.292651597457301</v>
      </c>
      <c r="L1661">
        <v>13.357965183257599</v>
      </c>
      <c r="M1661">
        <v>6.42301399038681</v>
      </c>
      <c r="N1661">
        <v>86.537984513009803</v>
      </c>
      <c r="O1661">
        <v>38.746487492460297</v>
      </c>
      <c r="P1661">
        <v>4.2971969542077799</v>
      </c>
      <c r="Q1661">
        <v>36.433481801840998</v>
      </c>
      <c r="R1661">
        <v>13.5038738462361</v>
      </c>
      <c r="S1661">
        <v>-2.55744761333374</v>
      </c>
      <c r="T1661">
        <v>41.269441737409203</v>
      </c>
      <c r="U1661">
        <v>-0.98671753440542798</v>
      </c>
      <c r="V1661">
        <v>22.130134246141399</v>
      </c>
    </row>
    <row r="1662" spans="1:22" x14ac:dyDescent="0.25">
      <c r="A1662" t="str">
        <f t="shared" si="25"/>
        <v>Tanzania2021</v>
      </c>
      <c r="B1662" t="s">
        <v>221</v>
      </c>
      <c r="C1662" t="s">
        <v>222</v>
      </c>
      <c r="D1662">
        <v>2021</v>
      </c>
      <c r="E1662">
        <v>1159.85656738281</v>
      </c>
      <c r="F1662">
        <v>4.3213842948048198</v>
      </c>
      <c r="G1662">
        <v>3.6909195880219898</v>
      </c>
      <c r="H1662">
        <v>7</v>
      </c>
      <c r="I1662">
        <v>3.0277893132389502</v>
      </c>
      <c r="J1662">
        <v>1.8759999999999999</v>
      </c>
      <c r="K1662">
        <v>15.1259358340698</v>
      </c>
      <c r="L1662">
        <v>12.630579947155001</v>
      </c>
      <c r="M1662">
        <v>2.6743032738939698</v>
      </c>
      <c r="N1662">
        <v>85.737762820314998</v>
      </c>
      <c r="O1662">
        <v>39.686678860600097</v>
      </c>
      <c r="P1662">
        <v>4.2971969542077799</v>
      </c>
      <c r="Q1662">
        <v>37.0547447499398</v>
      </c>
      <c r="R1662">
        <v>14.1200223265815</v>
      </c>
      <c r="S1662">
        <v>-3.5456814336526401</v>
      </c>
      <c r="T1662">
        <v>43.394445801421</v>
      </c>
      <c r="U1662">
        <v>-1.0127489815164099</v>
      </c>
      <c r="V1662">
        <v>21.631219949176199</v>
      </c>
    </row>
    <row r="1663" spans="1:22" x14ac:dyDescent="0.25">
      <c r="A1663" t="str">
        <f t="shared" si="25"/>
        <v>Tanzania2022</v>
      </c>
      <c r="B1663" t="s">
        <v>221</v>
      </c>
      <c r="C1663" t="s">
        <v>222</v>
      </c>
      <c r="D1663">
        <v>2022</v>
      </c>
      <c r="E1663">
        <v>1207.52062988281</v>
      </c>
      <c r="F1663">
        <v>4.5660057643095504</v>
      </c>
      <c r="G1663">
        <v>4.3502720426910102</v>
      </c>
      <c r="H1663">
        <v>7</v>
      </c>
      <c r="I1663">
        <v>3.0350498095239802</v>
      </c>
      <c r="J1663">
        <v>1.573</v>
      </c>
      <c r="K1663">
        <v>16.846899131403202</v>
      </c>
      <c r="L1663">
        <v>13.996990502321999</v>
      </c>
      <c r="M1663">
        <v>2.76261483337198</v>
      </c>
      <c r="N1663">
        <v>85.018236120484602</v>
      </c>
      <c r="O1663">
        <v>41.0677624080732</v>
      </c>
      <c r="P1663">
        <v>4.2971969542077799</v>
      </c>
      <c r="Q1663">
        <v>35.786327323111003</v>
      </c>
      <c r="R1663">
        <v>15.4137105201683</v>
      </c>
      <c r="S1663">
        <v>-3.91648060722031</v>
      </c>
      <c r="T1663">
        <v>44.853918712299297</v>
      </c>
      <c r="U1663">
        <v>-1.0061806509682401</v>
      </c>
      <c r="V1663">
        <v>21.757107457607901</v>
      </c>
    </row>
    <row r="1664" spans="1:22" x14ac:dyDescent="0.25">
      <c r="A1664" t="str">
        <f t="shared" si="25"/>
        <v>Tanzania2023</v>
      </c>
      <c r="B1664" t="s">
        <v>221</v>
      </c>
      <c r="C1664" t="s">
        <v>222</v>
      </c>
      <c r="D1664">
        <v>2023</v>
      </c>
      <c r="E1664">
        <v>1224.00219726563</v>
      </c>
      <c r="F1664">
        <v>5.0695235320339398</v>
      </c>
      <c r="G1664">
        <v>3.7992329138491598</v>
      </c>
      <c r="H1664">
        <v>7</v>
      </c>
      <c r="I1664">
        <v>3.04319999848689</v>
      </c>
      <c r="J1664">
        <v>1.5649999999999999</v>
      </c>
      <c r="K1664">
        <v>17.0304864142749</v>
      </c>
      <c r="L1664">
        <v>13.41063694983</v>
      </c>
      <c r="M1664">
        <v>2.7482118939375701</v>
      </c>
      <c r="N1664">
        <v>84.389901170713102</v>
      </c>
      <c r="O1664">
        <v>41.002388736059103</v>
      </c>
      <c r="P1664">
        <v>4.2971969542077799</v>
      </c>
      <c r="Q1664">
        <v>36.152978335686498</v>
      </c>
      <c r="R1664">
        <v>17.195429876275501</v>
      </c>
      <c r="S1664">
        <v>-3.66703798239213</v>
      </c>
      <c r="T1664">
        <v>47.804110333680903</v>
      </c>
      <c r="U1664">
        <v>-0.98675518044563404</v>
      </c>
      <c r="V1664">
        <v>22.1294127285245</v>
      </c>
    </row>
    <row r="1665" spans="1:22" x14ac:dyDescent="0.25">
      <c r="A1665" t="str">
        <f t="shared" si="25"/>
        <v>Tanzania2024</v>
      </c>
      <c r="B1665" t="s">
        <v>221</v>
      </c>
      <c r="C1665" t="s">
        <v>222</v>
      </c>
      <c r="D1665">
        <v>2024</v>
      </c>
      <c r="E1665">
        <v>1186.71691894531</v>
      </c>
      <c r="F1665">
        <v>5.5263138305944999</v>
      </c>
      <c r="G1665">
        <v>3.0569467631237299</v>
      </c>
      <c r="H1665">
        <v>7</v>
      </c>
      <c r="I1665">
        <v>3.0450010492245498</v>
      </c>
      <c r="J1665">
        <v>1.5569999999999999</v>
      </c>
      <c r="K1665">
        <v>16.4222146538124</v>
      </c>
      <c r="L1665">
        <v>14.5492973125506</v>
      </c>
      <c r="M1665">
        <v>3.06321536277754</v>
      </c>
      <c r="N1665">
        <v>83.759714671343801</v>
      </c>
      <c r="O1665">
        <v>39.764568079457</v>
      </c>
      <c r="P1665">
        <v>4.2971969542077799</v>
      </c>
      <c r="Q1665">
        <v>36.373620185725301</v>
      </c>
      <c r="R1665">
        <v>19.830482870244001</v>
      </c>
      <c r="S1665">
        <v>-3.0251301641185799</v>
      </c>
      <c r="T1665">
        <v>49.860394198174902</v>
      </c>
      <c r="U1665">
        <v>-0.91600479053474904</v>
      </c>
      <c r="V1665">
        <v>23.4854026929669</v>
      </c>
    </row>
    <row r="1666" spans="1:22" x14ac:dyDescent="0.25">
      <c r="A1666" t="str">
        <f t="shared" si="25"/>
        <v>Tanzania2025</v>
      </c>
      <c r="B1666" t="s">
        <v>221</v>
      </c>
      <c r="C1666" t="s">
        <v>222</v>
      </c>
      <c r="D1666">
        <v>2025</v>
      </c>
      <c r="E1666">
        <v>1022.74841308594</v>
      </c>
      <c r="F1666">
        <v>5.7999999999672296</v>
      </c>
      <c r="G1666">
        <v>5.1747662930149296</v>
      </c>
      <c r="H1666">
        <v>7</v>
      </c>
      <c r="I1666">
        <v>2.9664542128899298</v>
      </c>
      <c r="J1666">
        <v>1.5720000000000001</v>
      </c>
      <c r="K1666">
        <v>14.8700779493296</v>
      </c>
      <c r="L1666">
        <v>12.630579947155001</v>
      </c>
      <c r="M1666">
        <v>6.0508458893555099</v>
      </c>
      <c r="N1666">
        <v>88.417508816482894</v>
      </c>
      <c r="O1666">
        <v>37.653966563256098</v>
      </c>
      <c r="P1666">
        <v>4.2971969542077799</v>
      </c>
      <c r="Q1666">
        <v>30.609175764779099</v>
      </c>
      <c r="R1666">
        <v>17.1049115530965</v>
      </c>
      <c r="S1666">
        <v>-3.03959009689639</v>
      </c>
      <c r="T1666">
        <v>49.699984806684</v>
      </c>
      <c r="U1666">
        <v>-1.03042125613626</v>
      </c>
      <c r="V1666">
        <v>21.292516133358699</v>
      </c>
    </row>
    <row r="1667" spans="1:22" x14ac:dyDescent="0.25">
      <c r="A1667" t="str">
        <f t="shared" si="25"/>
        <v>Thailand2010</v>
      </c>
      <c r="B1667" t="s">
        <v>223</v>
      </c>
      <c r="C1667" t="s">
        <v>224</v>
      </c>
      <c r="D1667">
        <v>2010</v>
      </c>
      <c r="E1667">
        <v>4973.8628882377798</v>
      </c>
      <c r="F1667">
        <v>7.5133905326162402</v>
      </c>
      <c r="G1667">
        <v>3.2475884244372302</v>
      </c>
      <c r="H1667">
        <v>9</v>
      </c>
      <c r="I1667">
        <v>8.5776070155712496</v>
      </c>
      <c r="J1667">
        <v>0.622</v>
      </c>
      <c r="K1667">
        <v>17.411415372388099</v>
      </c>
      <c r="L1667">
        <v>18.998106890682902</v>
      </c>
      <c r="M1667">
        <v>4.0809892267374304</v>
      </c>
      <c r="N1667">
        <v>40.289045632397404</v>
      </c>
      <c r="O1667">
        <v>25.356654634074602</v>
      </c>
      <c r="P1667">
        <v>9.0725601386283099</v>
      </c>
      <c r="Q1667">
        <v>29.6275906793853</v>
      </c>
      <c r="R1667">
        <v>66.486173159223895</v>
      </c>
      <c r="S1667">
        <v>-1.0697045116528201</v>
      </c>
      <c r="T1667">
        <v>39.831251756617199</v>
      </c>
      <c r="U1667">
        <v>0.26974031757855099</v>
      </c>
      <c r="V1667">
        <v>46.211192176437599</v>
      </c>
    </row>
    <row r="1668" spans="1:22" x14ac:dyDescent="0.25">
      <c r="A1668" t="str">
        <f t="shared" ref="A1668:A1731" si="26">C1668&amp;D1668</f>
        <v>Thailand2011</v>
      </c>
      <c r="B1668" t="s">
        <v>223</v>
      </c>
      <c r="C1668" t="s">
        <v>224</v>
      </c>
      <c r="D1668">
        <v>2011</v>
      </c>
      <c r="E1668">
        <v>5373.6232832898004</v>
      </c>
      <c r="F1668">
        <v>0.84013208305333398</v>
      </c>
      <c r="G1668">
        <v>3.8087905813963401</v>
      </c>
      <c r="H1668">
        <v>9</v>
      </c>
      <c r="I1668">
        <v>8.8465244094500992</v>
      </c>
      <c r="J1668">
        <v>0.66</v>
      </c>
      <c r="K1668">
        <v>19.417458358739999</v>
      </c>
      <c r="L1668">
        <v>19.812447558462502</v>
      </c>
      <c r="M1668">
        <v>3.7430981204437002</v>
      </c>
      <c r="N1668">
        <v>39.922374310064697</v>
      </c>
      <c r="O1668">
        <v>26.791458246844901</v>
      </c>
      <c r="P1668">
        <v>7.7415200687601198</v>
      </c>
      <c r="Q1668">
        <v>31.433962966497699</v>
      </c>
      <c r="R1668">
        <v>70.854909380161104</v>
      </c>
      <c r="S1668">
        <v>9.4141532284296003E-2</v>
      </c>
      <c r="T1668">
        <v>39.115985584691302</v>
      </c>
      <c r="U1668">
        <v>0.29590811891051999</v>
      </c>
      <c r="V1668">
        <v>46.712719815258602</v>
      </c>
    </row>
    <row r="1669" spans="1:22" x14ac:dyDescent="0.25">
      <c r="A1669" t="str">
        <f t="shared" si="26"/>
        <v>Thailand2012</v>
      </c>
      <c r="B1669" t="s">
        <v>223</v>
      </c>
      <c r="C1669" t="s">
        <v>224</v>
      </c>
      <c r="D1669">
        <v>2012</v>
      </c>
      <c r="E1669">
        <v>5725.5280283546299</v>
      </c>
      <c r="F1669">
        <v>7.2427962024964199</v>
      </c>
      <c r="G1669">
        <v>3.01489950334985</v>
      </c>
      <c r="H1669">
        <v>9</v>
      </c>
      <c r="I1669">
        <v>9.1523777733017209</v>
      </c>
      <c r="J1669">
        <v>0.57999999999999996</v>
      </c>
      <c r="K1669">
        <v>18.621619617438501</v>
      </c>
      <c r="L1669">
        <v>18.9380707949502</v>
      </c>
      <c r="M1669">
        <v>1.90914444199674</v>
      </c>
      <c r="N1669">
        <v>39.623478427785102</v>
      </c>
      <c r="O1669">
        <v>28.0241657146011</v>
      </c>
      <c r="P1669">
        <v>7.2690622617732199</v>
      </c>
      <c r="Q1669">
        <v>28.9313113964315</v>
      </c>
      <c r="R1669">
        <v>68.951235629798106</v>
      </c>
      <c r="S1669">
        <v>-0.86047955117879904</v>
      </c>
      <c r="T1669">
        <v>41.929397729025197</v>
      </c>
      <c r="U1669">
        <v>0.263532111257958</v>
      </c>
      <c r="V1669">
        <v>46.092206747826999</v>
      </c>
    </row>
    <row r="1670" spans="1:22" x14ac:dyDescent="0.25">
      <c r="A1670" t="str">
        <f t="shared" si="26"/>
        <v>Thailand2013</v>
      </c>
      <c r="B1670" t="s">
        <v>223</v>
      </c>
      <c r="C1670" t="s">
        <v>224</v>
      </c>
      <c r="D1670">
        <v>2013</v>
      </c>
      <c r="E1670">
        <v>6018.0824472925497</v>
      </c>
      <c r="F1670">
        <v>2.6874955632055602</v>
      </c>
      <c r="G1670">
        <v>2.18488618530687</v>
      </c>
      <c r="H1670">
        <v>9</v>
      </c>
      <c r="I1670">
        <v>9.5023811579548596</v>
      </c>
      <c r="J1670">
        <v>0.249</v>
      </c>
      <c r="K1670">
        <v>19.817256200685001</v>
      </c>
      <c r="L1670">
        <v>21.335979235958899</v>
      </c>
      <c r="M1670">
        <v>1.7787458923541699</v>
      </c>
      <c r="N1670">
        <v>39.4940129315302</v>
      </c>
      <c r="O1670">
        <v>27.4571011829666</v>
      </c>
      <c r="P1670">
        <v>6.5101984130914401</v>
      </c>
      <c r="Q1670">
        <v>27.2207671462189</v>
      </c>
      <c r="R1670">
        <v>67.171141073148306</v>
      </c>
      <c r="S1670">
        <v>0.59941016883976705</v>
      </c>
      <c r="T1670">
        <v>42.190732784489697</v>
      </c>
      <c r="U1670">
        <v>0.31596791072357699</v>
      </c>
      <c r="V1670">
        <v>47.097182380363499</v>
      </c>
    </row>
    <row r="1671" spans="1:22" x14ac:dyDescent="0.25">
      <c r="A1671" t="str">
        <f t="shared" si="26"/>
        <v>Thailand2014</v>
      </c>
      <c r="B1671" t="s">
        <v>223</v>
      </c>
      <c r="C1671" t="s">
        <v>224</v>
      </c>
      <c r="D1671">
        <v>2014</v>
      </c>
      <c r="E1671">
        <v>5801.1978916204998</v>
      </c>
      <c r="F1671">
        <v>0.98446886361942598</v>
      </c>
      <c r="G1671">
        <v>1.8951418189878</v>
      </c>
      <c r="H1671">
        <v>9</v>
      </c>
      <c r="I1671">
        <v>9.8942231651932602</v>
      </c>
      <c r="J1671">
        <v>0.57599999999999996</v>
      </c>
      <c r="K1671">
        <v>19.995227327491499</v>
      </c>
      <c r="L1671">
        <v>20.3797627910924</v>
      </c>
      <c r="M1671">
        <v>1.44146536528029</v>
      </c>
      <c r="N1671">
        <v>39.5565144682596</v>
      </c>
      <c r="O1671">
        <v>23.919019547850102</v>
      </c>
      <c r="P1671">
        <v>6.6636117934873296</v>
      </c>
      <c r="Q1671">
        <v>27.485078954705699</v>
      </c>
      <c r="R1671">
        <v>68.394135161217804</v>
      </c>
      <c r="S1671">
        <v>-0.70020911554245302</v>
      </c>
      <c r="T1671">
        <v>43.334492818603103</v>
      </c>
      <c r="U1671">
        <v>0.27161597837835499</v>
      </c>
      <c r="V1671">
        <v>46.247140772967398</v>
      </c>
    </row>
    <row r="1672" spans="1:22" x14ac:dyDescent="0.25">
      <c r="A1672" t="str">
        <f t="shared" si="26"/>
        <v>Thailand2015</v>
      </c>
      <c r="B1672" t="s">
        <v>223</v>
      </c>
      <c r="C1672" t="s">
        <v>224</v>
      </c>
      <c r="D1672">
        <v>2015</v>
      </c>
      <c r="E1672">
        <v>5688.8533539788396</v>
      </c>
      <c r="F1672">
        <v>3.13404724911635</v>
      </c>
      <c r="G1672">
        <v>-0.90042496329156896</v>
      </c>
      <c r="H1672">
        <v>9</v>
      </c>
      <c r="I1672">
        <v>10.3239727428364</v>
      </c>
      <c r="J1672">
        <v>0.59699999999999998</v>
      </c>
      <c r="K1672">
        <v>19.3927758672544</v>
      </c>
      <c r="L1672">
        <v>21.255966389419299</v>
      </c>
      <c r="M1672">
        <v>0.72211357341251403</v>
      </c>
      <c r="N1672">
        <v>39.726619843919998</v>
      </c>
      <c r="O1672">
        <v>22.355640638324498</v>
      </c>
      <c r="P1672">
        <v>7.3546320500160203</v>
      </c>
      <c r="Q1672">
        <v>28.043823657924001</v>
      </c>
      <c r="R1672">
        <v>67.636690270586499</v>
      </c>
      <c r="S1672">
        <v>0.187656714842833</v>
      </c>
      <c r="T1672">
        <v>42.558530581607897</v>
      </c>
      <c r="U1672">
        <v>0.37499445493604699</v>
      </c>
      <c r="V1672">
        <v>48.2284751080592</v>
      </c>
    </row>
    <row r="1673" spans="1:22" x14ac:dyDescent="0.25">
      <c r="A1673" t="str">
        <f t="shared" si="26"/>
        <v>Thailand2016</v>
      </c>
      <c r="B1673" t="s">
        <v>223</v>
      </c>
      <c r="C1673" t="s">
        <v>224</v>
      </c>
      <c r="D1673">
        <v>2016</v>
      </c>
      <c r="E1673">
        <v>5833.5771561709798</v>
      </c>
      <c r="F1673">
        <v>3.4351577169218199</v>
      </c>
      <c r="G1673">
        <v>0.188149704448143</v>
      </c>
      <c r="H1673">
        <v>9</v>
      </c>
      <c r="I1673">
        <v>10.7814783921017</v>
      </c>
      <c r="J1673">
        <v>0.68799999999999994</v>
      </c>
      <c r="K1673">
        <v>19.665296401912698</v>
      </c>
      <c r="L1673">
        <v>20.548473595597802</v>
      </c>
      <c r="M1673">
        <v>2.6361676199892798</v>
      </c>
      <c r="N1673">
        <v>39.8914360247636</v>
      </c>
      <c r="O1673">
        <v>21.1054892015174</v>
      </c>
      <c r="P1673">
        <v>8.3413643874649708</v>
      </c>
      <c r="Q1673">
        <v>30.0765044478694</v>
      </c>
      <c r="R1673">
        <v>67.070883969301093</v>
      </c>
      <c r="S1673">
        <v>0.41300647381363698</v>
      </c>
      <c r="T1673">
        <v>41.7454861002672</v>
      </c>
      <c r="U1673">
        <v>0.42730990616435599</v>
      </c>
      <c r="V1673">
        <v>49.231144166706301</v>
      </c>
    </row>
    <row r="1674" spans="1:22" x14ac:dyDescent="0.25">
      <c r="A1674" t="str">
        <f t="shared" si="26"/>
        <v>Thailand2017</v>
      </c>
      <c r="B1674" t="s">
        <v>223</v>
      </c>
      <c r="C1674" t="s">
        <v>224</v>
      </c>
      <c r="D1674">
        <v>2017</v>
      </c>
      <c r="E1674">
        <v>6413.0918253034297</v>
      </c>
      <c r="F1674">
        <v>4.1776810321001001</v>
      </c>
      <c r="G1674">
        <v>0.66563189313510596</v>
      </c>
      <c r="H1674">
        <v>9</v>
      </c>
      <c r="I1674">
        <v>11.2659962515276</v>
      </c>
      <c r="J1674">
        <v>0.83</v>
      </c>
      <c r="K1674">
        <v>19.122663547864001</v>
      </c>
      <c r="L1674">
        <v>19.8604658024679</v>
      </c>
      <c r="M1674">
        <v>1.8999449899776999</v>
      </c>
      <c r="N1674">
        <v>40.061854191269099</v>
      </c>
      <c r="O1674">
        <v>22.934295688769499</v>
      </c>
      <c r="P1674">
        <v>8.7816295916752498</v>
      </c>
      <c r="Q1674">
        <v>31.942467231778899</v>
      </c>
      <c r="R1674">
        <v>66.672832466376704</v>
      </c>
      <c r="S1674">
        <v>-0.50569580058281005</v>
      </c>
      <c r="T1674">
        <v>41.777456872989497</v>
      </c>
      <c r="U1674">
        <v>0.39158351911629502</v>
      </c>
      <c r="V1674">
        <v>48.546418296446397</v>
      </c>
    </row>
    <row r="1675" spans="1:22" x14ac:dyDescent="0.25">
      <c r="A1675" t="str">
        <f t="shared" si="26"/>
        <v>Thailand2018</v>
      </c>
      <c r="B1675" t="s">
        <v>223</v>
      </c>
      <c r="C1675" t="s">
        <v>224</v>
      </c>
      <c r="D1675">
        <v>2018</v>
      </c>
      <c r="E1675">
        <v>7099.7765008145798</v>
      </c>
      <c r="F1675">
        <v>4.2228702874607098</v>
      </c>
      <c r="G1675">
        <v>1.0638975418302401</v>
      </c>
      <c r="H1675">
        <v>9</v>
      </c>
      <c r="I1675">
        <v>11.783330181133399</v>
      </c>
      <c r="J1675">
        <v>0.76500000000000001</v>
      </c>
      <c r="K1675">
        <v>19.019694260613601</v>
      </c>
      <c r="L1675">
        <v>20.176952588859798</v>
      </c>
      <c r="M1675">
        <v>1.4285861642072699</v>
      </c>
      <c r="N1675">
        <v>40.301340511621298</v>
      </c>
      <c r="O1675">
        <v>25.2195901594439</v>
      </c>
      <c r="P1675">
        <v>7.7882491664913802</v>
      </c>
      <c r="Q1675">
        <v>31.686584944472902</v>
      </c>
      <c r="R1675">
        <v>64.838096899332001</v>
      </c>
      <c r="S1675">
        <v>0.202900347274312</v>
      </c>
      <c r="T1675">
        <v>41.941073194192803</v>
      </c>
      <c r="U1675">
        <v>0.39954942475578398</v>
      </c>
      <c r="V1675">
        <v>48.699091491865502</v>
      </c>
    </row>
    <row r="1676" spans="1:22" x14ac:dyDescent="0.25">
      <c r="A1676" t="str">
        <f t="shared" si="26"/>
        <v>Thailand2019</v>
      </c>
      <c r="B1676" t="s">
        <v>223</v>
      </c>
      <c r="C1676" t="s">
        <v>224</v>
      </c>
      <c r="D1676">
        <v>2019</v>
      </c>
      <c r="E1676">
        <v>7605.6965779775901</v>
      </c>
      <c r="F1676">
        <v>2.1145577962827802</v>
      </c>
      <c r="G1676">
        <v>0.70672860131431103</v>
      </c>
      <c r="H1676">
        <v>9</v>
      </c>
      <c r="I1676">
        <v>12.3287535151114</v>
      </c>
      <c r="J1676">
        <v>0.71599999999999997</v>
      </c>
      <c r="K1676">
        <v>18.6665827342784</v>
      </c>
      <c r="L1676">
        <v>20.004122902050799</v>
      </c>
      <c r="M1676">
        <v>1.01442340642497</v>
      </c>
      <c r="N1676">
        <v>40.607794056072997</v>
      </c>
      <c r="O1676">
        <v>23.814752574637499</v>
      </c>
      <c r="P1676">
        <v>8.9015208489179205</v>
      </c>
      <c r="Q1676">
        <v>31.5155064013965</v>
      </c>
      <c r="R1676">
        <v>59.518890621885902</v>
      </c>
      <c r="S1676">
        <v>0.42686174319833903</v>
      </c>
      <c r="T1676">
        <v>41.063058311946399</v>
      </c>
      <c r="U1676">
        <v>0.40085919134957199</v>
      </c>
      <c r="V1676">
        <v>48.724194256093099</v>
      </c>
    </row>
    <row r="1677" spans="1:22" x14ac:dyDescent="0.25">
      <c r="A1677" t="str">
        <f t="shared" si="26"/>
        <v>Thailand2020</v>
      </c>
      <c r="B1677" t="s">
        <v>223</v>
      </c>
      <c r="C1677" t="s">
        <v>224</v>
      </c>
      <c r="D1677">
        <v>2020</v>
      </c>
      <c r="E1677">
        <v>6985.6439389257403</v>
      </c>
      <c r="F1677">
        <v>-6.0500384685162203</v>
      </c>
      <c r="G1677">
        <v>-0.84593714735704095</v>
      </c>
      <c r="H1677">
        <v>9</v>
      </c>
      <c r="I1677">
        <v>12.8979852852991</v>
      </c>
      <c r="J1677">
        <v>1.099</v>
      </c>
      <c r="K1677">
        <v>22.831357459655798</v>
      </c>
      <c r="L1677">
        <v>20.065873684034202</v>
      </c>
      <c r="M1677">
        <v>-1.2987750574158099</v>
      </c>
      <c r="N1677">
        <v>40.974368915158003</v>
      </c>
      <c r="O1677">
        <v>23.755385172269602</v>
      </c>
      <c r="P1677">
        <v>12.2043932728337</v>
      </c>
      <c r="Q1677">
        <v>28.042922368654398</v>
      </c>
      <c r="R1677">
        <v>51.494426608891899</v>
      </c>
      <c r="S1677">
        <v>-4.4703757364345096</v>
      </c>
      <c r="T1677">
        <v>49.433699999256703</v>
      </c>
      <c r="U1677">
        <v>7.5641870789619703E-2</v>
      </c>
      <c r="V1677">
        <v>42.491134289956001</v>
      </c>
    </row>
    <row r="1678" spans="1:22" x14ac:dyDescent="0.25">
      <c r="A1678" t="str">
        <f t="shared" si="26"/>
        <v>Thailand2021</v>
      </c>
      <c r="B1678" t="s">
        <v>223</v>
      </c>
      <c r="C1678" t="s">
        <v>224</v>
      </c>
      <c r="D1678">
        <v>2021</v>
      </c>
      <c r="E1678">
        <v>7057.2075480227904</v>
      </c>
      <c r="F1678">
        <v>1.55216608426647</v>
      </c>
      <c r="G1678">
        <v>1.2303954131838399</v>
      </c>
      <c r="H1678">
        <v>9</v>
      </c>
      <c r="I1678">
        <v>13.4920297885888</v>
      </c>
      <c r="J1678">
        <v>1.2150000000000001</v>
      </c>
      <c r="K1678">
        <v>25.132994371996201</v>
      </c>
      <c r="L1678">
        <v>19.227158912917002</v>
      </c>
      <c r="M1678">
        <v>1.7746919298433099</v>
      </c>
      <c r="N1678">
        <v>41.408435854319798</v>
      </c>
      <c r="O1678">
        <v>28.6690364408067</v>
      </c>
      <c r="P1678">
        <v>9.0110032067460004</v>
      </c>
      <c r="Q1678">
        <v>27.4646826657448</v>
      </c>
      <c r="R1678">
        <v>58.559389184928698</v>
      </c>
      <c r="S1678">
        <v>-6.7247943714348004</v>
      </c>
      <c r="T1678">
        <v>58.366612459945003</v>
      </c>
      <c r="U1678">
        <v>-1.1283968435369499E-2</v>
      </c>
      <c r="V1678">
        <v>40.825128409447302</v>
      </c>
    </row>
    <row r="1679" spans="1:22" x14ac:dyDescent="0.25">
      <c r="A1679" t="str">
        <f t="shared" si="26"/>
        <v>Thailand2022</v>
      </c>
      <c r="B1679" t="s">
        <v>223</v>
      </c>
      <c r="C1679" t="s">
        <v>224</v>
      </c>
      <c r="D1679">
        <v>2022</v>
      </c>
      <c r="E1679">
        <v>6909.3528181582697</v>
      </c>
      <c r="F1679">
        <v>2.58037874709827</v>
      </c>
      <c r="G1679">
        <v>-1.6106803048668801</v>
      </c>
      <c r="H1679">
        <v>9</v>
      </c>
      <c r="I1679">
        <v>14.0967841661394</v>
      </c>
      <c r="J1679">
        <v>0.94</v>
      </c>
      <c r="K1679">
        <v>22.232044394816199</v>
      </c>
      <c r="L1679">
        <v>18.976842119467399</v>
      </c>
      <c r="M1679">
        <v>4.6595523378654597</v>
      </c>
      <c r="N1679">
        <v>41.903854137237403</v>
      </c>
      <c r="O1679">
        <v>27.858429253958299</v>
      </c>
      <c r="P1679">
        <v>7.1172243768034997</v>
      </c>
      <c r="Q1679">
        <v>26.308404483958199</v>
      </c>
      <c r="R1679">
        <v>65.372764191408294</v>
      </c>
      <c r="S1679">
        <v>-4.6093597479264004</v>
      </c>
      <c r="T1679">
        <v>60.548193476397401</v>
      </c>
      <c r="U1679">
        <v>8.9063516385209707E-2</v>
      </c>
      <c r="V1679">
        <v>42.748371271361201</v>
      </c>
    </row>
    <row r="1680" spans="1:22" x14ac:dyDescent="0.25">
      <c r="A1680" t="str">
        <f t="shared" si="26"/>
        <v>Thailand2023</v>
      </c>
      <c r="B1680" t="s">
        <v>223</v>
      </c>
      <c r="C1680" t="s">
        <v>224</v>
      </c>
      <c r="D1680">
        <v>2023</v>
      </c>
      <c r="E1680">
        <v>7195.1013091944897</v>
      </c>
      <c r="F1680">
        <v>2.01775095328327</v>
      </c>
      <c r="G1680">
        <v>8.4780517442154295</v>
      </c>
      <c r="H1680">
        <v>9</v>
      </c>
      <c r="I1680">
        <v>14.7182560815403</v>
      </c>
      <c r="J1680">
        <v>0.73299999999999998</v>
      </c>
      <c r="K1680">
        <v>20.766468460769499</v>
      </c>
      <c r="L1680">
        <v>19.9847065770842</v>
      </c>
      <c r="M1680">
        <v>1.2749216984249601</v>
      </c>
      <c r="N1680">
        <v>42.466247375789401</v>
      </c>
      <c r="O1680">
        <v>22.460509991050799</v>
      </c>
      <c r="P1680">
        <v>7.5665889321561703</v>
      </c>
      <c r="Q1680">
        <v>25.321664281742201</v>
      </c>
      <c r="R1680">
        <v>65.4445629404008</v>
      </c>
      <c r="S1680">
        <v>-1.90895207594452</v>
      </c>
      <c r="T1680">
        <v>62.235651644675301</v>
      </c>
      <c r="U1680">
        <v>0.26530922396564</v>
      </c>
      <c r="V1680">
        <v>46.126266588349999</v>
      </c>
    </row>
    <row r="1681" spans="1:22" x14ac:dyDescent="0.25">
      <c r="A1681" t="str">
        <f t="shared" si="26"/>
        <v>Thailand2024</v>
      </c>
      <c r="B1681" t="s">
        <v>223</v>
      </c>
      <c r="C1681" t="s">
        <v>224</v>
      </c>
      <c r="D1681">
        <v>2024</v>
      </c>
      <c r="E1681">
        <v>7346.6202214218501</v>
      </c>
      <c r="F1681">
        <v>2.5418206773528902</v>
      </c>
      <c r="G1681">
        <v>1.3658054079803701</v>
      </c>
      <c r="H1681">
        <v>9</v>
      </c>
      <c r="I1681">
        <v>15.3627543814492</v>
      </c>
      <c r="J1681">
        <v>0.78100000000000003</v>
      </c>
      <c r="K1681">
        <v>19.541377380326299</v>
      </c>
      <c r="L1681">
        <v>20.34632257645</v>
      </c>
      <c r="M1681">
        <v>0.93219885425632798</v>
      </c>
      <c r="N1681">
        <v>43.086564882783399</v>
      </c>
      <c r="O1681">
        <v>21.5809288126556</v>
      </c>
      <c r="P1681">
        <v>7.4557037262725796</v>
      </c>
      <c r="Q1681">
        <v>23.780668443832699</v>
      </c>
      <c r="R1681">
        <v>70.049730741075905</v>
      </c>
      <c r="S1681">
        <v>-1.2874513666301599</v>
      </c>
      <c r="T1681">
        <v>62.913108047319803</v>
      </c>
      <c r="U1681">
        <v>0.32079369080794701</v>
      </c>
      <c r="V1681">
        <v>47.1896724623723</v>
      </c>
    </row>
    <row r="1682" spans="1:22" x14ac:dyDescent="0.25">
      <c r="A1682" t="str">
        <f t="shared" si="26"/>
        <v>Thailand2025</v>
      </c>
      <c r="B1682" t="s">
        <v>223</v>
      </c>
      <c r="C1682" t="s">
        <v>224</v>
      </c>
      <c r="D1682">
        <v>2025</v>
      </c>
      <c r="E1682">
        <v>6413.0918253034297</v>
      </c>
      <c r="F1682">
        <v>2.58037874709827</v>
      </c>
      <c r="G1682">
        <v>1.2303954131838399</v>
      </c>
      <c r="H1682">
        <v>9</v>
      </c>
      <c r="I1682">
        <v>11.2659962515276</v>
      </c>
      <c r="J1682">
        <v>0.78100000000000003</v>
      </c>
      <c r="K1682">
        <v>19.541377380326299</v>
      </c>
      <c r="L1682">
        <v>20.004122902050799</v>
      </c>
      <c r="M1682">
        <v>1.7746919298433099</v>
      </c>
      <c r="N1682">
        <v>40.289045632397404</v>
      </c>
      <c r="O1682">
        <v>23.919019547850102</v>
      </c>
      <c r="P1682">
        <v>7.7415200687601198</v>
      </c>
      <c r="Q1682">
        <v>28.043823657924001</v>
      </c>
      <c r="R1682">
        <v>66.672832466376704</v>
      </c>
      <c r="S1682">
        <v>-1.9062491709089899</v>
      </c>
      <c r="T1682">
        <v>64.685075930424901</v>
      </c>
      <c r="U1682">
        <v>0.20694599721715201</v>
      </c>
      <c r="V1682">
        <v>45.007686890582903</v>
      </c>
    </row>
    <row r="1683" spans="1:22" x14ac:dyDescent="0.25">
      <c r="A1683" t="str">
        <f t="shared" si="26"/>
        <v>Tonga2010</v>
      </c>
      <c r="B1683" t="s">
        <v>225</v>
      </c>
      <c r="C1683" t="s">
        <v>226</v>
      </c>
      <c r="D1683">
        <v>2010</v>
      </c>
      <c r="E1683">
        <v>3416.0835660120702</v>
      </c>
      <c r="F1683">
        <v>0.82439691408183102</v>
      </c>
      <c r="G1683">
        <v>3.5349123918983101</v>
      </c>
      <c r="H1683">
        <v>6</v>
      </c>
      <c r="I1683">
        <v>5.7695799328674697</v>
      </c>
      <c r="J1683">
        <v>1.5009999999999999</v>
      </c>
      <c r="K1683">
        <v>31.142587342398699</v>
      </c>
      <c r="L1683">
        <v>23.418783001626402</v>
      </c>
      <c r="M1683">
        <v>7.7215855039798802</v>
      </c>
      <c r="N1683">
        <v>76.533144857739302</v>
      </c>
      <c r="O1683">
        <v>29.154741367189999</v>
      </c>
      <c r="P1683">
        <v>5.3844131715907304</v>
      </c>
      <c r="Q1683">
        <v>15.269547097008701</v>
      </c>
      <c r="R1683">
        <v>12.500563441698301</v>
      </c>
      <c r="S1683">
        <v>-1.21693464261976</v>
      </c>
      <c r="T1683">
        <v>44.732209145275398</v>
      </c>
      <c r="U1683">
        <v>-0.64660606796017495</v>
      </c>
      <c r="V1683">
        <v>28.648652884306198</v>
      </c>
    </row>
    <row r="1684" spans="1:22" x14ac:dyDescent="0.25">
      <c r="A1684" t="str">
        <f t="shared" si="26"/>
        <v>Tonga2011</v>
      </c>
      <c r="B1684" t="s">
        <v>225</v>
      </c>
      <c r="C1684" t="s">
        <v>226</v>
      </c>
      <c r="D1684">
        <v>2011</v>
      </c>
      <c r="E1684">
        <v>3849.99375750134</v>
      </c>
      <c r="F1684">
        <v>6.7036974623876802</v>
      </c>
      <c r="G1684">
        <v>6.2707530299569099</v>
      </c>
      <c r="H1684">
        <v>6</v>
      </c>
      <c r="I1684">
        <v>5.8548194423140396</v>
      </c>
      <c r="J1684">
        <v>1.5940000000000001</v>
      </c>
      <c r="K1684">
        <v>31.142587342398699</v>
      </c>
      <c r="L1684">
        <v>23.418783001626402</v>
      </c>
      <c r="M1684">
        <v>0.47522679158311099</v>
      </c>
      <c r="N1684">
        <v>76.179635422637901</v>
      </c>
      <c r="O1684">
        <v>35.2538323322593</v>
      </c>
      <c r="P1684">
        <v>6.3265738911107796</v>
      </c>
      <c r="Q1684">
        <v>19.578132591553999</v>
      </c>
      <c r="R1684">
        <v>16.252918838208501</v>
      </c>
      <c r="S1684">
        <v>-6.0234703260468203</v>
      </c>
      <c r="T1684">
        <v>51.853432095526898</v>
      </c>
      <c r="U1684">
        <v>-0.81252411758507403</v>
      </c>
      <c r="V1684">
        <v>25.468695706761501</v>
      </c>
    </row>
    <row r="1685" spans="1:22" x14ac:dyDescent="0.25">
      <c r="A1685" t="str">
        <f t="shared" si="26"/>
        <v>Tonga2012</v>
      </c>
      <c r="B1685" t="s">
        <v>225</v>
      </c>
      <c r="C1685" t="s">
        <v>226</v>
      </c>
      <c r="D1685">
        <v>2012</v>
      </c>
      <c r="E1685">
        <v>4384.1705872421699</v>
      </c>
      <c r="F1685">
        <v>0.91976102492307599</v>
      </c>
      <c r="G1685">
        <v>1.14753853706055</v>
      </c>
      <c r="H1685">
        <v>8</v>
      </c>
      <c r="I1685">
        <v>5.9357246218342699</v>
      </c>
      <c r="J1685">
        <v>1.6379999999999999</v>
      </c>
      <c r="K1685">
        <v>31.142587342398699</v>
      </c>
      <c r="L1685">
        <v>23.418783001626402</v>
      </c>
      <c r="M1685">
        <v>4.2845978100641799</v>
      </c>
      <c r="N1685">
        <v>75.985064360813595</v>
      </c>
      <c r="O1685">
        <v>36.4235322935616</v>
      </c>
      <c r="P1685">
        <v>6.1510188431075097</v>
      </c>
      <c r="Q1685">
        <v>23.699352209016901</v>
      </c>
      <c r="R1685">
        <v>17.056324351482601</v>
      </c>
      <c r="S1685">
        <v>-1.7373997018360801</v>
      </c>
      <c r="T1685">
        <v>60.047407567590099</v>
      </c>
      <c r="U1685">
        <v>-0.56483754390297902</v>
      </c>
      <c r="V1685">
        <v>30.215814537669299</v>
      </c>
    </row>
    <row r="1686" spans="1:22" x14ac:dyDescent="0.25">
      <c r="A1686" t="str">
        <f t="shared" si="26"/>
        <v>Tonga2013</v>
      </c>
      <c r="B1686" t="s">
        <v>225</v>
      </c>
      <c r="C1686" t="s">
        <v>226</v>
      </c>
      <c r="D1686">
        <v>2013</v>
      </c>
      <c r="E1686">
        <v>4219.2467011301396</v>
      </c>
      <c r="F1686">
        <v>0.39392253013733097</v>
      </c>
      <c r="G1686">
        <v>0.77562932236741999</v>
      </c>
      <c r="H1686">
        <v>8</v>
      </c>
      <c r="I1686">
        <v>5.9853844178282101</v>
      </c>
      <c r="J1686">
        <v>1.75</v>
      </c>
      <c r="K1686">
        <v>27.650657763082599</v>
      </c>
      <c r="L1686">
        <v>19.327459360011702</v>
      </c>
      <c r="M1686">
        <v>-2.29125768149822</v>
      </c>
      <c r="N1686">
        <v>75.664413675437999</v>
      </c>
      <c r="O1686">
        <v>23.482714831519601</v>
      </c>
      <c r="P1686">
        <v>6.33635402627276</v>
      </c>
      <c r="Q1686">
        <v>20.386844022424299</v>
      </c>
      <c r="R1686">
        <v>20.303633850024301</v>
      </c>
      <c r="S1686">
        <v>-1.3008617462396299</v>
      </c>
      <c r="T1686">
        <v>48.914578904203999</v>
      </c>
      <c r="U1686">
        <v>-0.48190651721224398</v>
      </c>
      <c r="V1686">
        <v>31.805256519193001</v>
      </c>
    </row>
    <row r="1687" spans="1:22" x14ac:dyDescent="0.25">
      <c r="A1687" t="str">
        <f t="shared" si="26"/>
        <v>Tonga2014</v>
      </c>
      <c r="B1687" t="s">
        <v>225</v>
      </c>
      <c r="C1687" t="s">
        <v>226</v>
      </c>
      <c r="D1687">
        <v>2014</v>
      </c>
      <c r="E1687">
        <v>4136.59013792529</v>
      </c>
      <c r="F1687">
        <v>1.9905362549705501</v>
      </c>
      <c r="G1687">
        <v>2.5108763325370602</v>
      </c>
      <c r="H1687">
        <v>15</v>
      </c>
      <c r="I1687">
        <v>5.9971484583853103</v>
      </c>
      <c r="J1687">
        <v>1.9139999999999999</v>
      </c>
      <c r="K1687">
        <v>30.3775518946562</v>
      </c>
      <c r="L1687">
        <v>20.167875941952101</v>
      </c>
      <c r="M1687">
        <v>4.15402317163256E-2</v>
      </c>
      <c r="N1687">
        <v>75.263036759387106</v>
      </c>
      <c r="O1687">
        <v>22.596908462501801</v>
      </c>
      <c r="P1687">
        <v>7.0050462702673801</v>
      </c>
      <c r="Q1687">
        <v>15.5789880885784</v>
      </c>
      <c r="R1687">
        <v>16.9270363985678</v>
      </c>
      <c r="S1687">
        <v>6.3803213139718897</v>
      </c>
      <c r="T1687">
        <v>47.355895974893301</v>
      </c>
      <c r="U1687">
        <v>0.23983390626553899</v>
      </c>
      <c r="V1687">
        <v>45.638010973280899</v>
      </c>
    </row>
    <row r="1688" spans="1:22" x14ac:dyDescent="0.25">
      <c r="A1688" t="str">
        <f t="shared" si="26"/>
        <v>Tonga2015</v>
      </c>
      <c r="B1688" t="s">
        <v>225</v>
      </c>
      <c r="C1688" t="s">
        <v>226</v>
      </c>
      <c r="D1688">
        <v>2015</v>
      </c>
      <c r="E1688">
        <v>4123.90323993332</v>
      </c>
      <c r="F1688">
        <v>1.11374405685874</v>
      </c>
      <c r="G1688">
        <v>-1.05399831971283</v>
      </c>
      <c r="H1688">
        <v>15</v>
      </c>
      <c r="I1688">
        <v>6.0082944530844999</v>
      </c>
      <c r="J1688">
        <v>2.0219999999999998</v>
      </c>
      <c r="K1688">
        <v>30.226760037621101</v>
      </c>
      <c r="L1688">
        <v>22.222534660382902</v>
      </c>
      <c r="M1688">
        <v>5.2019578891721103</v>
      </c>
      <c r="N1688">
        <v>74.640746654376102</v>
      </c>
      <c r="O1688">
        <v>25.361484526572902</v>
      </c>
      <c r="P1688">
        <v>7.03698341298246</v>
      </c>
      <c r="Q1688">
        <v>9.1224617880377696</v>
      </c>
      <c r="R1688">
        <v>16.958150987297099</v>
      </c>
      <c r="S1688">
        <v>-2.7482069543200001</v>
      </c>
      <c r="T1688">
        <v>51.114972145912901</v>
      </c>
      <c r="U1688">
        <v>-0.229771017517479</v>
      </c>
      <c r="V1688">
        <v>36.637642710935502</v>
      </c>
    </row>
    <row r="1689" spans="1:22" x14ac:dyDescent="0.25">
      <c r="A1689" t="str">
        <f t="shared" si="26"/>
        <v>Tonga2016</v>
      </c>
      <c r="B1689" t="s">
        <v>225</v>
      </c>
      <c r="C1689" t="s">
        <v>226</v>
      </c>
      <c r="D1689">
        <v>2016</v>
      </c>
      <c r="E1689">
        <v>3987.9862620628701</v>
      </c>
      <c r="F1689">
        <v>6.5987043611834402</v>
      </c>
      <c r="G1689">
        <v>2.57815515245081</v>
      </c>
      <c r="H1689">
        <v>15</v>
      </c>
      <c r="I1689">
        <v>6.0289602365338704</v>
      </c>
      <c r="J1689">
        <v>2.048</v>
      </c>
      <c r="K1689">
        <v>31.142587342398699</v>
      </c>
      <c r="L1689">
        <v>23.9322380093977</v>
      </c>
      <c r="M1689">
        <v>2.9735553826154701</v>
      </c>
      <c r="N1689">
        <v>74.034370155358403</v>
      </c>
      <c r="O1689">
        <v>24.6899407124926</v>
      </c>
      <c r="P1689">
        <v>7.6152521185583799</v>
      </c>
      <c r="Q1689">
        <v>14.716763006138899</v>
      </c>
      <c r="R1689">
        <v>24.505559519250799</v>
      </c>
      <c r="S1689">
        <v>1.4677231922446199</v>
      </c>
      <c r="T1689">
        <v>49.381780118939801</v>
      </c>
      <c r="U1689">
        <v>0.14062802569222199</v>
      </c>
      <c r="V1689">
        <v>43.736647904603501</v>
      </c>
    </row>
    <row r="1690" spans="1:22" x14ac:dyDescent="0.25">
      <c r="A1690" t="str">
        <f t="shared" si="26"/>
        <v>Tonga2017</v>
      </c>
      <c r="B1690" t="s">
        <v>225</v>
      </c>
      <c r="C1690" t="s">
        <v>226</v>
      </c>
      <c r="D1690">
        <v>2017</v>
      </c>
      <c r="E1690">
        <v>4365.9293278838304</v>
      </c>
      <c r="F1690">
        <v>3.2023165092282002</v>
      </c>
      <c r="G1690">
        <v>7.5170628355111502</v>
      </c>
      <c r="H1690">
        <v>15</v>
      </c>
      <c r="I1690">
        <v>6.0685014071405901</v>
      </c>
      <c r="J1690">
        <v>2.137</v>
      </c>
      <c r="K1690">
        <v>31.893311053298898</v>
      </c>
      <c r="L1690">
        <v>23.939160431607199</v>
      </c>
      <c r="M1690">
        <v>5.5752864595919496</v>
      </c>
      <c r="N1690">
        <v>73.750350446097301</v>
      </c>
      <c r="O1690">
        <v>27.903071633040302</v>
      </c>
      <c r="P1690">
        <v>7.4029242053778397</v>
      </c>
      <c r="Q1690">
        <v>20.675321202467799</v>
      </c>
      <c r="R1690">
        <v>22.176134786022899</v>
      </c>
      <c r="S1690">
        <v>3.57863991697702</v>
      </c>
      <c r="T1690">
        <v>44.717669335061998</v>
      </c>
      <c r="U1690">
        <v>0.22205294973763701</v>
      </c>
      <c r="V1690">
        <v>45.297224178460503</v>
      </c>
    </row>
    <row r="1691" spans="1:22" x14ac:dyDescent="0.25">
      <c r="A1691" t="str">
        <f t="shared" si="26"/>
        <v>Tonga2018</v>
      </c>
      <c r="B1691" t="s">
        <v>225</v>
      </c>
      <c r="C1691" t="s">
        <v>226</v>
      </c>
      <c r="D1691">
        <v>2018</v>
      </c>
      <c r="E1691">
        <v>4675.0479127438502</v>
      </c>
      <c r="F1691">
        <v>0.527827266310538</v>
      </c>
      <c r="G1691">
        <v>5.0320969198487404</v>
      </c>
      <c r="H1691">
        <v>15</v>
      </c>
      <c r="I1691">
        <v>6.1463627192338501</v>
      </c>
      <c r="J1691">
        <v>2.2480000000000002</v>
      </c>
      <c r="K1691">
        <v>31.0773621606671</v>
      </c>
      <c r="L1691">
        <v>24.684358985860001</v>
      </c>
      <c r="M1691">
        <v>5.9231290382736699</v>
      </c>
      <c r="N1691">
        <v>73.470159064019995</v>
      </c>
      <c r="O1691">
        <v>24.516659530255399</v>
      </c>
      <c r="P1691">
        <v>7.5957037410591699</v>
      </c>
      <c r="Q1691">
        <v>18.893049419512302</v>
      </c>
      <c r="R1691">
        <v>21.211416558861199</v>
      </c>
      <c r="S1691">
        <v>2.8983286839650999</v>
      </c>
      <c r="T1691">
        <v>45.469780681237403</v>
      </c>
      <c r="U1691">
        <v>0.190277740760943</v>
      </c>
      <c r="V1691">
        <v>44.688225916476</v>
      </c>
    </row>
    <row r="1692" spans="1:22" x14ac:dyDescent="0.25">
      <c r="A1692" t="str">
        <f t="shared" si="26"/>
        <v>Tonga2019</v>
      </c>
      <c r="B1692" t="s">
        <v>225</v>
      </c>
      <c r="C1692" t="s">
        <v>226</v>
      </c>
      <c r="D1692">
        <v>2019</v>
      </c>
      <c r="E1692">
        <v>4788.8334230468399</v>
      </c>
      <c r="F1692">
        <v>-0.28520879473508398</v>
      </c>
      <c r="G1692">
        <v>1.1795433482180799</v>
      </c>
      <c r="H1692">
        <v>15</v>
      </c>
      <c r="I1692">
        <v>6.2354794902975801</v>
      </c>
      <c r="J1692">
        <v>2.165</v>
      </c>
      <c r="K1692">
        <v>30.6375379365758</v>
      </c>
      <c r="L1692">
        <v>23.7028917186122</v>
      </c>
      <c r="M1692">
        <v>6.48839600547704</v>
      </c>
      <c r="N1692">
        <v>73.091665574629801</v>
      </c>
      <c r="O1692">
        <v>27.597198484682899</v>
      </c>
      <c r="P1692">
        <v>7.55402839460994</v>
      </c>
      <c r="Q1692">
        <v>20.164247122322799</v>
      </c>
      <c r="R1692">
        <v>22.233304159802799</v>
      </c>
      <c r="S1692">
        <v>3.20113991878454</v>
      </c>
      <c r="T1692">
        <v>41.795718017139599</v>
      </c>
      <c r="U1692">
        <v>0.18020392316553099</v>
      </c>
      <c r="V1692">
        <v>44.4951528382893</v>
      </c>
    </row>
    <row r="1693" spans="1:22" x14ac:dyDescent="0.25">
      <c r="A1693" t="str">
        <f t="shared" si="26"/>
        <v>Tonga2020</v>
      </c>
      <c r="B1693" t="s">
        <v>225</v>
      </c>
      <c r="C1693" t="s">
        <v>226</v>
      </c>
      <c r="D1693">
        <v>2020</v>
      </c>
      <c r="E1693">
        <v>4792.3585474152196</v>
      </c>
      <c r="F1693">
        <v>1.8061873534119599</v>
      </c>
      <c r="G1693">
        <v>-0.34973769672749599</v>
      </c>
      <c r="H1693">
        <v>15</v>
      </c>
      <c r="I1693">
        <v>6.3351733859332997</v>
      </c>
      <c r="J1693">
        <v>2.7120000000000002</v>
      </c>
      <c r="K1693">
        <v>31.490568080621099</v>
      </c>
      <c r="L1693">
        <v>24.035195336320001</v>
      </c>
      <c r="M1693">
        <v>-1.4692406429787801E-2</v>
      </c>
      <c r="N1693">
        <v>72.734700547430293</v>
      </c>
      <c r="O1693">
        <v>24.572872916242599</v>
      </c>
      <c r="P1693">
        <v>10.8751830132761</v>
      </c>
      <c r="Q1693">
        <v>20.7929628589659</v>
      </c>
      <c r="R1693">
        <v>19.705122409668501</v>
      </c>
      <c r="S1693">
        <v>5.1458088129410902</v>
      </c>
      <c r="T1693">
        <v>41.735908206676797</v>
      </c>
      <c r="U1693">
        <v>0.34999275787831402</v>
      </c>
      <c r="V1693">
        <v>47.749296825833298</v>
      </c>
    </row>
    <row r="1694" spans="1:22" x14ac:dyDescent="0.25">
      <c r="A1694" t="str">
        <f t="shared" si="26"/>
        <v>Tonga2021</v>
      </c>
      <c r="B1694" t="s">
        <v>225</v>
      </c>
      <c r="C1694" t="s">
        <v>226</v>
      </c>
      <c r="D1694">
        <v>2021</v>
      </c>
      <c r="E1694">
        <v>4922.8017137836796</v>
      </c>
      <c r="F1694">
        <v>-0.93492630373502505</v>
      </c>
      <c r="G1694">
        <v>5.6405114063675104</v>
      </c>
      <c r="H1694">
        <v>15</v>
      </c>
      <c r="I1694">
        <v>6.4219661672488701</v>
      </c>
      <c r="J1694">
        <v>2.1110000000000002</v>
      </c>
      <c r="K1694">
        <v>36.000992400558701</v>
      </c>
      <c r="L1694">
        <v>23.418783001626402</v>
      </c>
      <c r="M1694">
        <v>2.03760161835595</v>
      </c>
      <c r="N1694">
        <v>72.633249873173298</v>
      </c>
      <c r="O1694">
        <v>33.140484878235497</v>
      </c>
      <c r="P1694">
        <v>13.7642382413954</v>
      </c>
      <c r="Q1694">
        <v>26.797278435375201</v>
      </c>
      <c r="R1694">
        <v>11.0814141797271</v>
      </c>
      <c r="S1694">
        <v>-0.86677867653234797</v>
      </c>
      <c r="T1694">
        <v>42.954643154623597</v>
      </c>
      <c r="U1694">
        <v>4.2452127075494402E-2</v>
      </c>
      <c r="V1694">
        <v>41.855025295285401</v>
      </c>
    </row>
    <row r="1695" spans="1:22" x14ac:dyDescent="0.25">
      <c r="A1695" t="str">
        <f t="shared" si="26"/>
        <v>Tonga2022</v>
      </c>
      <c r="B1695" t="s">
        <v>225</v>
      </c>
      <c r="C1695" t="s">
        <v>226</v>
      </c>
      <c r="D1695">
        <v>2022</v>
      </c>
      <c r="E1695">
        <v>5298.0194150995103</v>
      </c>
      <c r="F1695">
        <v>-2.1285445240519301</v>
      </c>
      <c r="G1695">
        <v>10.971365290302201</v>
      </c>
      <c r="H1695">
        <v>15</v>
      </c>
      <c r="I1695">
        <v>6.5007330401172903</v>
      </c>
      <c r="J1695">
        <v>2.0019999999999998</v>
      </c>
      <c r="K1695">
        <v>39.9560181323424</v>
      </c>
      <c r="L1695">
        <v>22.3197253428756</v>
      </c>
      <c r="M1695">
        <v>9.1993513748314104</v>
      </c>
      <c r="N1695">
        <v>72.840359364201802</v>
      </c>
      <c r="O1695">
        <v>27.326019896157099</v>
      </c>
      <c r="P1695">
        <v>13.0498436712823</v>
      </c>
      <c r="Q1695">
        <v>27.495840300219999</v>
      </c>
      <c r="R1695">
        <v>10.7634075818954</v>
      </c>
      <c r="S1695">
        <v>-9.3670755599478794E-2</v>
      </c>
      <c r="T1695">
        <v>40.239269730105804</v>
      </c>
      <c r="U1695">
        <v>0.14457966599509101</v>
      </c>
      <c r="V1695">
        <v>43.812384371929298</v>
      </c>
    </row>
    <row r="1696" spans="1:22" x14ac:dyDescent="0.25">
      <c r="A1696" t="str">
        <f t="shared" si="26"/>
        <v>Tonga2023</v>
      </c>
      <c r="B1696" t="s">
        <v>225</v>
      </c>
      <c r="C1696" t="s">
        <v>226</v>
      </c>
      <c r="D1696">
        <v>2023</v>
      </c>
      <c r="E1696">
        <v>5651.59373063157</v>
      </c>
      <c r="F1696">
        <v>2.7901436686266798</v>
      </c>
      <c r="G1696">
        <v>6.3511298025518901</v>
      </c>
      <c r="H1696">
        <v>15</v>
      </c>
      <c r="I1696">
        <v>6.6024522574631304</v>
      </c>
      <c r="J1696">
        <v>1.6519999999999999</v>
      </c>
      <c r="K1696">
        <v>34.654001108105497</v>
      </c>
      <c r="L1696">
        <v>22.640978081394099</v>
      </c>
      <c r="M1696">
        <v>7.4265974664389498</v>
      </c>
      <c r="N1696">
        <v>73.087870263114397</v>
      </c>
      <c r="O1696">
        <v>25.9304513697377</v>
      </c>
      <c r="P1696">
        <v>11.852806111836101</v>
      </c>
      <c r="Q1696">
        <v>18.648834349441099</v>
      </c>
      <c r="R1696">
        <v>14.744020694681801</v>
      </c>
      <c r="S1696">
        <v>5.2842276712914904</v>
      </c>
      <c r="T1696">
        <v>37.225267469141301</v>
      </c>
      <c r="U1696">
        <v>0.36714432227635602</v>
      </c>
      <c r="V1696">
        <v>48.078020797920601</v>
      </c>
    </row>
    <row r="1697" spans="1:22" x14ac:dyDescent="0.25">
      <c r="A1697" t="str">
        <f t="shared" si="26"/>
        <v>Tonga2024</v>
      </c>
      <c r="B1697" t="s">
        <v>225</v>
      </c>
      <c r="C1697" t="s">
        <v>226</v>
      </c>
      <c r="D1697">
        <v>2024</v>
      </c>
      <c r="E1697">
        <v>4375.0499575630001</v>
      </c>
      <c r="F1697">
        <v>1.0167525408908999</v>
      </c>
      <c r="G1697">
        <v>3.2305630026809999</v>
      </c>
      <c r="H1697">
        <v>15</v>
      </c>
      <c r="I1697">
        <v>6.7155905179240802</v>
      </c>
      <c r="J1697">
        <v>1.9650000000000001</v>
      </c>
      <c r="K1697">
        <v>31.142587342398699</v>
      </c>
      <c r="L1697">
        <v>23.418783001626402</v>
      </c>
      <c r="M1697">
        <v>4.7432778496181403</v>
      </c>
      <c r="N1697">
        <v>72.766924276095395</v>
      </c>
      <c r="O1697">
        <v>26.628235632947401</v>
      </c>
      <c r="P1697">
        <v>10.7961837711338</v>
      </c>
      <c r="Q1697">
        <v>19.8711898569384</v>
      </c>
      <c r="R1697">
        <v>17.007237669389799</v>
      </c>
      <c r="S1697">
        <v>3.60192727464135</v>
      </c>
      <c r="T1697">
        <v>31.9221363798722</v>
      </c>
      <c r="U1697">
        <v>0.265764377231689</v>
      </c>
      <c r="V1697">
        <v>46.134989978593097</v>
      </c>
    </row>
    <row r="1698" spans="1:22" x14ac:dyDescent="0.25">
      <c r="A1698" t="str">
        <f t="shared" si="26"/>
        <v>Tonga2025</v>
      </c>
      <c r="B1698" t="s">
        <v>225</v>
      </c>
      <c r="C1698" t="s">
        <v>226</v>
      </c>
      <c r="D1698">
        <v>2025</v>
      </c>
      <c r="E1698">
        <v>4375.0499575630001</v>
      </c>
      <c r="F1698">
        <v>1.0167525408908999</v>
      </c>
      <c r="G1698">
        <v>3.2305630026809999</v>
      </c>
      <c r="H1698">
        <v>15</v>
      </c>
      <c r="I1698">
        <v>6.0685014071405901</v>
      </c>
      <c r="J1698">
        <v>2.008</v>
      </c>
      <c r="K1698">
        <v>31.142587342398699</v>
      </c>
      <c r="L1698">
        <v>23.418783001626402</v>
      </c>
      <c r="M1698">
        <v>4.7432778496181403</v>
      </c>
      <c r="N1698">
        <v>73.750350446097301</v>
      </c>
      <c r="O1698">
        <v>26.628235632947401</v>
      </c>
      <c r="P1698">
        <v>7.55402839460994</v>
      </c>
      <c r="Q1698">
        <v>19.8711898569384</v>
      </c>
      <c r="R1698">
        <v>17.007237669389799</v>
      </c>
      <c r="S1698">
        <v>4.8559099198572504</v>
      </c>
      <c r="T1698">
        <v>27.3881503069735</v>
      </c>
      <c r="U1698">
        <v>0.27669036371766298</v>
      </c>
      <c r="V1698">
        <v>46.344395581096101</v>
      </c>
    </row>
    <row r="1699" spans="1:22" x14ac:dyDescent="0.25">
      <c r="A1699" t="str">
        <f t="shared" si="26"/>
        <v>Tunisia2010</v>
      </c>
      <c r="B1699" t="s">
        <v>227</v>
      </c>
      <c r="C1699" t="s">
        <v>228</v>
      </c>
      <c r="D1699">
        <v>2010</v>
      </c>
      <c r="E1699">
        <v>4291.8612089157496</v>
      </c>
      <c r="F1699">
        <v>2.9711327506651202</v>
      </c>
      <c r="G1699">
        <v>3.33897963601069</v>
      </c>
      <c r="H1699">
        <v>9</v>
      </c>
      <c r="I1699">
        <v>6.5004532796828496</v>
      </c>
      <c r="J1699">
        <v>13.048999999999999</v>
      </c>
      <c r="K1699">
        <v>26.738524994178999</v>
      </c>
      <c r="L1699">
        <v>27.6713275294303</v>
      </c>
      <c r="M1699">
        <v>9.4650245490015106</v>
      </c>
      <c r="N1699">
        <v>44.286518793469597</v>
      </c>
      <c r="O1699">
        <v>25.836268699141499</v>
      </c>
      <c r="P1699">
        <v>4.40578092536966</v>
      </c>
      <c r="Q1699">
        <v>21.4283277441283</v>
      </c>
      <c r="R1699">
        <v>47.959728694242798</v>
      </c>
      <c r="S1699">
        <v>-0.45660897408759299</v>
      </c>
      <c r="T1699">
        <v>38.803375818854803</v>
      </c>
      <c r="U1699">
        <v>-0.10383294846838</v>
      </c>
      <c r="V1699">
        <v>39.051350366637799</v>
      </c>
    </row>
    <row r="1700" spans="1:22" x14ac:dyDescent="0.25">
      <c r="A1700" t="str">
        <f t="shared" si="26"/>
        <v>Tunisia2011</v>
      </c>
      <c r="B1700" t="s">
        <v>227</v>
      </c>
      <c r="C1700" t="s">
        <v>228</v>
      </c>
      <c r="D1700">
        <v>2011</v>
      </c>
      <c r="E1700">
        <v>4420.6477220653696</v>
      </c>
      <c r="F1700">
        <v>-2.04663389535644</v>
      </c>
      <c r="G1700">
        <v>3.2400284200953098</v>
      </c>
      <c r="H1700">
        <v>9</v>
      </c>
      <c r="I1700">
        <v>6.56141071742785</v>
      </c>
      <c r="J1700">
        <v>18.334</v>
      </c>
      <c r="K1700">
        <v>32.904533323886398</v>
      </c>
      <c r="L1700">
        <v>31.161287846582599</v>
      </c>
      <c r="M1700">
        <v>4.5711140603902898</v>
      </c>
      <c r="N1700">
        <v>44.330555449488998</v>
      </c>
      <c r="O1700">
        <v>25.037242572386798</v>
      </c>
      <c r="P1700">
        <v>3.3088111515963501</v>
      </c>
      <c r="Q1700">
        <v>16.496973995966499</v>
      </c>
      <c r="R1700">
        <v>46.054653771668796</v>
      </c>
      <c r="S1700">
        <v>-3.1931557531180901</v>
      </c>
      <c r="T1700">
        <v>43.335918304217401</v>
      </c>
      <c r="U1700">
        <v>-0.35602900583834002</v>
      </c>
      <c r="V1700">
        <v>34.2178035367711</v>
      </c>
    </row>
    <row r="1701" spans="1:22" x14ac:dyDescent="0.25">
      <c r="A1701" t="str">
        <f t="shared" si="26"/>
        <v>Tunisia2012</v>
      </c>
      <c r="B1701" t="s">
        <v>227</v>
      </c>
      <c r="C1701" t="s">
        <v>228</v>
      </c>
      <c r="D1701">
        <v>2012</v>
      </c>
      <c r="E1701">
        <v>4297.2678245427296</v>
      </c>
      <c r="F1701">
        <v>4.2166771153563198</v>
      </c>
      <c r="G1701">
        <v>4.6118443220663998</v>
      </c>
      <c r="H1701">
        <v>9</v>
      </c>
      <c r="I1701">
        <v>6.6272472962687798</v>
      </c>
      <c r="J1701">
        <v>17.63</v>
      </c>
      <c r="K1701">
        <v>33.7641230227092</v>
      </c>
      <c r="L1701">
        <v>29.876189690007301</v>
      </c>
      <c r="M1701">
        <v>4.6618107810305398</v>
      </c>
      <c r="N1701">
        <v>44.5723999969535</v>
      </c>
      <c r="O1701">
        <v>26.097026468530501</v>
      </c>
      <c r="P1701">
        <v>3.67437262137287</v>
      </c>
      <c r="Q1701">
        <v>16.889570130252199</v>
      </c>
      <c r="R1701">
        <v>45.912847772456402</v>
      </c>
      <c r="S1701">
        <v>-4.89862499848953</v>
      </c>
      <c r="T1701">
        <v>49.040422996931497</v>
      </c>
      <c r="U1701">
        <v>-0.384514170318701</v>
      </c>
      <c r="V1701">
        <v>33.671861709178202</v>
      </c>
    </row>
    <row r="1702" spans="1:22" x14ac:dyDescent="0.25">
      <c r="A1702" t="str">
        <f t="shared" si="26"/>
        <v>Tunisia2013</v>
      </c>
      <c r="B1702" t="s">
        <v>227</v>
      </c>
      <c r="C1702" t="s">
        <v>228</v>
      </c>
      <c r="D1702">
        <v>2013</v>
      </c>
      <c r="E1702">
        <v>4369.7934582635799</v>
      </c>
      <c r="F1702">
        <v>2.4299309644642899</v>
      </c>
      <c r="G1702">
        <v>5.3162353132668896</v>
      </c>
      <c r="H1702">
        <v>9</v>
      </c>
      <c r="I1702">
        <v>6.7019732464450801</v>
      </c>
      <c r="J1702">
        <v>15.933999999999999</v>
      </c>
      <c r="K1702">
        <v>32.904533323886398</v>
      </c>
      <c r="L1702">
        <v>29.876189690007301</v>
      </c>
      <c r="M1702">
        <v>4.5002701897903803</v>
      </c>
      <c r="N1702">
        <v>45.064723644445301</v>
      </c>
      <c r="O1702">
        <v>23.867848672266501</v>
      </c>
      <c r="P1702">
        <v>3.16318920380025</v>
      </c>
      <c r="Q1702">
        <v>14.887288108621499</v>
      </c>
      <c r="R1702">
        <v>44.889705324588</v>
      </c>
      <c r="S1702">
        <v>-7.04761683092479</v>
      </c>
      <c r="T1702">
        <v>45.627926372183097</v>
      </c>
      <c r="U1702">
        <v>-0.46553025916445401</v>
      </c>
      <c r="V1702">
        <v>32.119121101365501</v>
      </c>
    </row>
    <row r="1703" spans="1:22" x14ac:dyDescent="0.25">
      <c r="A1703" t="str">
        <f t="shared" si="26"/>
        <v>Tunisia2014</v>
      </c>
      <c r="B1703" t="s">
        <v>227</v>
      </c>
      <c r="C1703" t="s">
        <v>228</v>
      </c>
      <c r="D1703">
        <v>2014</v>
      </c>
      <c r="E1703">
        <v>4458.9789546454704</v>
      </c>
      <c r="F1703">
        <v>3.0903280307077501</v>
      </c>
      <c r="G1703">
        <v>4.6255509953403102</v>
      </c>
      <c r="H1703">
        <v>9</v>
      </c>
      <c r="I1703">
        <v>6.8077691469297203</v>
      </c>
      <c r="J1703">
        <v>14.259</v>
      </c>
      <c r="K1703">
        <v>32.904533323886398</v>
      </c>
      <c r="L1703">
        <v>29.876189690007301</v>
      </c>
      <c r="M1703">
        <v>4.6646604744981204</v>
      </c>
      <c r="N1703">
        <v>45.685053087626301</v>
      </c>
      <c r="O1703">
        <v>23.8646110150307</v>
      </c>
      <c r="P1703">
        <v>3.11530414077352</v>
      </c>
      <c r="Q1703">
        <v>14.8704877368616</v>
      </c>
      <c r="R1703">
        <v>42.947465118132001</v>
      </c>
      <c r="S1703">
        <v>-3.1147461750840599</v>
      </c>
      <c r="T1703">
        <v>50.733410756134802</v>
      </c>
      <c r="U1703">
        <v>-0.27464230428025099</v>
      </c>
      <c r="V1703">
        <v>35.777647244923699</v>
      </c>
    </row>
    <row r="1704" spans="1:22" x14ac:dyDescent="0.25">
      <c r="A1704" t="str">
        <f t="shared" si="26"/>
        <v>Tunisia2015</v>
      </c>
      <c r="B1704" t="s">
        <v>227</v>
      </c>
      <c r="C1704" t="s">
        <v>228</v>
      </c>
      <c r="D1704">
        <v>2015</v>
      </c>
      <c r="E1704">
        <v>4014.9477368643202</v>
      </c>
      <c r="F1704">
        <v>0.96783420563598099</v>
      </c>
      <c r="G1704">
        <v>4.4373712732149997</v>
      </c>
      <c r="H1704">
        <v>9</v>
      </c>
      <c r="I1704">
        <v>6.96910280274163</v>
      </c>
      <c r="J1704">
        <v>15.159000000000001</v>
      </c>
      <c r="K1704">
        <v>32.904533323886398</v>
      </c>
      <c r="L1704">
        <v>29.876189690007301</v>
      </c>
      <c r="M1704">
        <v>4.2137047643651604</v>
      </c>
      <c r="N1704">
        <v>46.3571118128582</v>
      </c>
      <c r="O1704">
        <v>21.738999712701901</v>
      </c>
      <c r="P1704">
        <v>3.81270777807448</v>
      </c>
      <c r="Q1704">
        <v>12.9451171574861</v>
      </c>
      <c r="R1704">
        <v>38.399838756734198</v>
      </c>
      <c r="S1704">
        <v>-4.9485564682353296</v>
      </c>
      <c r="T1704">
        <v>52.400598477734803</v>
      </c>
      <c r="U1704">
        <v>-0.412626084539021</v>
      </c>
      <c r="V1704">
        <v>33.1330735327168</v>
      </c>
    </row>
    <row r="1705" spans="1:22" x14ac:dyDescent="0.25">
      <c r="A1705" t="str">
        <f t="shared" si="26"/>
        <v>Tunisia2016</v>
      </c>
      <c r="B1705" t="s">
        <v>227</v>
      </c>
      <c r="C1705" t="s">
        <v>228</v>
      </c>
      <c r="D1705">
        <v>2016</v>
      </c>
      <c r="E1705">
        <v>3847.8035444880902</v>
      </c>
      <c r="F1705">
        <v>1.1172319639920001</v>
      </c>
      <c r="G1705">
        <v>3.62939937384381</v>
      </c>
      <c r="H1705">
        <v>9</v>
      </c>
      <c r="I1705">
        <v>7.1616695537435398</v>
      </c>
      <c r="J1705">
        <v>15.557</v>
      </c>
      <c r="K1705">
        <v>32.904533323886398</v>
      </c>
      <c r="L1705">
        <v>29.876189690007301</v>
      </c>
      <c r="M1705">
        <v>4.9351649100210899</v>
      </c>
      <c r="N1705">
        <v>47.1066362415689</v>
      </c>
      <c r="O1705">
        <v>20.475007582364402</v>
      </c>
      <c r="P1705">
        <v>3.2232200450499202</v>
      </c>
      <c r="Q1705">
        <v>11.664561897820599</v>
      </c>
      <c r="R1705">
        <v>38.295295575782198</v>
      </c>
      <c r="S1705">
        <v>-5.8689467772280697</v>
      </c>
      <c r="T1705">
        <v>58.908008886483799</v>
      </c>
      <c r="U1705">
        <v>-0.48279176556152797</v>
      </c>
      <c r="V1705">
        <v>31.788289999585398</v>
      </c>
    </row>
    <row r="1706" spans="1:22" x14ac:dyDescent="0.25">
      <c r="A1706" t="str">
        <f t="shared" si="26"/>
        <v>Tunisia2017</v>
      </c>
      <c r="B1706" t="s">
        <v>227</v>
      </c>
      <c r="C1706" t="s">
        <v>228</v>
      </c>
      <c r="D1706">
        <v>2017</v>
      </c>
      <c r="E1706">
        <v>3619.0324731995302</v>
      </c>
      <c r="F1706">
        <v>2.2526143762058699</v>
      </c>
      <c r="G1706">
        <v>5.3088483956584396</v>
      </c>
      <c r="H1706">
        <v>9</v>
      </c>
      <c r="I1706">
        <v>7.37113523511462</v>
      </c>
      <c r="J1706">
        <v>15.33</v>
      </c>
      <c r="K1706">
        <v>32.904533323886398</v>
      </c>
      <c r="L1706">
        <v>29.876189690007301</v>
      </c>
      <c r="M1706">
        <v>4.6987543389777899</v>
      </c>
      <c r="N1706">
        <v>47.858003497168198</v>
      </c>
      <c r="O1706">
        <v>21.294559927066999</v>
      </c>
      <c r="P1706">
        <v>3.0553864774488502</v>
      </c>
      <c r="Q1706">
        <v>10.9631757203845</v>
      </c>
      <c r="R1706">
        <v>41.720786381927503</v>
      </c>
      <c r="S1706">
        <v>-5.6073352729003902</v>
      </c>
      <c r="T1706">
        <v>67.098639659748798</v>
      </c>
      <c r="U1706">
        <v>-0.48043034528095901</v>
      </c>
      <c r="V1706">
        <v>31.833548579874801</v>
      </c>
    </row>
    <row r="1707" spans="1:22" x14ac:dyDescent="0.25">
      <c r="A1707" t="str">
        <f t="shared" si="26"/>
        <v>Tunisia2018</v>
      </c>
      <c r="B1707" t="s">
        <v>227</v>
      </c>
      <c r="C1707" t="s">
        <v>228</v>
      </c>
      <c r="D1707">
        <v>2018</v>
      </c>
      <c r="E1707">
        <v>3628.1036646423599</v>
      </c>
      <c r="F1707">
        <v>2.60696965356362</v>
      </c>
      <c r="G1707">
        <v>7.3075917603165204</v>
      </c>
      <c r="H1707">
        <v>9</v>
      </c>
      <c r="I1707">
        <v>7.6259860969105899</v>
      </c>
      <c r="J1707">
        <v>15.459</v>
      </c>
      <c r="K1707">
        <v>32.904533323886398</v>
      </c>
      <c r="L1707">
        <v>29.876189690007301</v>
      </c>
      <c r="M1707">
        <v>7.9435549412469904</v>
      </c>
      <c r="N1707">
        <v>48.605731168882997</v>
      </c>
      <c r="O1707">
        <v>22.9635661213165</v>
      </c>
      <c r="P1707">
        <v>3.3663774594816198</v>
      </c>
      <c r="Q1707">
        <v>10.681198375702101</v>
      </c>
      <c r="R1707">
        <v>45.485748171225502</v>
      </c>
      <c r="S1707">
        <v>-4.2653269768485496</v>
      </c>
      <c r="T1707">
        <v>72.908218446252704</v>
      </c>
      <c r="U1707">
        <v>-0.43553429152929102</v>
      </c>
      <c r="V1707">
        <v>32.694018725792098</v>
      </c>
    </row>
    <row r="1708" spans="1:22" x14ac:dyDescent="0.25">
      <c r="A1708" t="str">
        <f t="shared" si="26"/>
        <v>Tunisia2019</v>
      </c>
      <c r="B1708" t="s">
        <v>227</v>
      </c>
      <c r="C1708" t="s">
        <v>228</v>
      </c>
      <c r="D1708">
        <v>2019</v>
      </c>
      <c r="E1708">
        <v>3528.87213306798</v>
      </c>
      <c r="F1708">
        <v>1.5500930496674199</v>
      </c>
      <c r="G1708">
        <v>6.7200753286379902</v>
      </c>
      <c r="H1708">
        <v>9</v>
      </c>
      <c r="I1708">
        <v>7.9457436964008901</v>
      </c>
      <c r="J1708">
        <v>17.152999999999999</v>
      </c>
      <c r="K1708">
        <v>32.904533323886398</v>
      </c>
      <c r="L1708">
        <v>29.876189690007301</v>
      </c>
      <c r="M1708">
        <v>7.17504222697531</v>
      </c>
      <c r="N1708">
        <v>49.381282619935099</v>
      </c>
      <c r="O1708">
        <v>19.803398083912001</v>
      </c>
      <c r="P1708">
        <v>4.9694661776062903</v>
      </c>
      <c r="Q1708">
        <v>10.2513718214976</v>
      </c>
      <c r="R1708">
        <v>45.950330692294699</v>
      </c>
      <c r="S1708">
        <v>-3.60297491747151</v>
      </c>
      <c r="T1708">
        <v>67.296567926166404</v>
      </c>
      <c r="U1708">
        <v>-0.39095827402494099</v>
      </c>
      <c r="V1708">
        <v>33.548355111313597</v>
      </c>
    </row>
    <row r="1709" spans="1:22" x14ac:dyDescent="0.25">
      <c r="A1709" t="str">
        <f t="shared" si="26"/>
        <v>Tunisia2020</v>
      </c>
      <c r="B1709" t="s">
        <v>227</v>
      </c>
      <c r="C1709" t="s">
        <v>228</v>
      </c>
      <c r="D1709">
        <v>2020</v>
      </c>
      <c r="E1709">
        <v>3548.6536366380301</v>
      </c>
      <c r="F1709">
        <v>-8.9751262293472305</v>
      </c>
      <c r="G1709">
        <v>5.6341511589762501</v>
      </c>
      <c r="H1709">
        <v>9</v>
      </c>
      <c r="I1709">
        <v>8.2817753414736508</v>
      </c>
      <c r="J1709">
        <v>17.651</v>
      </c>
      <c r="K1709">
        <v>32.904533323886398</v>
      </c>
      <c r="L1709">
        <v>29.876189690007301</v>
      </c>
      <c r="M1709">
        <v>6.7625039624008103</v>
      </c>
      <c r="N1709">
        <v>50.071551234268199</v>
      </c>
      <c r="O1709">
        <v>12.688228909784799</v>
      </c>
      <c r="P1709">
        <v>7.2278455260732697</v>
      </c>
      <c r="Q1709">
        <v>5.6200393349827404</v>
      </c>
      <c r="R1709">
        <v>37.991800980903299</v>
      </c>
      <c r="S1709">
        <v>-9.0571825864654407</v>
      </c>
      <c r="T1709">
        <v>77.707845360085003</v>
      </c>
      <c r="U1709">
        <v>-0.75182310224370197</v>
      </c>
      <c r="V1709">
        <v>26.632081063902799</v>
      </c>
    </row>
    <row r="1710" spans="1:22" x14ac:dyDescent="0.25">
      <c r="A1710" t="str">
        <f t="shared" si="26"/>
        <v>Tunisia2021</v>
      </c>
      <c r="B1710" t="s">
        <v>227</v>
      </c>
      <c r="C1710" t="s">
        <v>228</v>
      </c>
      <c r="D1710">
        <v>2021</v>
      </c>
      <c r="E1710">
        <v>3906.9392631939099</v>
      </c>
      <c r="F1710">
        <v>4.7360364820610199</v>
      </c>
      <c r="G1710">
        <v>5.7063502083069997</v>
      </c>
      <c r="H1710">
        <v>9</v>
      </c>
      <c r="I1710">
        <v>8.5578870115650094</v>
      </c>
      <c r="J1710">
        <v>16.632000000000001</v>
      </c>
      <c r="K1710">
        <v>32.904533323886398</v>
      </c>
      <c r="L1710">
        <v>29.876189690007301</v>
      </c>
      <c r="M1710">
        <v>5.0996700521682898</v>
      </c>
      <c r="N1710">
        <v>50.418930335330302</v>
      </c>
      <c r="O1710">
        <v>15.8458804086219</v>
      </c>
      <c r="P1710">
        <v>5.3093667633101598</v>
      </c>
      <c r="Q1710">
        <v>9.0380366536984695</v>
      </c>
      <c r="R1710">
        <v>41.7802023040094</v>
      </c>
      <c r="S1710">
        <v>-7.8144655530380103</v>
      </c>
      <c r="T1710">
        <v>79.728286683947402</v>
      </c>
      <c r="U1710">
        <v>-0.53972875471076298</v>
      </c>
      <c r="V1710">
        <v>30.6970453295678</v>
      </c>
    </row>
    <row r="1711" spans="1:22" x14ac:dyDescent="0.25">
      <c r="A1711" t="str">
        <f t="shared" si="26"/>
        <v>Tunisia2022</v>
      </c>
      <c r="B1711" t="s">
        <v>227</v>
      </c>
      <c r="C1711" t="s">
        <v>228</v>
      </c>
      <c r="D1711">
        <v>2022</v>
      </c>
      <c r="E1711">
        <v>3707.2928341438101</v>
      </c>
      <c r="F1711">
        <v>2.7522876100438101</v>
      </c>
      <c r="G1711">
        <v>8.30646124447623</v>
      </c>
      <c r="H1711">
        <v>9</v>
      </c>
      <c r="I1711">
        <v>8.8389761697703904</v>
      </c>
      <c r="J1711">
        <v>15.3</v>
      </c>
      <c r="K1711">
        <v>32.904533323886398</v>
      </c>
      <c r="L1711">
        <v>29.876189690007301</v>
      </c>
      <c r="M1711">
        <v>3.1660648528321902</v>
      </c>
      <c r="N1711">
        <v>50.551481001147799</v>
      </c>
      <c r="O1711">
        <v>16.673802121991201</v>
      </c>
      <c r="P1711">
        <v>3.9992337155934798</v>
      </c>
      <c r="Q1711">
        <v>6.3328632961803102</v>
      </c>
      <c r="R1711">
        <v>51.325939710781</v>
      </c>
      <c r="S1711">
        <v>-6.9971303812576</v>
      </c>
      <c r="T1711">
        <v>82.9853763000702</v>
      </c>
      <c r="U1711">
        <v>-0.50498643285461897</v>
      </c>
      <c r="V1711">
        <v>31.362910773386499</v>
      </c>
    </row>
    <row r="1712" spans="1:22" x14ac:dyDescent="0.25">
      <c r="A1712" t="str">
        <f t="shared" si="26"/>
        <v>Tunisia2023</v>
      </c>
      <c r="B1712" t="s">
        <v>227</v>
      </c>
      <c r="C1712" t="s">
        <v>228</v>
      </c>
      <c r="D1712">
        <v>2023</v>
      </c>
      <c r="E1712">
        <v>3951.1168337692102</v>
      </c>
      <c r="F1712">
        <v>0.18401554846974499</v>
      </c>
      <c r="G1712">
        <v>9.3289959750786497</v>
      </c>
      <c r="H1712">
        <v>9</v>
      </c>
      <c r="I1712">
        <v>9.1662745357110698</v>
      </c>
      <c r="J1712">
        <v>15.106</v>
      </c>
      <c r="K1712">
        <v>32.904533323886398</v>
      </c>
      <c r="L1712">
        <v>29.876189690007301</v>
      </c>
      <c r="M1712">
        <v>7.18154722475788</v>
      </c>
      <c r="N1712">
        <v>50.605083877272101</v>
      </c>
      <c r="O1712">
        <v>8.2079664043789702</v>
      </c>
      <c r="P1712">
        <v>4.5976843345600997</v>
      </c>
      <c r="Q1712">
        <v>4.8777218150203199</v>
      </c>
      <c r="R1712">
        <v>53.039393911060799</v>
      </c>
      <c r="S1712">
        <v>-7.2693618124814696</v>
      </c>
      <c r="T1712">
        <v>84.0151009170782</v>
      </c>
      <c r="U1712">
        <v>-0.44461144498661098</v>
      </c>
      <c r="V1712">
        <v>32.520047543310497</v>
      </c>
    </row>
    <row r="1713" spans="1:22" x14ac:dyDescent="0.25">
      <c r="A1713" t="str">
        <f t="shared" si="26"/>
        <v>Tunisia2024</v>
      </c>
      <c r="B1713" t="s">
        <v>227</v>
      </c>
      <c r="C1713" t="s">
        <v>228</v>
      </c>
      <c r="D1713">
        <v>2024</v>
      </c>
      <c r="E1713">
        <v>4181.1378930122801</v>
      </c>
      <c r="F1713">
        <v>1.61444564976986</v>
      </c>
      <c r="G1713">
        <v>7.20661657168794</v>
      </c>
      <c r="H1713">
        <v>9</v>
      </c>
      <c r="I1713">
        <v>9.5296213465238395</v>
      </c>
      <c r="J1713">
        <v>15.340999999999999</v>
      </c>
      <c r="K1713">
        <v>32.904533323886398</v>
      </c>
      <c r="L1713">
        <v>29.876189690007301</v>
      </c>
      <c r="M1713">
        <v>5.0012294605674299</v>
      </c>
      <c r="N1713">
        <v>50.531188748014003</v>
      </c>
      <c r="O1713">
        <v>7.8581953247546599</v>
      </c>
      <c r="P1713">
        <v>4.5124156459090798</v>
      </c>
      <c r="Q1713">
        <v>5.4987528231702703</v>
      </c>
      <c r="R1713">
        <v>50.001690028705397</v>
      </c>
      <c r="S1713">
        <v>-6.3576336358065504</v>
      </c>
      <c r="T1713">
        <v>85.659990222876999</v>
      </c>
      <c r="U1713">
        <v>-0.39266248341654703</v>
      </c>
      <c r="V1713">
        <v>33.5156925233726</v>
      </c>
    </row>
    <row r="1714" spans="1:22" x14ac:dyDescent="0.25">
      <c r="A1714" t="str">
        <f t="shared" si="26"/>
        <v>Tunisia2025</v>
      </c>
      <c r="B1714" t="s">
        <v>227</v>
      </c>
      <c r="C1714" t="s">
        <v>228</v>
      </c>
      <c r="D1714">
        <v>2025</v>
      </c>
      <c r="E1714">
        <v>3951.1168337692102</v>
      </c>
      <c r="F1714">
        <v>2.2526143762058699</v>
      </c>
      <c r="G1714">
        <v>5.3162353132668896</v>
      </c>
      <c r="H1714">
        <v>9</v>
      </c>
      <c r="I1714">
        <v>7.37113523511462</v>
      </c>
      <c r="J1714">
        <v>15.108000000000001</v>
      </c>
      <c r="K1714">
        <v>32.904533323886398</v>
      </c>
      <c r="L1714">
        <v>29.876189690007301</v>
      </c>
      <c r="M1714">
        <v>4.9351649100210899</v>
      </c>
      <c r="N1714">
        <v>47.858003497168198</v>
      </c>
      <c r="O1714">
        <v>21.294559927066999</v>
      </c>
      <c r="P1714">
        <v>3.81270777807448</v>
      </c>
      <c r="Q1714">
        <v>10.9631757203845</v>
      </c>
      <c r="R1714">
        <v>45.485748171225502</v>
      </c>
      <c r="S1714">
        <v>-5.2405755767034901</v>
      </c>
      <c r="T1714">
        <v>81.278264720536896</v>
      </c>
      <c r="U1714">
        <v>-0.46866609771895601</v>
      </c>
      <c r="V1714">
        <v>32.059020151881398</v>
      </c>
    </row>
    <row r="1715" spans="1:22" x14ac:dyDescent="0.25">
      <c r="A1715" t="str">
        <f t="shared" si="26"/>
        <v>Turkiye2010</v>
      </c>
      <c r="B1715" t="s">
        <v>229</v>
      </c>
      <c r="C1715" t="s">
        <v>230</v>
      </c>
      <c r="D1715">
        <v>2010</v>
      </c>
      <c r="E1715">
        <v>10698.9699409757</v>
      </c>
      <c r="F1715">
        <v>8.5421984846768595</v>
      </c>
      <c r="G1715">
        <v>8.5664442055297592</v>
      </c>
      <c r="H1715">
        <v>8</v>
      </c>
      <c r="I1715">
        <v>7.1950251823635201</v>
      </c>
      <c r="J1715">
        <v>11.879</v>
      </c>
      <c r="K1715">
        <v>32.641922985154302</v>
      </c>
      <c r="L1715">
        <v>31.374027579516699</v>
      </c>
      <c r="M1715">
        <v>6.90506472366725</v>
      </c>
      <c r="N1715">
        <v>49.454853190158403</v>
      </c>
      <c r="O1715">
        <v>28.452077782551701</v>
      </c>
      <c r="P1715">
        <v>4.9814966991282699</v>
      </c>
      <c r="Q1715">
        <v>24.0439420609212</v>
      </c>
      <c r="R1715">
        <v>21.589945783920701</v>
      </c>
      <c r="S1715">
        <v>-2.9936479003233698</v>
      </c>
      <c r="T1715">
        <v>38.619673686788197</v>
      </c>
      <c r="U1715">
        <v>-0.18652635463678999</v>
      </c>
      <c r="V1715">
        <v>37.466462579713202</v>
      </c>
    </row>
    <row r="1716" spans="1:22" x14ac:dyDescent="0.25">
      <c r="A1716" t="str">
        <f t="shared" si="26"/>
        <v>Turkiye2011</v>
      </c>
      <c r="B1716" t="s">
        <v>229</v>
      </c>
      <c r="C1716" t="s">
        <v>230</v>
      </c>
      <c r="D1716">
        <v>2011</v>
      </c>
      <c r="E1716">
        <v>11373.6355760885</v>
      </c>
      <c r="F1716">
        <v>10.979962527359801</v>
      </c>
      <c r="G1716">
        <v>6.471879671151</v>
      </c>
      <c r="H1716">
        <v>8</v>
      </c>
      <c r="I1716">
        <v>7.2676052641127997</v>
      </c>
      <c r="J1716">
        <v>9.7889999999999997</v>
      </c>
      <c r="K1716">
        <v>30.1444408136135</v>
      </c>
      <c r="L1716">
        <v>30.573327442708699</v>
      </c>
      <c r="M1716">
        <v>8.3365563653439807</v>
      </c>
      <c r="N1716">
        <v>48.724313549224597</v>
      </c>
      <c r="O1716">
        <v>31.958286232969002</v>
      </c>
      <c r="P1716">
        <v>4.0150483264404402</v>
      </c>
      <c r="Q1716">
        <v>24.6322351342824</v>
      </c>
      <c r="R1716">
        <v>23.4903574412774</v>
      </c>
      <c r="S1716">
        <v>-0.35186717121595001</v>
      </c>
      <c r="T1716">
        <v>34.772990793039099</v>
      </c>
      <c r="U1716">
        <v>-3.8633938633530297E-2</v>
      </c>
      <c r="V1716">
        <v>40.300943522788501</v>
      </c>
    </row>
    <row r="1717" spans="1:22" x14ac:dyDescent="0.25">
      <c r="A1717" t="str">
        <f t="shared" si="26"/>
        <v>Turkiye2012</v>
      </c>
      <c r="B1717" t="s">
        <v>229</v>
      </c>
      <c r="C1717" t="s">
        <v>230</v>
      </c>
      <c r="D1717">
        <v>2012</v>
      </c>
      <c r="E1717">
        <v>11776.7593362033</v>
      </c>
      <c r="F1717">
        <v>4.8076269663344799</v>
      </c>
      <c r="G1717">
        <v>8.8915699651216293</v>
      </c>
      <c r="H1717">
        <v>12</v>
      </c>
      <c r="I1717">
        <v>7.3408379701805</v>
      </c>
      <c r="J1717">
        <v>9.2100000000000009</v>
      </c>
      <c r="K1717">
        <v>29.420860411648501</v>
      </c>
      <c r="L1717">
        <v>30.621624698759</v>
      </c>
      <c r="M1717">
        <v>7.2934138733623097</v>
      </c>
      <c r="N1717">
        <v>48.037146507724501</v>
      </c>
      <c r="O1717">
        <v>29.421538205312999</v>
      </c>
      <c r="P1717">
        <v>5.5288430514456701</v>
      </c>
      <c r="Q1717">
        <v>25.4451759921484</v>
      </c>
      <c r="R1717">
        <v>24.965818114783801</v>
      </c>
      <c r="S1717">
        <v>-1.7769073420478401</v>
      </c>
      <c r="T1717">
        <v>30.8160464468646</v>
      </c>
      <c r="U1717">
        <v>0.12820305353610201</v>
      </c>
      <c r="V1717">
        <v>43.4985129971719</v>
      </c>
    </row>
    <row r="1718" spans="1:22" x14ac:dyDescent="0.25">
      <c r="A1718" t="str">
        <f t="shared" si="26"/>
        <v>Turkiye2013</v>
      </c>
      <c r="B1718" t="s">
        <v>229</v>
      </c>
      <c r="C1718" t="s">
        <v>230</v>
      </c>
      <c r="D1718">
        <v>2013</v>
      </c>
      <c r="E1718">
        <v>12635.5570016068</v>
      </c>
      <c r="F1718">
        <v>8.4882568929851097</v>
      </c>
      <c r="G1718">
        <v>7.4930903054769296</v>
      </c>
      <c r="H1718">
        <v>12</v>
      </c>
      <c r="I1718">
        <v>7.43312133781708</v>
      </c>
      <c r="J1718">
        <v>9.7129999999999992</v>
      </c>
      <c r="K1718">
        <v>28.989142607239199</v>
      </c>
      <c r="L1718">
        <v>30.856514195397899</v>
      </c>
      <c r="M1718">
        <v>6.1870242947293299</v>
      </c>
      <c r="N1718">
        <v>47.355802863014297</v>
      </c>
      <c r="O1718">
        <v>31.364943199085602</v>
      </c>
      <c r="P1718">
        <v>5.4646754816470304</v>
      </c>
      <c r="Q1718">
        <v>26.339937082162201</v>
      </c>
      <c r="R1718">
        <v>24.403259811358001</v>
      </c>
      <c r="S1718">
        <v>-1.20603631215797</v>
      </c>
      <c r="T1718">
        <v>29.548326622060699</v>
      </c>
      <c r="U1718">
        <v>0.18421391605210599</v>
      </c>
      <c r="V1718">
        <v>44.572007681330199</v>
      </c>
    </row>
    <row r="1719" spans="1:22" x14ac:dyDescent="0.25">
      <c r="A1719" t="str">
        <f t="shared" si="26"/>
        <v>Turkiye2014</v>
      </c>
      <c r="B1719" t="s">
        <v>229</v>
      </c>
      <c r="C1719" t="s">
        <v>230</v>
      </c>
      <c r="D1719">
        <v>2014</v>
      </c>
      <c r="E1719">
        <v>12209.3862327674</v>
      </c>
      <c r="F1719">
        <v>4.6007944727055898</v>
      </c>
      <c r="G1719">
        <v>8.8545727136431598</v>
      </c>
      <c r="H1719">
        <v>12</v>
      </c>
      <c r="I1719">
        <v>7.52518633862966</v>
      </c>
      <c r="J1719">
        <v>9.9009999999999998</v>
      </c>
      <c r="K1719">
        <v>29.271308296768499</v>
      </c>
      <c r="L1719">
        <v>30.327654801513301</v>
      </c>
      <c r="M1719">
        <v>7.63768275587947</v>
      </c>
      <c r="N1719">
        <v>46.629699456919099</v>
      </c>
      <c r="O1719">
        <v>30.211539066491898</v>
      </c>
      <c r="P1719">
        <v>5.4665622312561197</v>
      </c>
      <c r="Q1719">
        <v>26.830012566228401</v>
      </c>
      <c r="R1719">
        <v>25.817324685401601</v>
      </c>
      <c r="S1719">
        <v>-0.96338950771257803</v>
      </c>
      <c r="T1719">
        <v>27.367064557456601</v>
      </c>
      <c r="U1719">
        <v>0.17723016733466199</v>
      </c>
      <c r="V1719">
        <v>44.4381583387758</v>
      </c>
    </row>
    <row r="1720" spans="1:22" x14ac:dyDescent="0.25">
      <c r="A1720" t="str">
        <f t="shared" si="26"/>
        <v>Turkiye2015</v>
      </c>
      <c r="B1720" t="s">
        <v>229</v>
      </c>
      <c r="C1720" t="s">
        <v>230</v>
      </c>
      <c r="D1720">
        <v>2015</v>
      </c>
      <c r="E1720">
        <v>11064.649450466201</v>
      </c>
      <c r="F1720">
        <v>5.8055738662868404</v>
      </c>
      <c r="G1720">
        <v>7.6708536484588503</v>
      </c>
      <c r="H1720">
        <v>12</v>
      </c>
      <c r="I1720">
        <v>7.61843212730696</v>
      </c>
      <c r="J1720">
        <v>10.304</v>
      </c>
      <c r="K1720">
        <v>28.843674229166901</v>
      </c>
      <c r="L1720">
        <v>30.498356218966101</v>
      </c>
      <c r="M1720">
        <v>7.8809411011260702</v>
      </c>
      <c r="N1720">
        <v>45.945264349849701</v>
      </c>
      <c r="O1720">
        <v>30.062899150791001</v>
      </c>
      <c r="P1720">
        <v>5.4640129951708802</v>
      </c>
      <c r="Q1720">
        <v>27.7921333695116</v>
      </c>
      <c r="R1720">
        <v>25.280784580734998</v>
      </c>
      <c r="S1720">
        <v>-0.51171933855687801</v>
      </c>
      <c r="T1720">
        <v>26.4551387006384</v>
      </c>
      <c r="U1720">
        <v>0.208952018381238</v>
      </c>
      <c r="V1720">
        <v>45.046133951728201</v>
      </c>
    </row>
    <row r="1721" spans="1:22" x14ac:dyDescent="0.25">
      <c r="A1721" t="str">
        <f t="shared" si="26"/>
        <v>Turkiye2016</v>
      </c>
      <c r="B1721" t="s">
        <v>229</v>
      </c>
      <c r="C1721" t="s">
        <v>230</v>
      </c>
      <c r="D1721">
        <v>2016</v>
      </c>
      <c r="E1721">
        <v>10984.3643169061</v>
      </c>
      <c r="F1721">
        <v>3.32366508200445</v>
      </c>
      <c r="G1721">
        <v>7.7751341532833003</v>
      </c>
      <c r="H1721">
        <v>12</v>
      </c>
      <c r="I1721">
        <v>7.75965087531105</v>
      </c>
      <c r="J1721">
        <v>10.898999999999999</v>
      </c>
      <c r="K1721">
        <v>30.6055405050211</v>
      </c>
      <c r="L1721">
        <v>30.9443928097308</v>
      </c>
      <c r="M1721">
        <v>8.1276071872055997</v>
      </c>
      <c r="N1721">
        <v>45.5909695430664</v>
      </c>
      <c r="O1721">
        <v>29.8288300175216</v>
      </c>
      <c r="P1721">
        <v>5.4316997368798301</v>
      </c>
      <c r="Q1721">
        <v>27.3477821809118</v>
      </c>
      <c r="R1721">
        <v>23.6322024334399</v>
      </c>
      <c r="S1721">
        <v>-1.6766020079612101</v>
      </c>
      <c r="T1721">
        <v>27.018228713658399</v>
      </c>
      <c r="U1721">
        <v>0.13319478524311901</v>
      </c>
      <c r="V1721">
        <v>43.594183679813099</v>
      </c>
    </row>
    <row r="1722" spans="1:22" x14ac:dyDescent="0.25">
      <c r="A1722" t="str">
        <f t="shared" si="26"/>
        <v>Turkiye2017</v>
      </c>
      <c r="B1722" t="s">
        <v>229</v>
      </c>
      <c r="C1722" t="s">
        <v>230</v>
      </c>
      <c r="D1722">
        <v>2017</v>
      </c>
      <c r="E1722">
        <v>10756.387767788299</v>
      </c>
      <c r="F1722">
        <v>7.8258573000259402</v>
      </c>
      <c r="G1722">
        <v>11.144311084076399</v>
      </c>
      <c r="H1722">
        <v>12</v>
      </c>
      <c r="I1722">
        <v>7.9464299491276602</v>
      </c>
      <c r="J1722">
        <v>10.919</v>
      </c>
      <c r="K1722">
        <v>31.552766434111302</v>
      </c>
      <c r="L1722">
        <v>29.501534894828001</v>
      </c>
      <c r="M1722">
        <v>11.1334116585617</v>
      </c>
      <c r="N1722">
        <v>45.492204734839497</v>
      </c>
      <c r="O1722">
        <v>32.794692197245098</v>
      </c>
      <c r="P1722">
        <v>4.7879486495226002</v>
      </c>
      <c r="Q1722">
        <v>28.7891671366617</v>
      </c>
      <c r="R1722">
        <v>26.539498993063599</v>
      </c>
      <c r="S1722">
        <v>-1.8671139256918201</v>
      </c>
      <c r="T1722">
        <v>26.927023236846399</v>
      </c>
      <c r="U1722">
        <v>0.14804337474700999</v>
      </c>
      <c r="V1722">
        <v>43.878769225967098</v>
      </c>
    </row>
    <row r="1723" spans="1:22" x14ac:dyDescent="0.25">
      <c r="A1723" t="str">
        <f t="shared" si="26"/>
        <v>Turkiye2018</v>
      </c>
      <c r="B1723" t="s">
        <v>229</v>
      </c>
      <c r="C1723" t="s">
        <v>230</v>
      </c>
      <c r="D1723">
        <v>2018</v>
      </c>
      <c r="E1723">
        <v>9684.1181988472108</v>
      </c>
      <c r="F1723">
        <v>3.46815306092219</v>
      </c>
      <c r="G1723">
        <v>16.3324638988929</v>
      </c>
      <c r="H1723">
        <v>12</v>
      </c>
      <c r="I1723">
        <v>8.1718946338926397</v>
      </c>
      <c r="J1723">
        <v>10.956</v>
      </c>
      <c r="K1723">
        <v>33.144339018396799</v>
      </c>
      <c r="L1723">
        <v>30.207791762814001</v>
      </c>
      <c r="M1723">
        <v>16.7334812844326</v>
      </c>
      <c r="N1723">
        <v>45.546401584448802</v>
      </c>
      <c r="O1723">
        <v>31.340800909141599</v>
      </c>
      <c r="P1723">
        <v>4.2175933320989802</v>
      </c>
      <c r="Q1723">
        <v>30.665748997678602</v>
      </c>
      <c r="R1723">
        <v>31.727853653969699</v>
      </c>
      <c r="S1723">
        <v>-3.09694700683534</v>
      </c>
      <c r="T1723">
        <v>28.825774222015902</v>
      </c>
      <c r="U1723">
        <v>0.105591579871346</v>
      </c>
      <c r="V1723">
        <v>43.065145330798899</v>
      </c>
    </row>
    <row r="1724" spans="1:22" x14ac:dyDescent="0.25">
      <c r="A1724" t="str">
        <f t="shared" si="26"/>
        <v>Turkiye2019</v>
      </c>
      <c r="B1724" t="s">
        <v>229</v>
      </c>
      <c r="C1724" t="s">
        <v>230</v>
      </c>
      <c r="D1724">
        <v>2019</v>
      </c>
      <c r="E1724">
        <v>9395.2337800136793</v>
      </c>
      <c r="F1724">
        <v>1.3016236546450299</v>
      </c>
      <c r="G1724">
        <v>15.176821572002201</v>
      </c>
      <c r="H1724">
        <v>12</v>
      </c>
      <c r="I1724">
        <v>8.5226322714143397</v>
      </c>
      <c r="J1724">
        <v>13.73</v>
      </c>
      <c r="K1724">
        <v>34.890917045335897</v>
      </c>
      <c r="L1724">
        <v>29.287668074026602</v>
      </c>
      <c r="M1724">
        <v>14.1603081333496</v>
      </c>
      <c r="N1724">
        <v>45.952301481740498</v>
      </c>
      <c r="O1724">
        <v>27.505830383216299</v>
      </c>
      <c r="P1724">
        <v>5.1842964928058803</v>
      </c>
      <c r="Q1724">
        <v>29.572948542308801</v>
      </c>
      <c r="R1724">
        <v>33.029881164686898</v>
      </c>
      <c r="S1724">
        <v>-4.6904771763685398</v>
      </c>
      <c r="T1724">
        <v>31.194972233848102</v>
      </c>
      <c r="U1724">
        <v>-2.4933929725483501E-3</v>
      </c>
      <c r="V1724">
        <v>40.9936070867277</v>
      </c>
    </row>
    <row r="1725" spans="1:22" x14ac:dyDescent="0.25">
      <c r="A1725" t="str">
        <f t="shared" si="26"/>
        <v>Turkiye2020</v>
      </c>
      <c r="B1725" t="s">
        <v>229</v>
      </c>
      <c r="C1725" t="s">
        <v>230</v>
      </c>
      <c r="D1725">
        <v>2020</v>
      </c>
      <c r="E1725">
        <v>8798.11791709313</v>
      </c>
      <c r="F1725">
        <v>1.80306247087255</v>
      </c>
      <c r="G1725">
        <v>12.278957446257399</v>
      </c>
      <c r="H1725">
        <v>12</v>
      </c>
      <c r="I1725">
        <v>8.9638644165796197</v>
      </c>
      <c r="J1725">
        <v>13.148</v>
      </c>
      <c r="K1725">
        <v>33.451095028180902</v>
      </c>
      <c r="L1725">
        <v>29.5197315875713</v>
      </c>
      <c r="M1725">
        <v>14.7339074242292</v>
      </c>
      <c r="N1725">
        <v>46.485295093155102</v>
      </c>
      <c r="O1725">
        <v>34.154056079947701</v>
      </c>
      <c r="P1725">
        <v>4.6229255155125601</v>
      </c>
      <c r="Q1725">
        <v>30.098808581994302</v>
      </c>
      <c r="R1725">
        <v>28.740004346828499</v>
      </c>
      <c r="S1725">
        <v>-4.6356320752614897</v>
      </c>
      <c r="T1725">
        <v>38.297478275031601</v>
      </c>
      <c r="U1725">
        <v>-9.4026444984065496E-2</v>
      </c>
      <c r="V1725">
        <v>39.239300147942899</v>
      </c>
    </row>
    <row r="1726" spans="1:22" x14ac:dyDescent="0.25">
      <c r="A1726" t="str">
        <f t="shared" si="26"/>
        <v>Turkiye2021</v>
      </c>
      <c r="B1726" t="s">
        <v>229</v>
      </c>
      <c r="C1726" t="s">
        <v>230</v>
      </c>
      <c r="D1726">
        <v>2021</v>
      </c>
      <c r="E1726">
        <v>9981.7639841133605</v>
      </c>
      <c r="F1726">
        <v>11.811094450606999</v>
      </c>
      <c r="G1726">
        <v>19.596492691332401</v>
      </c>
      <c r="H1726">
        <v>12</v>
      </c>
      <c r="I1726">
        <v>9.3849598585427394</v>
      </c>
      <c r="J1726">
        <v>11.968999999999999</v>
      </c>
      <c r="K1726">
        <v>30.200977580455799</v>
      </c>
      <c r="L1726">
        <v>29.497769540509399</v>
      </c>
      <c r="M1726">
        <v>29.305899515561801</v>
      </c>
      <c r="N1726">
        <v>46.823686299651897</v>
      </c>
      <c r="O1726">
        <v>34.376144470162302</v>
      </c>
      <c r="P1726">
        <v>4.4589886658164701</v>
      </c>
      <c r="Q1726">
        <v>33.715143131598701</v>
      </c>
      <c r="R1726">
        <v>35.053633285051802</v>
      </c>
      <c r="S1726">
        <v>-2.9760621106303899</v>
      </c>
      <c r="T1726">
        <v>38.909540731651902</v>
      </c>
      <c r="U1726">
        <v>0.15196497933950801</v>
      </c>
      <c r="V1726">
        <v>43.953930033966003</v>
      </c>
    </row>
    <row r="1727" spans="1:22" x14ac:dyDescent="0.25">
      <c r="A1727" t="str">
        <f t="shared" si="26"/>
        <v>Turkiye2022</v>
      </c>
      <c r="B1727" t="s">
        <v>229</v>
      </c>
      <c r="C1727" t="s">
        <v>230</v>
      </c>
      <c r="D1727">
        <v>2022</v>
      </c>
      <c r="E1727">
        <v>10897.839786136499</v>
      </c>
      <c r="F1727">
        <v>5.4412251132240099</v>
      </c>
      <c r="G1727">
        <v>72.308835989120695</v>
      </c>
      <c r="H1727">
        <v>12</v>
      </c>
      <c r="I1727">
        <v>9.7195204062419105</v>
      </c>
      <c r="J1727">
        <v>10.465</v>
      </c>
      <c r="K1727">
        <v>29.062408838836401</v>
      </c>
      <c r="L1727">
        <v>27.271169112961601</v>
      </c>
      <c r="M1727">
        <v>95.525530270418201</v>
      </c>
      <c r="N1727">
        <v>46.862905411291798</v>
      </c>
      <c r="O1727">
        <v>38.602139717568001</v>
      </c>
      <c r="P1727">
        <v>3.8803264394063799</v>
      </c>
      <c r="Q1727">
        <v>33.994492711729499</v>
      </c>
      <c r="R1727">
        <v>38.141210747441598</v>
      </c>
      <c r="S1727">
        <v>-1.0957502337173599</v>
      </c>
      <c r="T1727">
        <v>29.432935807996301</v>
      </c>
      <c r="U1727">
        <v>0.15497766140397101</v>
      </c>
      <c r="V1727">
        <v>44.011670587065602</v>
      </c>
    </row>
    <row r="1728" spans="1:22" x14ac:dyDescent="0.25">
      <c r="A1728" t="str">
        <f t="shared" si="26"/>
        <v>Turkiye2023</v>
      </c>
      <c r="B1728" t="s">
        <v>229</v>
      </c>
      <c r="C1728" t="s">
        <v>230</v>
      </c>
      <c r="D1728">
        <v>2023</v>
      </c>
      <c r="E1728">
        <v>13375.0947282864</v>
      </c>
      <c r="F1728">
        <v>5.0451236981228904</v>
      </c>
      <c r="G1728">
        <v>53.859408759331501</v>
      </c>
      <c r="H1728">
        <v>12</v>
      </c>
      <c r="I1728">
        <v>10.0010276668343</v>
      </c>
      <c r="J1728">
        <v>9.3879999999999999</v>
      </c>
      <c r="K1728">
        <v>33.027753081727703</v>
      </c>
      <c r="L1728">
        <v>33.041346147755803</v>
      </c>
      <c r="M1728">
        <v>68.279756924482697</v>
      </c>
      <c r="N1728">
        <v>46.715242318054401</v>
      </c>
      <c r="O1728">
        <v>34.588276511404302</v>
      </c>
      <c r="P1728">
        <v>4.1577324613792603</v>
      </c>
      <c r="Q1728">
        <v>31.780396402646499</v>
      </c>
      <c r="R1728">
        <v>31.9135926809724</v>
      </c>
      <c r="S1728">
        <v>-5.1921165853243796</v>
      </c>
      <c r="T1728">
        <v>28.240708068504102</v>
      </c>
      <c r="U1728">
        <v>0.13181254398119599</v>
      </c>
      <c r="V1728">
        <v>43.567691878397298</v>
      </c>
    </row>
    <row r="1729" spans="1:22" x14ac:dyDescent="0.25">
      <c r="A1729" t="str">
        <f t="shared" si="26"/>
        <v>Turkiye2024</v>
      </c>
      <c r="B1729" t="s">
        <v>229</v>
      </c>
      <c r="C1729" t="s">
        <v>230</v>
      </c>
      <c r="D1729">
        <v>2024</v>
      </c>
      <c r="E1729">
        <v>15892.715728724101</v>
      </c>
      <c r="F1729">
        <v>3.3276230893798999</v>
      </c>
      <c r="G1729">
        <v>58.506450730034203</v>
      </c>
      <c r="H1729">
        <v>12</v>
      </c>
      <c r="I1729">
        <v>10.284181075694599</v>
      </c>
      <c r="J1729">
        <v>8.8000000000000007</v>
      </c>
      <c r="K1729">
        <v>30.403259042738402</v>
      </c>
      <c r="L1729">
        <v>31.481886724969101</v>
      </c>
      <c r="M1729">
        <v>59.280075591983604</v>
      </c>
      <c r="N1729">
        <v>46.483848695231003</v>
      </c>
      <c r="O1729">
        <v>30.731155954920801</v>
      </c>
      <c r="P1729">
        <v>4.7296126391087601</v>
      </c>
      <c r="Q1729">
        <v>30.106061809105899</v>
      </c>
      <c r="R1729">
        <v>27.568223209550901</v>
      </c>
      <c r="S1729">
        <v>-4.5101719729118299</v>
      </c>
      <c r="T1729">
        <v>23.599990988450202</v>
      </c>
      <c r="U1729">
        <v>0.16696016528340701</v>
      </c>
      <c r="V1729">
        <v>44.241325222607202</v>
      </c>
    </row>
    <row r="1730" spans="1:22" x14ac:dyDescent="0.25">
      <c r="A1730" t="str">
        <f t="shared" si="26"/>
        <v>Turkiye2025</v>
      </c>
      <c r="B1730" t="s">
        <v>229</v>
      </c>
      <c r="C1730" t="s">
        <v>230</v>
      </c>
      <c r="D1730">
        <v>2025</v>
      </c>
      <c r="E1730">
        <v>10984.3643169061</v>
      </c>
      <c r="F1730">
        <v>5.0451236981228904</v>
      </c>
      <c r="G1730">
        <v>11.144311084076399</v>
      </c>
      <c r="H1730">
        <v>12</v>
      </c>
      <c r="I1730">
        <v>7.9464299491276602</v>
      </c>
      <c r="J1730">
        <v>8.52</v>
      </c>
      <c r="K1730">
        <v>30.403259042738402</v>
      </c>
      <c r="L1730">
        <v>30.498356218966101</v>
      </c>
      <c r="M1730">
        <v>11.1334116585617</v>
      </c>
      <c r="N1730">
        <v>46.629699456919099</v>
      </c>
      <c r="O1730">
        <v>31.340800909141599</v>
      </c>
      <c r="P1730">
        <v>4.7879486495226002</v>
      </c>
      <c r="Q1730">
        <v>28.7891671366617</v>
      </c>
      <c r="R1730">
        <v>26.539498993063599</v>
      </c>
      <c r="S1730">
        <v>-2.7812255402396899</v>
      </c>
      <c r="T1730">
        <v>23.478476483281199</v>
      </c>
      <c r="U1730">
        <v>0.14982144570507799</v>
      </c>
      <c r="V1730">
        <v>43.912847432154301</v>
      </c>
    </row>
    <row r="1731" spans="1:22" x14ac:dyDescent="0.25">
      <c r="A1731" t="str">
        <f t="shared" si="26"/>
        <v>Uganda2010</v>
      </c>
      <c r="B1731" t="s">
        <v>231</v>
      </c>
      <c r="C1731" t="s">
        <v>232</v>
      </c>
      <c r="D1731">
        <v>2010</v>
      </c>
      <c r="E1731">
        <v>823.48814428200001</v>
      </c>
      <c r="F1731">
        <v>5.63761163749757</v>
      </c>
      <c r="G1731">
        <v>3.9765528847816798</v>
      </c>
      <c r="H1731">
        <v>7</v>
      </c>
      <c r="I1731">
        <v>1.9638924340912001</v>
      </c>
      <c r="J1731">
        <v>3.6230000000000002</v>
      </c>
      <c r="K1731">
        <v>13.515073761718201</v>
      </c>
      <c r="L1731">
        <v>12.974850458814799</v>
      </c>
      <c r="M1731">
        <v>5.6376116381346204</v>
      </c>
      <c r="N1731">
        <v>105.957237112969</v>
      </c>
      <c r="O1731">
        <v>27.103955353401101</v>
      </c>
      <c r="P1731">
        <v>4.9957308902738902</v>
      </c>
      <c r="Q1731">
        <v>18.691305803841001</v>
      </c>
      <c r="R1731">
        <v>13.8244828747602</v>
      </c>
      <c r="S1731">
        <v>-4.6446621357725499</v>
      </c>
      <c r="T1731">
        <v>18.354946015430599</v>
      </c>
      <c r="U1731">
        <v>-1.2370158480881901</v>
      </c>
      <c r="V1731">
        <v>17.332959249676001</v>
      </c>
    </row>
    <row r="1732" spans="1:22" x14ac:dyDescent="0.25">
      <c r="A1732" t="str">
        <f t="shared" ref="A1732:A1795" si="27">C1732&amp;D1732</f>
        <v>Uganda2011</v>
      </c>
      <c r="B1732" t="s">
        <v>231</v>
      </c>
      <c r="C1732" t="s">
        <v>232</v>
      </c>
      <c r="D1732">
        <v>2011</v>
      </c>
      <c r="E1732">
        <v>835.62006055583799</v>
      </c>
      <c r="F1732">
        <v>9.3916554927176001</v>
      </c>
      <c r="G1732">
        <v>16.564349617451501</v>
      </c>
      <c r="H1732">
        <v>7</v>
      </c>
      <c r="I1732">
        <v>1.92993197463488</v>
      </c>
      <c r="J1732">
        <v>3.5230000000000001</v>
      </c>
      <c r="K1732">
        <v>13.515073761718201</v>
      </c>
      <c r="L1732">
        <v>12.974850458814799</v>
      </c>
      <c r="M1732">
        <v>9.3916554920373194</v>
      </c>
      <c r="N1732">
        <v>104.99194648097399</v>
      </c>
      <c r="O1732">
        <v>26.754980528351201</v>
      </c>
      <c r="P1732">
        <v>3.9868997528571</v>
      </c>
      <c r="Q1732">
        <v>16.5879917115683</v>
      </c>
      <c r="R1732">
        <v>12.8557239406741</v>
      </c>
      <c r="S1732">
        <v>-2.04271028095443</v>
      </c>
      <c r="T1732">
        <v>17.95944248464</v>
      </c>
      <c r="U1732">
        <v>-1.1053952666576301</v>
      </c>
      <c r="V1732">
        <v>19.855576973178401</v>
      </c>
    </row>
    <row r="1733" spans="1:22" x14ac:dyDescent="0.25">
      <c r="A1733" t="str">
        <f t="shared" si="27"/>
        <v>Uganda2012</v>
      </c>
      <c r="B1733" t="s">
        <v>231</v>
      </c>
      <c r="C1733" t="s">
        <v>232</v>
      </c>
      <c r="D1733">
        <v>2012</v>
      </c>
      <c r="E1733">
        <v>795.222867553127</v>
      </c>
      <c r="F1733">
        <v>3.83745560605229</v>
      </c>
      <c r="G1733">
        <v>12.6790377224659</v>
      </c>
      <c r="H1733">
        <v>7</v>
      </c>
      <c r="I1733">
        <v>1.9080864726728699</v>
      </c>
      <c r="J1733">
        <v>3.5510000000000002</v>
      </c>
      <c r="K1733">
        <v>13.515073761718201</v>
      </c>
      <c r="L1733">
        <v>12.974850458814799</v>
      </c>
      <c r="M1733">
        <v>3.8374556062565799</v>
      </c>
      <c r="N1733">
        <v>104.015180479864</v>
      </c>
      <c r="O1733">
        <v>26.177175645237799</v>
      </c>
      <c r="P1733">
        <v>4.5911146331197603</v>
      </c>
      <c r="Q1733">
        <v>18.542175879176501</v>
      </c>
      <c r="R1733">
        <v>15.4917287700064</v>
      </c>
      <c r="S1733">
        <v>-2.3853377256253601</v>
      </c>
      <c r="T1733">
        <v>19.491385074463398</v>
      </c>
      <c r="U1733">
        <v>-1.1350463823013801</v>
      </c>
      <c r="V1733">
        <v>19.287288723486899</v>
      </c>
    </row>
    <row r="1734" spans="1:22" x14ac:dyDescent="0.25">
      <c r="A1734" t="str">
        <f t="shared" si="27"/>
        <v>Uganda2013</v>
      </c>
      <c r="B1734" t="s">
        <v>231</v>
      </c>
      <c r="C1734" t="s">
        <v>232</v>
      </c>
      <c r="D1734">
        <v>2013</v>
      </c>
      <c r="E1734">
        <v>818.28542741671299</v>
      </c>
      <c r="F1734">
        <v>3.5869058262302498</v>
      </c>
      <c r="G1734">
        <v>4.9052087569455702</v>
      </c>
      <c r="H1734">
        <v>7</v>
      </c>
      <c r="I1734">
        <v>1.90167020771009</v>
      </c>
      <c r="J1734">
        <v>1.91</v>
      </c>
      <c r="K1734">
        <v>13.515073761718201</v>
      </c>
      <c r="L1734">
        <v>12.974850458814799</v>
      </c>
      <c r="M1734">
        <v>3.5869058261315399</v>
      </c>
      <c r="N1734">
        <v>102.960950754645</v>
      </c>
      <c r="O1734">
        <v>31.973979809907899</v>
      </c>
      <c r="P1734">
        <v>4.9943084939053604</v>
      </c>
      <c r="Q1734">
        <v>22.4709901790259</v>
      </c>
      <c r="R1734">
        <v>16.5130356713113</v>
      </c>
      <c r="S1734">
        <v>-3.1904828218266199</v>
      </c>
      <c r="T1734">
        <v>22.079782246602299</v>
      </c>
      <c r="U1734">
        <v>-1.15303014555864</v>
      </c>
      <c r="V1734">
        <v>18.942614969314601</v>
      </c>
    </row>
    <row r="1735" spans="1:22" x14ac:dyDescent="0.25">
      <c r="A1735" t="str">
        <f t="shared" si="27"/>
        <v>Uganda2014</v>
      </c>
      <c r="B1735" t="s">
        <v>231</v>
      </c>
      <c r="C1735" t="s">
        <v>232</v>
      </c>
      <c r="D1735">
        <v>2014</v>
      </c>
      <c r="E1735">
        <v>896.05479554639396</v>
      </c>
      <c r="F1735">
        <v>5.1063073253979603</v>
      </c>
      <c r="G1735">
        <v>3.07570668958641</v>
      </c>
      <c r="H1735">
        <v>7</v>
      </c>
      <c r="I1735">
        <v>1.91343232907517</v>
      </c>
      <c r="J1735">
        <v>2.3570000000000002</v>
      </c>
      <c r="K1735">
        <v>13.515073761718201</v>
      </c>
      <c r="L1735">
        <v>12.974850458814799</v>
      </c>
      <c r="M1735">
        <v>5.1063073238571803</v>
      </c>
      <c r="N1735">
        <v>101.659121068481</v>
      </c>
      <c r="O1735">
        <v>26.853454663727</v>
      </c>
      <c r="P1735">
        <v>4.7567577949389603</v>
      </c>
      <c r="Q1735">
        <v>25.139910734988199</v>
      </c>
      <c r="R1735">
        <v>14.948210907576399</v>
      </c>
      <c r="S1735">
        <v>-2.74045513097062</v>
      </c>
      <c r="T1735">
        <v>24.767852008190999</v>
      </c>
      <c r="U1735">
        <v>-1.05524927686878</v>
      </c>
      <c r="V1735">
        <v>20.816666502103399</v>
      </c>
    </row>
    <row r="1736" spans="1:22" x14ac:dyDescent="0.25">
      <c r="A1736" t="str">
        <f t="shared" si="27"/>
        <v>Uganda2015</v>
      </c>
      <c r="B1736" t="s">
        <v>231</v>
      </c>
      <c r="C1736" t="s">
        <v>232</v>
      </c>
      <c r="D1736">
        <v>2015</v>
      </c>
      <c r="E1736">
        <v>862.93461035581095</v>
      </c>
      <c r="F1736">
        <v>5.1878598600246599</v>
      </c>
      <c r="G1736">
        <v>5.5896860625172504</v>
      </c>
      <c r="H1736">
        <v>7</v>
      </c>
      <c r="I1736">
        <v>1.93508400842168</v>
      </c>
      <c r="J1736">
        <v>2.681</v>
      </c>
      <c r="K1736">
        <v>10.761109830903299</v>
      </c>
      <c r="L1736">
        <v>11.577410994697299</v>
      </c>
      <c r="M1736">
        <v>5.1878598645628502</v>
      </c>
      <c r="N1736">
        <v>100.031967639667</v>
      </c>
      <c r="O1736">
        <v>23.859794450753501</v>
      </c>
      <c r="P1736">
        <v>4.4751865664336901</v>
      </c>
      <c r="Q1736">
        <v>16.5792421955497</v>
      </c>
      <c r="R1736">
        <v>12.8773253147369</v>
      </c>
      <c r="S1736">
        <v>-2.59377656325724</v>
      </c>
      <c r="T1736">
        <v>28.021644431970099</v>
      </c>
      <c r="U1736">
        <v>-1.1395405413110999</v>
      </c>
      <c r="V1736">
        <v>19.2011544347083</v>
      </c>
    </row>
    <row r="1737" spans="1:22" x14ac:dyDescent="0.25">
      <c r="A1737" t="str">
        <f t="shared" si="27"/>
        <v>Uganda2016</v>
      </c>
      <c r="B1737" t="s">
        <v>231</v>
      </c>
      <c r="C1737" t="s">
        <v>232</v>
      </c>
      <c r="D1737">
        <v>2016</v>
      </c>
      <c r="E1737">
        <v>752.69657172565599</v>
      </c>
      <c r="F1737">
        <v>4.7810002925448201</v>
      </c>
      <c r="G1737">
        <v>5.7063750461621199</v>
      </c>
      <c r="H1737">
        <v>7</v>
      </c>
      <c r="I1737">
        <v>1.9585943527837899</v>
      </c>
      <c r="J1737">
        <v>3.0019999999999998</v>
      </c>
      <c r="K1737">
        <v>11.3130644156105</v>
      </c>
      <c r="L1737">
        <v>11.961623282818399</v>
      </c>
      <c r="M1737">
        <v>4.78100029080551</v>
      </c>
      <c r="N1737">
        <v>97.947403817142003</v>
      </c>
      <c r="O1737">
        <v>25.4152882648293</v>
      </c>
      <c r="P1737">
        <v>5.1786766022405004</v>
      </c>
      <c r="Q1737">
        <v>24.1946272588375</v>
      </c>
      <c r="R1737">
        <v>12.4271644156806</v>
      </c>
      <c r="S1737">
        <v>-2.6405131695569501</v>
      </c>
      <c r="T1737">
        <v>31.332939611508898</v>
      </c>
      <c r="U1737">
        <v>-1.0832385916918801</v>
      </c>
      <c r="V1737">
        <v>20.2802280448802</v>
      </c>
    </row>
    <row r="1738" spans="1:22" x14ac:dyDescent="0.25">
      <c r="A1738" t="str">
        <f t="shared" si="27"/>
        <v>Uganda2017</v>
      </c>
      <c r="B1738" t="s">
        <v>231</v>
      </c>
      <c r="C1738" t="s">
        <v>232</v>
      </c>
      <c r="D1738">
        <v>2017</v>
      </c>
      <c r="E1738">
        <v>765.21833229736103</v>
      </c>
      <c r="F1738">
        <v>3.1314055172359598</v>
      </c>
      <c r="G1738">
        <v>5.2097170591420898</v>
      </c>
      <c r="H1738">
        <v>7</v>
      </c>
      <c r="I1738">
        <v>1.9836170036738101</v>
      </c>
      <c r="J1738">
        <v>3.4279999999999999</v>
      </c>
      <c r="K1738">
        <v>11.258044293070199</v>
      </c>
      <c r="L1738">
        <v>12.3659847369423</v>
      </c>
      <c r="M1738">
        <v>4.6490508196250202</v>
      </c>
      <c r="N1738">
        <v>95.640435867302998</v>
      </c>
      <c r="O1738">
        <v>24.614042685944899</v>
      </c>
      <c r="P1738">
        <v>5.4923814809478904</v>
      </c>
      <c r="Q1738">
        <v>23.5972159451122</v>
      </c>
      <c r="R1738">
        <v>16.6611294211705</v>
      </c>
      <c r="S1738">
        <v>-3.82570204102589</v>
      </c>
      <c r="T1738">
        <v>33.560822770676403</v>
      </c>
      <c r="U1738">
        <v>-1.1168725725401001</v>
      </c>
      <c r="V1738">
        <v>19.635604876698601</v>
      </c>
    </row>
    <row r="1739" spans="1:22" x14ac:dyDescent="0.25">
      <c r="A1739" t="str">
        <f t="shared" si="27"/>
        <v>Uganda2018</v>
      </c>
      <c r="B1739" t="s">
        <v>231</v>
      </c>
      <c r="C1739" t="s">
        <v>232</v>
      </c>
      <c r="D1739">
        <v>2018</v>
      </c>
      <c r="E1739">
        <v>792.16570022814005</v>
      </c>
      <c r="F1739">
        <v>6.3039237826299699</v>
      </c>
      <c r="G1739">
        <v>2.6160119095227401</v>
      </c>
      <c r="H1739">
        <v>7</v>
      </c>
      <c r="I1739">
        <v>2.0092392715545602</v>
      </c>
      <c r="J1739">
        <v>3.2490000000000001</v>
      </c>
      <c r="K1739">
        <v>11.8357641142331</v>
      </c>
      <c r="L1739">
        <v>12.476506585173199</v>
      </c>
      <c r="M1739">
        <v>4.4433852716642503</v>
      </c>
      <c r="N1739">
        <v>93.564077534358205</v>
      </c>
      <c r="O1739">
        <v>24.328598978183301</v>
      </c>
      <c r="P1739">
        <v>3.98741729545389</v>
      </c>
      <c r="Q1739">
        <v>21.330045045737101</v>
      </c>
      <c r="R1739">
        <v>15.087053061151099</v>
      </c>
      <c r="S1739">
        <v>-3.02298026405761</v>
      </c>
      <c r="T1739">
        <v>35.017735330632703</v>
      </c>
      <c r="U1739">
        <v>-1.0614982010070899</v>
      </c>
      <c r="V1739">
        <v>20.6969006827097</v>
      </c>
    </row>
    <row r="1740" spans="1:22" x14ac:dyDescent="0.25">
      <c r="A1740" t="str">
        <f t="shared" si="27"/>
        <v>Uganda2019</v>
      </c>
      <c r="B1740" t="s">
        <v>231</v>
      </c>
      <c r="C1740" t="s">
        <v>232</v>
      </c>
      <c r="D1740">
        <v>2019</v>
      </c>
      <c r="E1740">
        <v>822.17115003635695</v>
      </c>
      <c r="F1740">
        <v>6.4387450327643903</v>
      </c>
      <c r="G1740">
        <v>2.8675880344690001</v>
      </c>
      <c r="H1740">
        <v>7</v>
      </c>
      <c r="I1740">
        <v>2.0364020510638001</v>
      </c>
      <c r="J1740">
        <v>3.0569999999999999</v>
      </c>
      <c r="K1740">
        <v>13.515073761718201</v>
      </c>
      <c r="L1740">
        <v>13.095706345207899</v>
      </c>
      <c r="M1740">
        <v>3.0000118163171301</v>
      </c>
      <c r="N1740">
        <v>91.5697078154151</v>
      </c>
      <c r="O1740">
        <v>25.529460779694599</v>
      </c>
      <c r="P1740">
        <v>3.6385474330877101</v>
      </c>
      <c r="Q1740">
        <v>22.619597385163502</v>
      </c>
      <c r="R1740">
        <v>17.109058016738299</v>
      </c>
      <c r="S1740">
        <v>-4.8160911519174201</v>
      </c>
      <c r="T1740">
        <v>37.973724993516399</v>
      </c>
      <c r="U1740">
        <v>-1.1018580222674701</v>
      </c>
      <c r="V1740">
        <v>19.923371198777399</v>
      </c>
    </row>
    <row r="1741" spans="1:22" x14ac:dyDescent="0.25">
      <c r="A1741" t="str">
        <f t="shared" si="27"/>
        <v>Uganda2020</v>
      </c>
      <c r="B1741" t="s">
        <v>231</v>
      </c>
      <c r="C1741" t="s">
        <v>232</v>
      </c>
      <c r="D1741">
        <v>2020</v>
      </c>
      <c r="E1741">
        <v>845.76646389012399</v>
      </c>
      <c r="F1741">
        <v>2.9513064221809802</v>
      </c>
      <c r="G1741">
        <v>3.3133228954450198</v>
      </c>
      <c r="H1741">
        <v>7</v>
      </c>
      <c r="I1741">
        <v>2.0618594499501501</v>
      </c>
      <c r="J1741">
        <v>3.819</v>
      </c>
      <c r="K1741">
        <v>13.671729082513499</v>
      </c>
      <c r="L1741">
        <v>12.8539945724217</v>
      </c>
      <c r="M1741">
        <v>2.7214844414999102</v>
      </c>
      <c r="N1741">
        <v>89.701630911279494</v>
      </c>
      <c r="O1741">
        <v>24.215950555391299</v>
      </c>
      <c r="P1741">
        <v>4.2669440012612103</v>
      </c>
      <c r="Q1741">
        <v>21.809169757810899</v>
      </c>
      <c r="R1741">
        <v>15.414798539728899</v>
      </c>
      <c r="S1741">
        <v>-7.76048247390138</v>
      </c>
      <c r="T1741">
        <v>46.803536727186298</v>
      </c>
      <c r="U1741">
        <v>-1.2861251734038901</v>
      </c>
      <c r="V1741">
        <v>16.391738256088502</v>
      </c>
    </row>
    <row r="1742" spans="1:22" x14ac:dyDescent="0.25">
      <c r="A1742" t="str">
        <f t="shared" si="27"/>
        <v>Uganda2021</v>
      </c>
      <c r="B1742" t="s">
        <v>231</v>
      </c>
      <c r="C1742" t="s">
        <v>232</v>
      </c>
      <c r="D1742">
        <v>2021</v>
      </c>
      <c r="E1742">
        <v>882.79171754250399</v>
      </c>
      <c r="F1742">
        <v>3.53658034070898</v>
      </c>
      <c r="G1742">
        <v>2.2045720475741399</v>
      </c>
      <c r="H1742">
        <v>7</v>
      </c>
      <c r="I1742">
        <v>2.08577565298721</v>
      </c>
      <c r="J1742">
        <v>3.4159999999999999</v>
      </c>
      <c r="K1742">
        <v>15.5883809350268</v>
      </c>
      <c r="L1742">
        <v>13.986238754055501</v>
      </c>
      <c r="M1742">
        <v>2.5451192961930502</v>
      </c>
      <c r="N1742">
        <v>88.034721867835401</v>
      </c>
      <c r="O1742">
        <v>24.086368346928499</v>
      </c>
      <c r="P1742">
        <v>5.0253060121892101</v>
      </c>
      <c r="Q1742">
        <v>20.180221733111399</v>
      </c>
      <c r="R1742">
        <v>15.781008169527601</v>
      </c>
      <c r="S1742">
        <v>-7.7621832539973301</v>
      </c>
      <c r="T1742">
        <v>50.345857024616201</v>
      </c>
      <c r="U1742">
        <v>-1.23995240866699</v>
      </c>
      <c r="V1742">
        <v>17.2766776280504</v>
      </c>
    </row>
    <row r="1743" spans="1:22" x14ac:dyDescent="0.25">
      <c r="A1743" t="str">
        <f t="shared" si="27"/>
        <v>Uganda2022</v>
      </c>
      <c r="B1743" t="s">
        <v>231</v>
      </c>
      <c r="C1743" t="s">
        <v>232</v>
      </c>
      <c r="D1743">
        <v>2022</v>
      </c>
      <c r="E1743">
        <v>963.06731411717794</v>
      </c>
      <c r="F1743">
        <v>4.5880219218177301</v>
      </c>
      <c r="G1743">
        <v>7.1957888597580997</v>
      </c>
      <c r="H1743">
        <v>7</v>
      </c>
      <c r="I1743">
        <v>2.1152049820344798</v>
      </c>
      <c r="J1743">
        <v>2.8849999999999998</v>
      </c>
      <c r="K1743">
        <v>16.942435479969699</v>
      </c>
      <c r="L1743">
        <v>13.778594093971201</v>
      </c>
      <c r="M1743">
        <v>4.9222867309914902</v>
      </c>
      <c r="N1743">
        <v>86.644814185863297</v>
      </c>
      <c r="O1743">
        <v>24.201342621546001</v>
      </c>
      <c r="P1743">
        <v>4.0311532639151899</v>
      </c>
      <c r="Q1743">
        <v>21.400228444235601</v>
      </c>
      <c r="R1743">
        <v>12.0219954333331</v>
      </c>
      <c r="S1743">
        <v>-5.4449780142737803</v>
      </c>
      <c r="T1743">
        <v>49.857245425169303</v>
      </c>
      <c r="U1743">
        <v>-1.11449386509139</v>
      </c>
      <c r="V1743">
        <v>19.6811947799184</v>
      </c>
    </row>
    <row r="1744" spans="1:22" x14ac:dyDescent="0.25">
      <c r="A1744" t="str">
        <f t="shared" si="27"/>
        <v>Uganda2023</v>
      </c>
      <c r="B1744" t="s">
        <v>231</v>
      </c>
      <c r="C1744" t="s">
        <v>232</v>
      </c>
      <c r="D1744">
        <v>2023</v>
      </c>
      <c r="E1744">
        <v>1002.30913917142</v>
      </c>
      <c r="F1744">
        <v>5.3369729551146898</v>
      </c>
      <c r="G1744">
        <v>5.3509480428039504</v>
      </c>
      <c r="H1744">
        <v>7</v>
      </c>
      <c r="I1744">
        <v>2.1505827939914801</v>
      </c>
      <c r="J1744">
        <v>2.754</v>
      </c>
      <c r="K1744">
        <v>16.583340036457901</v>
      </c>
      <c r="L1744">
        <v>14.3793546945055</v>
      </c>
      <c r="M1744">
        <v>6.7480151664101298</v>
      </c>
      <c r="N1744">
        <v>85.489672428888198</v>
      </c>
      <c r="O1744">
        <v>22.816013245841798</v>
      </c>
      <c r="P1744">
        <v>3.20262617939825</v>
      </c>
      <c r="Q1744">
        <v>20.542303211267701</v>
      </c>
      <c r="R1744">
        <v>11.6017089255499</v>
      </c>
      <c r="S1744">
        <v>-4.86890068993723</v>
      </c>
      <c r="T1744">
        <v>50.383329882338401</v>
      </c>
      <c r="U1744">
        <v>-1.0653561414820301</v>
      </c>
      <c r="V1744">
        <v>20.622960050381899</v>
      </c>
    </row>
    <row r="1745" spans="1:22" x14ac:dyDescent="0.25">
      <c r="A1745" t="str">
        <f t="shared" si="27"/>
        <v>Uganda2024</v>
      </c>
      <c r="B1745" t="s">
        <v>231</v>
      </c>
      <c r="C1745" t="s">
        <v>232</v>
      </c>
      <c r="D1745">
        <v>2024</v>
      </c>
      <c r="E1745">
        <v>1077.9127845281701</v>
      </c>
      <c r="F1745">
        <v>6.0555807587558901</v>
      </c>
      <c r="G1745">
        <v>3.3233806708656002</v>
      </c>
      <c r="H1745">
        <v>7</v>
      </c>
      <c r="I1745">
        <v>2.1885663812378202</v>
      </c>
      <c r="J1745">
        <v>2.74</v>
      </c>
      <c r="K1745">
        <v>13.515073761718201</v>
      </c>
      <c r="L1745">
        <v>14.0445688090372</v>
      </c>
      <c r="M1745">
        <v>4.9572794693952202</v>
      </c>
      <c r="N1745">
        <v>84.269238691834104</v>
      </c>
      <c r="O1745">
        <v>22.3995184838424</v>
      </c>
      <c r="P1745">
        <v>2.3940535297807002</v>
      </c>
      <c r="Q1745">
        <v>25.063715585198</v>
      </c>
      <c r="R1745">
        <v>16.7575931152554</v>
      </c>
      <c r="S1745">
        <v>-3.92902852228791</v>
      </c>
      <c r="T1745">
        <v>51.7725712677357</v>
      </c>
      <c r="U1745">
        <v>-0.97728057827895998</v>
      </c>
      <c r="V1745">
        <v>22.311001345509901</v>
      </c>
    </row>
    <row r="1746" spans="1:22" x14ac:dyDescent="0.25">
      <c r="A1746" t="str">
        <f t="shared" si="27"/>
        <v>Uganda2025</v>
      </c>
      <c r="B1746" t="s">
        <v>231</v>
      </c>
      <c r="C1746" t="s">
        <v>232</v>
      </c>
      <c r="D1746">
        <v>2025</v>
      </c>
      <c r="E1746">
        <v>835.62006055583799</v>
      </c>
      <c r="F1746">
        <v>5.1063073253979603</v>
      </c>
      <c r="G1746">
        <v>4.9052087569455702</v>
      </c>
      <c r="H1746">
        <v>7</v>
      </c>
      <c r="I1746">
        <v>1.9836170036738101</v>
      </c>
      <c r="J1746">
        <v>2.746</v>
      </c>
      <c r="K1746">
        <v>13.515073761718201</v>
      </c>
      <c r="L1746">
        <v>12.974850458814799</v>
      </c>
      <c r="M1746">
        <v>4.78100029080551</v>
      </c>
      <c r="N1746">
        <v>95.640435867302998</v>
      </c>
      <c r="O1746">
        <v>24.614042685944899</v>
      </c>
      <c r="P1746">
        <v>4.4751865664336901</v>
      </c>
      <c r="Q1746">
        <v>21.400228444235601</v>
      </c>
      <c r="R1746">
        <v>15.087053061151099</v>
      </c>
      <c r="S1746">
        <v>-7.1330233064133601</v>
      </c>
      <c r="T1746">
        <v>54.209537984701299</v>
      </c>
      <c r="U1746">
        <v>-1.29046923556754</v>
      </c>
      <c r="V1746">
        <v>16.308480697985502</v>
      </c>
    </row>
    <row r="1747" spans="1:22" x14ac:dyDescent="0.25">
      <c r="A1747" t="str">
        <f t="shared" si="27"/>
        <v>Ukraine2010</v>
      </c>
      <c r="B1747" t="s">
        <v>233</v>
      </c>
      <c r="C1747" t="s">
        <v>234</v>
      </c>
      <c r="D1747">
        <v>2010</v>
      </c>
      <c r="E1747">
        <v>3039.63232421875</v>
      </c>
      <c r="F1747">
        <v>4.0920043666808699</v>
      </c>
      <c r="G1747">
        <v>9.3729310507897807</v>
      </c>
      <c r="H1747">
        <v>11</v>
      </c>
      <c r="I1747">
        <v>14.8995148689343</v>
      </c>
      <c r="J1747">
        <v>8.1</v>
      </c>
      <c r="K1747">
        <v>39.543952489101699</v>
      </c>
      <c r="L1747">
        <v>33.167970301226603</v>
      </c>
      <c r="M1747">
        <v>13.673228207332899</v>
      </c>
      <c r="N1747">
        <v>40.867146757898396</v>
      </c>
      <c r="O1747">
        <v>18.372368004212099</v>
      </c>
      <c r="P1747">
        <v>5.4348842836294002</v>
      </c>
      <c r="Q1747">
        <v>13.944102948459999</v>
      </c>
      <c r="R1747">
        <v>46.456538325963699</v>
      </c>
      <c r="S1747">
        <v>-5.5595961038207697</v>
      </c>
      <c r="T1747">
        <v>39.130758504709497</v>
      </c>
      <c r="U1747">
        <v>0.277966437742173</v>
      </c>
      <c r="V1747">
        <v>46.368852599259597</v>
      </c>
    </row>
    <row r="1748" spans="1:22" x14ac:dyDescent="0.25">
      <c r="A1748" t="str">
        <f t="shared" si="27"/>
        <v>Ukraine2011</v>
      </c>
      <c r="B1748" t="s">
        <v>233</v>
      </c>
      <c r="C1748" t="s">
        <v>234</v>
      </c>
      <c r="D1748">
        <v>2011</v>
      </c>
      <c r="E1748">
        <v>3656.69799804688</v>
      </c>
      <c r="F1748">
        <v>5.4452808104847596</v>
      </c>
      <c r="G1748">
        <v>7.9557246627465199</v>
      </c>
      <c r="H1748">
        <v>11</v>
      </c>
      <c r="I1748">
        <v>14.6211182083834</v>
      </c>
      <c r="J1748">
        <v>7.851</v>
      </c>
      <c r="K1748">
        <v>36.876312836408502</v>
      </c>
      <c r="L1748">
        <v>34.985481530235397</v>
      </c>
      <c r="M1748">
        <v>14.1819086626365</v>
      </c>
      <c r="N1748">
        <v>40.516635440648599</v>
      </c>
      <c r="O1748">
        <v>20.444003682242101</v>
      </c>
      <c r="P1748">
        <v>3.7007412918324101</v>
      </c>
      <c r="Q1748">
        <v>11.722376410229</v>
      </c>
      <c r="R1748">
        <v>49.406156934073898</v>
      </c>
      <c r="S1748">
        <v>-2.6608794391844501</v>
      </c>
      <c r="T1748">
        <v>35.531295282757299</v>
      </c>
      <c r="U1748">
        <v>0.39889497224430698</v>
      </c>
      <c r="V1748">
        <v>48.6865483661119</v>
      </c>
    </row>
    <row r="1749" spans="1:22" x14ac:dyDescent="0.25">
      <c r="A1749" t="str">
        <f t="shared" si="27"/>
        <v>Ukraine2012</v>
      </c>
      <c r="B1749" t="s">
        <v>233</v>
      </c>
      <c r="C1749" t="s">
        <v>234</v>
      </c>
      <c r="D1749">
        <v>2012</v>
      </c>
      <c r="E1749">
        <v>3951.34228515625</v>
      </c>
      <c r="F1749">
        <v>0.15231496720065299</v>
      </c>
      <c r="G1749">
        <v>0.56872797180386203</v>
      </c>
      <c r="H1749">
        <v>11</v>
      </c>
      <c r="I1749">
        <v>14.6092367860364</v>
      </c>
      <c r="J1749">
        <v>7.5289999999999999</v>
      </c>
      <c r="K1749">
        <v>39.537974197722399</v>
      </c>
      <c r="L1749">
        <v>36.095078391003703</v>
      </c>
      <c r="M1749">
        <v>7.9825611104503897</v>
      </c>
      <c r="N1749">
        <v>40.834552668736897</v>
      </c>
      <c r="O1749">
        <v>19.6146792260413</v>
      </c>
      <c r="P1749">
        <v>2.6565342574561099</v>
      </c>
      <c r="Q1749">
        <v>12.298114880994801</v>
      </c>
      <c r="R1749">
        <v>47.382831561460002</v>
      </c>
      <c r="S1749">
        <v>-4.1464029782824401</v>
      </c>
      <c r="T1749">
        <v>36.141168641405301</v>
      </c>
      <c r="U1749">
        <v>0.31276741276565601</v>
      </c>
      <c r="V1749">
        <v>47.035842179728199</v>
      </c>
    </row>
    <row r="1750" spans="1:22" x14ac:dyDescent="0.25">
      <c r="A1750" t="str">
        <f t="shared" si="27"/>
        <v>Ukraine2013</v>
      </c>
      <c r="B1750" t="s">
        <v>233</v>
      </c>
      <c r="C1750" t="s">
        <v>234</v>
      </c>
      <c r="D1750">
        <v>2013</v>
      </c>
      <c r="E1750">
        <v>4129.89697265625</v>
      </c>
      <c r="F1750">
        <v>4.5439094492707E-2</v>
      </c>
      <c r="G1750">
        <v>-0.23894862604540701</v>
      </c>
      <c r="H1750">
        <v>11</v>
      </c>
      <c r="I1750">
        <v>14.6216406939142</v>
      </c>
      <c r="J1750">
        <v>7.17</v>
      </c>
      <c r="K1750">
        <v>38.681594081923897</v>
      </c>
      <c r="L1750">
        <v>34.767622816497699</v>
      </c>
      <c r="M1750">
        <v>4.3087934370935397</v>
      </c>
      <c r="N1750">
        <v>41.316674056721702</v>
      </c>
      <c r="O1750">
        <v>16.425761021687698</v>
      </c>
      <c r="P1750">
        <v>2.26497151246287</v>
      </c>
      <c r="Q1750">
        <v>7.8864745638709204</v>
      </c>
      <c r="R1750">
        <v>42.8973826672717</v>
      </c>
      <c r="S1750">
        <v>-4.6037945512351097</v>
      </c>
      <c r="T1750">
        <v>38.989789765233503</v>
      </c>
      <c r="U1750">
        <v>0.238266642308227</v>
      </c>
      <c r="V1750">
        <v>45.607973058289502</v>
      </c>
    </row>
    <row r="1751" spans="1:22" x14ac:dyDescent="0.25">
      <c r="A1751" t="str">
        <f t="shared" si="27"/>
        <v>Ukraine2014</v>
      </c>
      <c r="B1751" t="s">
        <v>233</v>
      </c>
      <c r="C1751" t="s">
        <v>234</v>
      </c>
      <c r="D1751">
        <v>2014</v>
      </c>
      <c r="E1751">
        <v>3054.908203125</v>
      </c>
      <c r="F1751">
        <v>-10.078894984095299</v>
      </c>
      <c r="G1751">
        <v>12.071856287425099</v>
      </c>
      <c r="H1751">
        <v>11</v>
      </c>
      <c r="I1751">
        <v>14.763244639898501</v>
      </c>
      <c r="J1751">
        <v>9.27</v>
      </c>
      <c r="K1751">
        <v>43.540700037494098</v>
      </c>
      <c r="L1751">
        <v>33.684545170976399</v>
      </c>
      <c r="M1751">
        <v>15.901737523474001</v>
      </c>
      <c r="N1751">
        <v>42.095490582542503</v>
      </c>
      <c r="O1751">
        <v>13.396495716531801</v>
      </c>
      <c r="P1751">
        <v>1.17372014826907</v>
      </c>
      <c r="Q1751">
        <v>9.9016230559922906</v>
      </c>
      <c r="R1751">
        <v>48.592961815850302</v>
      </c>
      <c r="S1751">
        <v>-4.4599762753033403</v>
      </c>
      <c r="T1751">
        <v>70.316870768184103</v>
      </c>
      <c r="U1751">
        <v>8.2807221358829994E-2</v>
      </c>
      <c r="V1751">
        <v>42.628464182777698</v>
      </c>
    </row>
    <row r="1752" spans="1:22" x14ac:dyDescent="0.25">
      <c r="A1752" t="str">
        <f t="shared" si="27"/>
        <v>Ukraine2015</v>
      </c>
      <c r="B1752" t="s">
        <v>233</v>
      </c>
      <c r="C1752" t="s">
        <v>234</v>
      </c>
      <c r="D1752">
        <v>2015</v>
      </c>
      <c r="E1752">
        <v>2094.47387695313</v>
      </c>
      <c r="F1752">
        <v>-9.7729872128675996</v>
      </c>
      <c r="G1752">
        <v>48.699864643442403</v>
      </c>
      <c r="H1752">
        <v>11</v>
      </c>
      <c r="I1752">
        <v>15.154496583327401</v>
      </c>
      <c r="J1752">
        <v>9.14</v>
      </c>
      <c r="K1752">
        <v>37.368753218435202</v>
      </c>
      <c r="L1752">
        <v>35.758394081297702</v>
      </c>
      <c r="M1752">
        <v>38.881679759997702</v>
      </c>
      <c r="N1752">
        <v>43.334160750695098</v>
      </c>
      <c r="O1752">
        <v>15.9333160342442</v>
      </c>
      <c r="P1752">
        <v>3.0567368082881399</v>
      </c>
      <c r="Q1752">
        <v>21.4570784902924</v>
      </c>
      <c r="R1752">
        <v>52.597679508223102</v>
      </c>
      <c r="S1752">
        <v>-1.15982510647287</v>
      </c>
      <c r="T1752">
        <v>79.330617024291101</v>
      </c>
      <c r="U1752">
        <v>0.28159056841170099</v>
      </c>
      <c r="V1752">
        <v>46.438312072541599</v>
      </c>
    </row>
    <row r="1753" spans="1:22" x14ac:dyDescent="0.25">
      <c r="A1753" t="str">
        <f t="shared" si="27"/>
        <v>Ukraine2016</v>
      </c>
      <c r="B1753" t="s">
        <v>233</v>
      </c>
      <c r="C1753" t="s">
        <v>234</v>
      </c>
      <c r="D1753">
        <v>2016</v>
      </c>
      <c r="E1753">
        <v>2158.46118164063</v>
      </c>
      <c r="F1753">
        <v>2.44098194492067</v>
      </c>
      <c r="G1753">
        <v>13.912710199779699</v>
      </c>
      <c r="H1753">
        <v>11</v>
      </c>
      <c r="I1753">
        <v>15.5292217574425</v>
      </c>
      <c r="J1753">
        <v>9.35</v>
      </c>
      <c r="K1753">
        <v>33.5044167207813</v>
      </c>
      <c r="L1753">
        <v>31.202733164330699</v>
      </c>
      <c r="M1753">
        <v>17.0971349238438</v>
      </c>
      <c r="N1753">
        <v>44.485957567843002</v>
      </c>
      <c r="O1753">
        <v>21.7241623615989</v>
      </c>
      <c r="P1753">
        <v>3.1926415803765398</v>
      </c>
      <c r="Q1753">
        <v>19.7320852692269</v>
      </c>
      <c r="R1753">
        <v>49.298619457718701</v>
      </c>
      <c r="S1753">
        <v>-2.4593001146628102</v>
      </c>
      <c r="T1753">
        <v>79.512843359626004</v>
      </c>
      <c r="U1753">
        <v>0.1807890573482</v>
      </c>
      <c r="V1753">
        <v>44.506367420718497</v>
      </c>
    </row>
    <row r="1754" spans="1:22" x14ac:dyDescent="0.25">
      <c r="A1754" t="str">
        <f t="shared" si="27"/>
        <v>Ukraine2017</v>
      </c>
      <c r="B1754" t="s">
        <v>233</v>
      </c>
      <c r="C1754" t="s">
        <v>234</v>
      </c>
      <c r="D1754">
        <v>2017</v>
      </c>
      <c r="E1754">
        <v>2604.28759765625</v>
      </c>
      <c r="F1754">
        <v>2.35997228099491</v>
      </c>
      <c r="G1754">
        <v>14.438322748874899</v>
      </c>
      <c r="H1754">
        <v>11</v>
      </c>
      <c r="I1754">
        <v>15.9568665329263</v>
      </c>
      <c r="J1754">
        <v>9.5</v>
      </c>
      <c r="K1754">
        <v>33.606206437819097</v>
      </c>
      <c r="L1754">
        <v>32.570998451308803</v>
      </c>
      <c r="M1754">
        <v>22.098317497801698</v>
      </c>
      <c r="N1754">
        <v>45.655777713506403</v>
      </c>
      <c r="O1754">
        <v>19.964732641962499</v>
      </c>
      <c r="P1754">
        <v>3.2073654692264899</v>
      </c>
      <c r="Q1754">
        <v>16.863610303341499</v>
      </c>
      <c r="R1754">
        <v>48.124916351555903</v>
      </c>
      <c r="S1754">
        <v>-2.3564040292976598</v>
      </c>
      <c r="T1754">
        <v>71.620255535137701</v>
      </c>
      <c r="U1754">
        <v>0.214362808672247</v>
      </c>
      <c r="V1754">
        <v>45.149836240062598</v>
      </c>
    </row>
    <row r="1755" spans="1:22" x14ac:dyDescent="0.25">
      <c r="A1755" t="str">
        <f t="shared" si="27"/>
        <v>Ukraine2018</v>
      </c>
      <c r="B1755" t="s">
        <v>233</v>
      </c>
      <c r="C1755" t="s">
        <v>234</v>
      </c>
      <c r="D1755">
        <v>2018</v>
      </c>
      <c r="E1755">
        <v>3059.0517578125</v>
      </c>
      <c r="F1755">
        <v>3.48836234022659</v>
      </c>
      <c r="G1755">
        <v>10.9518559353178</v>
      </c>
      <c r="H1755">
        <v>11</v>
      </c>
      <c r="I1755">
        <v>16.347943337802899</v>
      </c>
      <c r="J1755">
        <v>8.7989999999999995</v>
      </c>
      <c r="K1755">
        <v>33.408719112658098</v>
      </c>
      <c r="L1755">
        <v>32.135039402856798</v>
      </c>
      <c r="M1755">
        <v>15.3985303514156</v>
      </c>
      <c r="N1755">
        <v>46.557661136036998</v>
      </c>
      <c r="O1755">
        <v>18.5883388544006</v>
      </c>
      <c r="P1755">
        <v>3.0789632721508799</v>
      </c>
      <c r="Q1755">
        <v>13.622164546265999</v>
      </c>
      <c r="R1755">
        <v>45.2352356625927</v>
      </c>
      <c r="S1755">
        <v>-2.12369644942929</v>
      </c>
      <c r="T1755">
        <v>60.352681688148301</v>
      </c>
      <c r="U1755">
        <v>0.25086285928740298</v>
      </c>
      <c r="V1755">
        <v>45.849390014934102</v>
      </c>
    </row>
    <row r="1756" spans="1:22" x14ac:dyDescent="0.25">
      <c r="A1756" t="str">
        <f t="shared" si="27"/>
        <v>Ukraine2019</v>
      </c>
      <c r="B1756" t="s">
        <v>233</v>
      </c>
      <c r="C1756" t="s">
        <v>234</v>
      </c>
      <c r="D1756">
        <v>2019</v>
      </c>
      <c r="E1756">
        <v>3619.86157226563</v>
      </c>
      <c r="F1756">
        <v>3.1995038635413402</v>
      </c>
      <c r="G1756">
        <v>7.88671745611133</v>
      </c>
      <c r="H1756">
        <v>11</v>
      </c>
      <c r="I1756">
        <v>16.7162998851047</v>
      </c>
      <c r="J1756">
        <v>8.1940000000000008</v>
      </c>
      <c r="K1756">
        <v>33.057438930624002</v>
      </c>
      <c r="L1756">
        <v>31.8658437422527</v>
      </c>
      <c r="M1756">
        <v>8.2462262664246904</v>
      </c>
      <c r="N1756">
        <v>47.249126895280597</v>
      </c>
      <c r="O1756">
        <v>14.8903574828309</v>
      </c>
      <c r="P1756">
        <v>3.4745080528221499</v>
      </c>
      <c r="Q1756">
        <v>12.285006723502301</v>
      </c>
      <c r="R1756">
        <v>41.2316912560049</v>
      </c>
      <c r="S1756">
        <v>-2.0821710947274901</v>
      </c>
      <c r="T1756">
        <v>50.452498479866698</v>
      </c>
      <c r="U1756">
        <v>0.30178089557204502</v>
      </c>
      <c r="V1756">
        <v>46.825276455956597</v>
      </c>
    </row>
    <row r="1757" spans="1:22" x14ac:dyDescent="0.25">
      <c r="A1757" t="str">
        <f t="shared" si="27"/>
        <v>Ukraine2020</v>
      </c>
      <c r="B1757" t="s">
        <v>233</v>
      </c>
      <c r="C1757" t="s">
        <v>234</v>
      </c>
      <c r="D1757">
        <v>2020</v>
      </c>
      <c r="E1757">
        <v>3709.76928710938</v>
      </c>
      <c r="F1757">
        <v>-3.7528179398316199</v>
      </c>
      <c r="G1757">
        <v>2.7324920941942699</v>
      </c>
      <c r="H1757">
        <v>11</v>
      </c>
      <c r="I1757">
        <v>17.096325024693101</v>
      </c>
      <c r="J1757">
        <v>9.4749999999999996</v>
      </c>
      <c r="K1757">
        <v>37.209204775148201</v>
      </c>
      <c r="L1757">
        <v>32.316738456845101</v>
      </c>
      <c r="M1757">
        <v>10.2949601378763</v>
      </c>
      <c r="N1757">
        <v>47.884637968052402</v>
      </c>
      <c r="O1757">
        <v>8.9322993273845306</v>
      </c>
      <c r="P1757">
        <v>4.7784086261401502</v>
      </c>
      <c r="Q1757">
        <v>12.2195604267714</v>
      </c>
      <c r="R1757">
        <v>38.821646290193399</v>
      </c>
      <c r="S1757">
        <v>-5.9180028841433003</v>
      </c>
      <c r="T1757">
        <v>60.505398202100601</v>
      </c>
      <c r="U1757">
        <v>0.11337508915314901</v>
      </c>
      <c r="V1757">
        <v>43.214322748584998</v>
      </c>
    </row>
    <row r="1758" spans="1:22" x14ac:dyDescent="0.25">
      <c r="A1758" t="str">
        <f t="shared" si="27"/>
        <v>Ukraine2021</v>
      </c>
      <c r="B1758" t="s">
        <v>233</v>
      </c>
      <c r="C1758" t="s">
        <v>234</v>
      </c>
      <c r="D1758">
        <v>2021</v>
      </c>
      <c r="E1758">
        <v>4775.94580078125</v>
      </c>
      <c r="F1758">
        <v>3.4456206594594398</v>
      </c>
      <c r="G1758">
        <v>9.3631391769522292</v>
      </c>
      <c r="H1758">
        <v>11</v>
      </c>
      <c r="I1758">
        <v>17.388067669797501</v>
      </c>
      <c r="J1758">
        <v>9.8339999999999996</v>
      </c>
      <c r="K1758">
        <v>33.261574481333099</v>
      </c>
      <c r="L1758">
        <v>30.0547859608659</v>
      </c>
      <c r="M1758">
        <v>24.804756767554601</v>
      </c>
      <c r="N1758">
        <v>48.219598732793898</v>
      </c>
      <c r="O1758">
        <v>14.467452684893701</v>
      </c>
      <c r="P1758">
        <v>3.5027863531504</v>
      </c>
      <c r="Q1758">
        <v>12.556590093726699</v>
      </c>
      <c r="R1758">
        <v>40.688340476868802</v>
      </c>
      <c r="S1758">
        <v>-3.97165656343204</v>
      </c>
      <c r="T1758">
        <v>48.917085123199698</v>
      </c>
      <c r="U1758">
        <v>0.19096749911946101</v>
      </c>
      <c r="V1758">
        <v>44.701445708101403</v>
      </c>
    </row>
    <row r="1759" spans="1:22" x14ac:dyDescent="0.25">
      <c r="A1759" t="str">
        <f t="shared" si="27"/>
        <v>Ukraine2022</v>
      </c>
      <c r="B1759" t="s">
        <v>233</v>
      </c>
      <c r="C1759" t="s">
        <v>234</v>
      </c>
      <c r="D1759">
        <v>2022</v>
      </c>
      <c r="E1759">
        <v>4199.6708984375</v>
      </c>
      <c r="F1759">
        <v>-28.758584215508499</v>
      </c>
      <c r="G1759">
        <v>20.183636661747801</v>
      </c>
      <c r="H1759">
        <v>11</v>
      </c>
      <c r="I1759">
        <v>17.8569387445167</v>
      </c>
      <c r="J1759">
        <v>8.9695</v>
      </c>
      <c r="K1759">
        <v>57.894766176113002</v>
      </c>
      <c r="L1759">
        <v>29.281086458511901</v>
      </c>
      <c r="M1759">
        <v>34.9152851434932</v>
      </c>
      <c r="N1759">
        <v>48.5413219822399</v>
      </c>
      <c r="O1759">
        <v>12.113288620938601</v>
      </c>
      <c r="P1759">
        <v>3.8502451792425298</v>
      </c>
      <c r="Q1759">
        <v>16.416376092522501</v>
      </c>
      <c r="R1759">
        <v>35.445115338204097</v>
      </c>
      <c r="S1759">
        <v>-15.6015920490428</v>
      </c>
      <c r="T1759">
        <v>77.717255693110303</v>
      </c>
      <c r="U1759">
        <v>-0.51454202722113296</v>
      </c>
      <c r="V1759">
        <v>31.179769873645899</v>
      </c>
    </row>
    <row r="1760" spans="1:22" x14ac:dyDescent="0.25">
      <c r="A1760" t="str">
        <f t="shared" si="27"/>
        <v>Ukraine2023</v>
      </c>
      <c r="B1760" t="s">
        <v>233</v>
      </c>
      <c r="C1760" t="s">
        <v>234</v>
      </c>
      <c r="D1760">
        <v>2023</v>
      </c>
      <c r="E1760">
        <v>5139.59814453125</v>
      </c>
      <c r="F1760">
        <v>5.5347335496333399</v>
      </c>
      <c r="G1760">
        <v>12.8490222828559</v>
      </c>
      <c r="H1760">
        <v>11</v>
      </c>
      <c r="I1760">
        <v>18.557534590794301</v>
      </c>
      <c r="J1760">
        <v>8.9695</v>
      </c>
      <c r="K1760">
        <v>65.560022154626395</v>
      </c>
      <c r="L1760">
        <v>30.834965685525301</v>
      </c>
      <c r="M1760">
        <v>19.8744638522736</v>
      </c>
      <c r="N1760">
        <v>48.927142092574996</v>
      </c>
      <c r="O1760">
        <v>18.070504639360401</v>
      </c>
      <c r="P1760">
        <v>5.0365867060510601</v>
      </c>
      <c r="Q1760">
        <v>12.786351240751101</v>
      </c>
      <c r="R1760">
        <v>28.300468273726999</v>
      </c>
      <c r="S1760">
        <v>-19.341043472671</v>
      </c>
      <c r="T1760">
        <v>81.209360243833302</v>
      </c>
      <c r="U1760">
        <v>-0.34754337463398699</v>
      </c>
      <c r="V1760">
        <v>34.380437704152399</v>
      </c>
    </row>
    <row r="1761" spans="1:22" x14ac:dyDescent="0.25">
      <c r="A1761" t="str">
        <f t="shared" si="27"/>
        <v>Ukraine2024</v>
      </c>
      <c r="B1761" t="s">
        <v>233</v>
      </c>
      <c r="C1761" t="s">
        <v>234</v>
      </c>
      <c r="D1761">
        <v>2024</v>
      </c>
      <c r="E1761">
        <v>5389.47314453125</v>
      </c>
      <c r="F1761">
        <v>2.9138222142611001</v>
      </c>
      <c r="G1761">
        <v>6.5019846466925397</v>
      </c>
      <c r="H1761">
        <v>11</v>
      </c>
      <c r="I1761">
        <v>18.962448489637101</v>
      </c>
      <c r="J1761">
        <v>8.9695</v>
      </c>
      <c r="K1761">
        <v>37.288978996791698</v>
      </c>
      <c r="L1761">
        <v>33.6707104990573</v>
      </c>
      <c r="M1761">
        <v>12.279140806174199</v>
      </c>
      <c r="N1761">
        <v>48.922509061366497</v>
      </c>
      <c r="O1761">
        <v>18.643028759995701</v>
      </c>
      <c r="P1761">
        <v>5.0279608118949097</v>
      </c>
      <c r="Q1761">
        <v>11.856742269828199</v>
      </c>
      <c r="R1761">
        <v>29.410213981324901</v>
      </c>
      <c r="S1761">
        <v>-17.201563142026799</v>
      </c>
      <c r="T1761">
        <v>89.676967565763505</v>
      </c>
      <c r="U1761">
        <v>-0.453825697372293</v>
      </c>
      <c r="V1761">
        <v>32.343448746038</v>
      </c>
    </row>
    <row r="1762" spans="1:22" x14ac:dyDescent="0.25">
      <c r="A1762" t="str">
        <f t="shared" si="27"/>
        <v>Ukraine2025</v>
      </c>
      <c r="B1762" t="s">
        <v>233</v>
      </c>
      <c r="C1762" t="s">
        <v>234</v>
      </c>
      <c r="D1762">
        <v>2025</v>
      </c>
      <c r="E1762">
        <v>3656.69799804688</v>
      </c>
      <c r="F1762">
        <v>2.44098194492067</v>
      </c>
      <c r="G1762">
        <v>9.3729310507897807</v>
      </c>
      <c r="H1762">
        <v>11</v>
      </c>
      <c r="I1762">
        <v>15.9568665329263</v>
      </c>
      <c r="J1762">
        <v>8.9695</v>
      </c>
      <c r="K1762">
        <v>37.288978996791698</v>
      </c>
      <c r="L1762">
        <v>32.570998451308803</v>
      </c>
      <c r="M1762">
        <v>15.3985303514156</v>
      </c>
      <c r="N1762">
        <v>45.655777713506403</v>
      </c>
      <c r="O1762">
        <v>18.070504639360401</v>
      </c>
      <c r="P1762">
        <v>3.4745080528221499</v>
      </c>
      <c r="Q1762">
        <v>12.556590093726699</v>
      </c>
      <c r="R1762">
        <v>45.2352356625927</v>
      </c>
      <c r="S1762">
        <v>-23.316667743777199</v>
      </c>
      <c r="T1762">
        <v>108.74717154442401</v>
      </c>
      <c r="U1762">
        <v>-0.781776298618857</v>
      </c>
      <c r="V1762">
        <v>26.0580031861859</v>
      </c>
    </row>
    <row r="1763" spans="1:22" x14ac:dyDescent="0.25">
      <c r="A1763" t="str">
        <f t="shared" si="27"/>
        <v>United Arab Emirates2010</v>
      </c>
      <c r="B1763" t="s">
        <v>235</v>
      </c>
      <c r="C1763" t="s">
        <v>236</v>
      </c>
      <c r="D1763">
        <v>2010</v>
      </c>
      <c r="E1763">
        <v>44795.294930226803</v>
      </c>
      <c r="F1763">
        <v>1.6028500467134299</v>
      </c>
      <c r="G1763">
        <v>0.87798328828586703</v>
      </c>
      <c r="H1763">
        <v>6</v>
      </c>
      <c r="I1763">
        <v>1.42194203445395</v>
      </c>
      <c r="J1763">
        <v>2.798</v>
      </c>
      <c r="K1763">
        <v>3.9217856355317302</v>
      </c>
      <c r="L1763">
        <v>3.27913933437959</v>
      </c>
      <c r="M1763">
        <v>19.4576357162181</v>
      </c>
      <c r="N1763">
        <v>22.392929049444199</v>
      </c>
      <c r="O1763">
        <v>28.919305373919801</v>
      </c>
      <c r="P1763">
        <v>4.9075901437291298</v>
      </c>
      <c r="Q1763">
        <v>33.834706965451502</v>
      </c>
      <c r="R1763">
        <v>77.445534357021401</v>
      </c>
      <c r="S1763">
        <v>0.51865607167830796</v>
      </c>
      <c r="T1763">
        <v>18.337514666038999</v>
      </c>
      <c r="U1763">
        <v>0.14492909482955901</v>
      </c>
      <c r="V1763">
        <v>43.819081465661498</v>
      </c>
    </row>
    <row r="1764" spans="1:22" x14ac:dyDescent="0.25">
      <c r="A1764" t="str">
        <f t="shared" si="27"/>
        <v>United Arab Emirates2011</v>
      </c>
      <c r="B1764" t="s">
        <v>235</v>
      </c>
      <c r="C1764" t="s">
        <v>236</v>
      </c>
      <c r="D1764">
        <v>2011</v>
      </c>
      <c r="E1764">
        <v>51921.904511613</v>
      </c>
      <c r="F1764">
        <v>6.7364678692081403</v>
      </c>
      <c r="G1764">
        <v>0.87734659568511997</v>
      </c>
      <c r="H1764">
        <v>6</v>
      </c>
      <c r="I1764">
        <v>1.43143405857427</v>
      </c>
      <c r="J1764">
        <v>2.5870000000000002</v>
      </c>
      <c r="K1764">
        <v>3.9217856355317302</v>
      </c>
      <c r="L1764">
        <v>3.2444512324376502</v>
      </c>
      <c r="M1764">
        <v>12.303872601643899</v>
      </c>
      <c r="N1764">
        <v>22.325418826081702</v>
      </c>
      <c r="O1764">
        <v>24.773827134248101</v>
      </c>
      <c r="P1764">
        <v>4.9075901437291298</v>
      </c>
      <c r="Q1764">
        <v>33.834706965451502</v>
      </c>
      <c r="R1764">
        <v>85.628648366152007</v>
      </c>
      <c r="S1764">
        <v>5.05323716381662</v>
      </c>
      <c r="T1764">
        <v>20.407161537916402</v>
      </c>
      <c r="U1764">
        <v>0.533803970148513</v>
      </c>
      <c r="V1764">
        <v>51.2721913215995</v>
      </c>
    </row>
    <row r="1765" spans="1:22" x14ac:dyDescent="0.25">
      <c r="A1765" t="str">
        <f t="shared" si="27"/>
        <v>United Arab Emirates2012</v>
      </c>
      <c r="B1765" t="s">
        <v>235</v>
      </c>
      <c r="C1765" t="s">
        <v>236</v>
      </c>
      <c r="D1765">
        <v>2012</v>
      </c>
      <c r="E1765">
        <v>53141.612434009898</v>
      </c>
      <c r="F1765">
        <v>4.6832657020049</v>
      </c>
      <c r="G1765">
        <v>0.66226890026900798</v>
      </c>
      <c r="H1765">
        <v>12</v>
      </c>
      <c r="I1765">
        <v>1.4675905149425099</v>
      </c>
      <c r="J1765">
        <v>2.323</v>
      </c>
      <c r="K1765">
        <v>4.0515274939869697</v>
      </c>
      <c r="L1765">
        <v>3.09477157796419</v>
      </c>
      <c r="M1765">
        <v>1.7186378045509101</v>
      </c>
      <c r="N1765">
        <v>22.3511283233596</v>
      </c>
      <c r="O1765">
        <v>23.421423689147002</v>
      </c>
      <c r="P1765">
        <v>4.9075901437291298</v>
      </c>
      <c r="Q1765">
        <v>33.834706965451502</v>
      </c>
      <c r="R1765">
        <v>95.600866253412406</v>
      </c>
      <c r="S1765">
        <v>8.5882078028372195</v>
      </c>
      <c r="T1765">
        <v>20.226858797966901</v>
      </c>
      <c r="U1765">
        <v>1.05835469255731</v>
      </c>
      <c r="V1765">
        <v>61.325641434358303</v>
      </c>
    </row>
    <row r="1766" spans="1:22" x14ac:dyDescent="0.25">
      <c r="A1766" t="str">
        <f t="shared" si="27"/>
        <v>United Arab Emirates2013</v>
      </c>
      <c r="B1766" t="s">
        <v>235</v>
      </c>
      <c r="C1766" t="s">
        <v>236</v>
      </c>
      <c r="D1766">
        <v>2013</v>
      </c>
      <c r="E1766">
        <v>53247.240949544102</v>
      </c>
      <c r="F1766">
        <v>4.9184780671988797</v>
      </c>
      <c r="G1766">
        <v>1.1011183637571</v>
      </c>
      <c r="H1766">
        <v>12</v>
      </c>
      <c r="I1766">
        <v>1.4832261151169099</v>
      </c>
      <c r="J1766">
        <v>2.125</v>
      </c>
      <c r="K1766">
        <v>3.8198724878693899</v>
      </c>
      <c r="L1766">
        <v>2.9853012732189299</v>
      </c>
      <c r="M1766">
        <v>-0.60183748743129695</v>
      </c>
      <c r="N1766">
        <v>22.416322662220502</v>
      </c>
      <c r="O1766">
        <v>21.140725456933598</v>
      </c>
      <c r="P1766">
        <v>4.9075901437291298</v>
      </c>
      <c r="Q1766">
        <v>33.834706965451502</v>
      </c>
      <c r="R1766">
        <v>95.755183544539406</v>
      </c>
      <c r="S1766">
        <v>7.9947925107314202</v>
      </c>
      <c r="T1766">
        <v>15.252345130915399</v>
      </c>
      <c r="U1766">
        <v>1.07241653834995</v>
      </c>
      <c r="V1766">
        <v>61.595148384078001</v>
      </c>
    </row>
    <row r="1767" spans="1:22" x14ac:dyDescent="0.25">
      <c r="A1767" t="str">
        <f t="shared" si="27"/>
        <v>United Arab Emirates2014</v>
      </c>
      <c r="B1767" t="s">
        <v>235</v>
      </c>
      <c r="C1767" t="s">
        <v>236</v>
      </c>
      <c r="D1767">
        <v>2014</v>
      </c>
      <c r="E1767">
        <v>52725.235840793401</v>
      </c>
      <c r="F1767">
        <v>4.6328814498312703</v>
      </c>
      <c r="G1767">
        <v>2.3462686567164202</v>
      </c>
      <c r="H1767">
        <v>12</v>
      </c>
      <c r="I1767">
        <v>1.4965688745166601</v>
      </c>
      <c r="J1767">
        <v>1.9990000000000001</v>
      </c>
      <c r="K1767">
        <v>3.6954578855006801</v>
      </c>
      <c r="L1767">
        <v>2.85499201917944</v>
      </c>
      <c r="M1767">
        <v>-0.85732781038309702</v>
      </c>
      <c r="N1767">
        <v>22.457333341234399</v>
      </c>
      <c r="O1767">
        <v>22.122202236736801</v>
      </c>
      <c r="P1767">
        <v>4.9075901437291298</v>
      </c>
      <c r="Q1767">
        <v>33.834706965451502</v>
      </c>
      <c r="R1767">
        <v>94.773856080154999</v>
      </c>
      <c r="S1767">
        <v>1.7432464459738199</v>
      </c>
      <c r="T1767">
        <v>13.4664495532163</v>
      </c>
      <c r="U1767">
        <v>0.77909350101091102</v>
      </c>
      <c r="V1767">
        <v>55.973368836679299</v>
      </c>
    </row>
    <row r="1768" spans="1:22" x14ac:dyDescent="0.25">
      <c r="A1768" t="str">
        <f t="shared" si="27"/>
        <v>United Arab Emirates2015</v>
      </c>
      <c r="B1768" t="s">
        <v>235</v>
      </c>
      <c r="C1768" t="s">
        <v>236</v>
      </c>
      <c r="D1768">
        <v>2015</v>
      </c>
      <c r="E1768">
        <v>44910.334995523001</v>
      </c>
      <c r="F1768">
        <v>7.0876734858758699</v>
      </c>
      <c r="G1768">
        <v>4.0699660836159302</v>
      </c>
      <c r="H1768">
        <v>12</v>
      </c>
      <c r="I1768">
        <v>1.50462849552252</v>
      </c>
      <c r="J1768">
        <v>1.7929999999999999</v>
      </c>
      <c r="K1768">
        <v>4.0208730100585504</v>
      </c>
      <c r="L1768">
        <v>3.31008273528938</v>
      </c>
      <c r="M1768">
        <v>-16.0598321271688</v>
      </c>
      <c r="N1768">
        <v>22.4526561983721</v>
      </c>
      <c r="O1768">
        <v>21.643204001152</v>
      </c>
      <c r="P1768">
        <v>4.9075901437291298</v>
      </c>
      <c r="Q1768">
        <v>33.834706965451502</v>
      </c>
      <c r="R1768">
        <v>93.862543092509497</v>
      </c>
      <c r="S1768">
        <v>-6.3543380813264303</v>
      </c>
      <c r="T1768">
        <v>15.6112791485074</v>
      </c>
      <c r="U1768">
        <v>0.38854496882234202</v>
      </c>
      <c r="V1768">
        <v>48.488181957251101</v>
      </c>
    </row>
    <row r="1769" spans="1:22" x14ac:dyDescent="0.25">
      <c r="A1769" t="str">
        <f t="shared" si="27"/>
        <v>United Arab Emirates2016</v>
      </c>
      <c r="B1769" t="s">
        <v>235</v>
      </c>
      <c r="C1769" t="s">
        <v>236</v>
      </c>
      <c r="D1769">
        <v>2016</v>
      </c>
      <c r="E1769">
        <v>42721.099938318497</v>
      </c>
      <c r="F1769">
        <v>5.6579332922430297</v>
      </c>
      <c r="G1769">
        <v>1.6174880890419701</v>
      </c>
      <c r="H1769">
        <v>12</v>
      </c>
      <c r="I1769">
        <v>1.4852218606108201</v>
      </c>
      <c r="J1769">
        <v>1.64</v>
      </c>
      <c r="K1769">
        <v>4.1773039827450402</v>
      </c>
      <c r="L1769">
        <v>3.7708262005940698</v>
      </c>
      <c r="M1769">
        <v>-5.4183743183243704</v>
      </c>
      <c r="N1769">
        <v>22.393380882918802</v>
      </c>
      <c r="O1769">
        <v>20.929253789262201</v>
      </c>
      <c r="P1769">
        <v>4.9075901437291298</v>
      </c>
      <c r="Q1769">
        <v>33.834706965451502</v>
      </c>
      <c r="R1769">
        <v>94.474753469685893</v>
      </c>
      <c r="S1769">
        <v>-2.9516903401276502</v>
      </c>
      <c r="T1769">
        <v>18.638043561114401</v>
      </c>
      <c r="U1769">
        <v>0.52102282095198904</v>
      </c>
      <c r="V1769">
        <v>51.0272299854661</v>
      </c>
    </row>
    <row r="1770" spans="1:22" x14ac:dyDescent="0.25">
      <c r="A1770" t="str">
        <f t="shared" si="27"/>
        <v>United Arab Emirates2017</v>
      </c>
      <c r="B1770" t="s">
        <v>235</v>
      </c>
      <c r="C1770" t="s">
        <v>236</v>
      </c>
      <c r="D1770">
        <v>2017</v>
      </c>
      <c r="E1770">
        <v>43733.619228743497</v>
      </c>
      <c r="F1770">
        <v>-1.0613766146497701</v>
      </c>
      <c r="G1770">
        <v>1.9668255781884201</v>
      </c>
      <c r="H1770">
        <v>12</v>
      </c>
      <c r="I1770">
        <v>1.47888416773632</v>
      </c>
      <c r="J1770">
        <v>2.4620000000000002</v>
      </c>
      <c r="K1770">
        <v>3.887390179139</v>
      </c>
      <c r="L1770">
        <v>3.3394943762304599</v>
      </c>
      <c r="M1770">
        <v>6.80479703939245</v>
      </c>
      <c r="N1770">
        <v>22.3131514262999</v>
      </c>
      <c r="O1770">
        <v>20.603594809627399</v>
      </c>
      <c r="P1770">
        <v>4.9075901437291298</v>
      </c>
      <c r="Q1770">
        <v>33.834706965451502</v>
      </c>
      <c r="R1770">
        <v>94.737396361986796</v>
      </c>
      <c r="S1770">
        <v>-0.159098321102596</v>
      </c>
      <c r="T1770">
        <v>21.167150310728399</v>
      </c>
      <c r="U1770">
        <v>0.55830363522452997</v>
      </c>
      <c r="V1770">
        <v>51.741747744074701</v>
      </c>
    </row>
    <row r="1771" spans="1:22" x14ac:dyDescent="0.25">
      <c r="A1771" t="str">
        <f t="shared" si="27"/>
        <v>United Arab Emirates2018</v>
      </c>
      <c r="B1771" t="s">
        <v>235</v>
      </c>
      <c r="C1771" t="s">
        <v>236</v>
      </c>
      <c r="D1771">
        <v>2018</v>
      </c>
      <c r="E1771">
        <v>47135.359194397097</v>
      </c>
      <c r="F1771">
        <v>1.5371668317351601</v>
      </c>
      <c r="G1771">
        <v>3.06863379251996</v>
      </c>
      <c r="H1771">
        <v>12</v>
      </c>
      <c r="I1771">
        <v>1.50109608885113</v>
      </c>
      <c r="J1771">
        <v>2.2360000000000002</v>
      </c>
      <c r="K1771">
        <v>3.7980887662162801</v>
      </c>
      <c r="L1771">
        <v>3.2481959334698001</v>
      </c>
      <c r="M1771">
        <v>7.5677059889894602</v>
      </c>
      <c r="N1771">
        <v>22.264715304560301</v>
      </c>
      <c r="O1771">
        <v>21.161130981849301</v>
      </c>
      <c r="P1771">
        <v>4.9075901437291298</v>
      </c>
      <c r="Q1771">
        <v>33.834706965451502</v>
      </c>
      <c r="R1771">
        <v>90.842958125586804</v>
      </c>
      <c r="S1771">
        <v>3.6539061039273601</v>
      </c>
      <c r="T1771">
        <v>20.675085394455099</v>
      </c>
      <c r="U1771">
        <v>0.76334470757558004</v>
      </c>
      <c r="V1771">
        <v>55.671530134768503</v>
      </c>
    </row>
    <row r="1772" spans="1:22" x14ac:dyDescent="0.25">
      <c r="A1772" t="str">
        <f t="shared" si="27"/>
        <v>United Arab Emirates2019</v>
      </c>
      <c r="B1772" t="s">
        <v>235</v>
      </c>
      <c r="C1772" t="s">
        <v>236</v>
      </c>
      <c r="D1772">
        <v>2019</v>
      </c>
      <c r="E1772">
        <v>45938.607358199399</v>
      </c>
      <c r="F1772">
        <v>1.2713424076114099</v>
      </c>
      <c r="G1772">
        <v>-1.93108114782172</v>
      </c>
      <c r="H1772">
        <v>12</v>
      </c>
      <c r="I1772">
        <v>1.5279892320705799</v>
      </c>
      <c r="J1772">
        <v>2.331</v>
      </c>
      <c r="K1772">
        <v>4.1028946930529404</v>
      </c>
      <c r="L1772">
        <v>4.4977239404660203</v>
      </c>
      <c r="M1772">
        <v>-2.74226666327483</v>
      </c>
      <c r="N1772">
        <v>22.2156206400823</v>
      </c>
      <c r="O1772">
        <v>23.185328258013001</v>
      </c>
      <c r="P1772">
        <v>4.9075901437291298</v>
      </c>
      <c r="Q1772">
        <v>33.834706965451502</v>
      </c>
      <c r="R1772">
        <v>93.302309120139796</v>
      </c>
      <c r="S1772">
        <v>2.4950531477284001</v>
      </c>
      <c r="T1772">
        <v>25.816766926888398</v>
      </c>
      <c r="U1772">
        <v>0.69535336577680396</v>
      </c>
      <c r="V1772">
        <v>54.368419618144699</v>
      </c>
    </row>
    <row r="1773" spans="1:22" x14ac:dyDescent="0.25">
      <c r="A1773" t="str">
        <f t="shared" si="27"/>
        <v>United Arab Emirates2020</v>
      </c>
      <c r="B1773" t="s">
        <v>235</v>
      </c>
      <c r="C1773" t="s">
        <v>236</v>
      </c>
      <c r="D1773">
        <v>2020</v>
      </c>
      <c r="E1773">
        <v>37991.749297166498</v>
      </c>
      <c r="F1773">
        <v>-8.6934261788517109</v>
      </c>
      <c r="G1773">
        <v>-2.0794031794094301</v>
      </c>
      <c r="H1773">
        <v>12</v>
      </c>
      <c r="I1773">
        <v>1.56409085694231</v>
      </c>
      <c r="J1773">
        <v>4.2939999999999996</v>
      </c>
      <c r="K1773">
        <v>5.14595392942734</v>
      </c>
      <c r="L1773">
        <v>6.2284626716790799</v>
      </c>
      <c r="M1773">
        <v>-9.8538526309173005</v>
      </c>
      <c r="N1773">
        <v>22.165254167908799</v>
      </c>
      <c r="O1773">
        <v>22.8266562576</v>
      </c>
      <c r="P1773">
        <v>4.9075901437291298</v>
      </c>
      <c r="Q1773">
        <v>33.834706965451502</v>
      </c>
      <c r="R1773">
        <v>98.072467535833894</v>
      </c>
      <c r="S1773">
        <v>-2.4151533454781902</v>
      </c>
      <c r="T1773">
        <v>30.117909854456801</v>
      </c>
      <c r="U1773">
        <v>0.31431800936855098</v>
      </c>
      <c r="V1773">
        <v>47.065560651033699</v>
      </c>
    </row>
    <row r="1774" spans="1:22" x14ac:dyDescent="0.25">
      <c r="A1774" t="str">
        <f t="shared" si="27"/>
        <v>United Arab Emirates2021</v>
      </c>
      <c r="B1774" t="s">
        <v>235</v>
      </c>
      <c r="C1774" t="s">
        <v>236</v>
      </c>
      <c r="D1774">
        <v>2021</v>
      </c>
      <c r="E1774">
        <v>44118.504719277102</v>
      </c>
      <c r="F1774">
        <v>4.5527857124228301</v>
      </c>
      <c r="G1774">
        <v>0.179935336174431</v>
      </c>
      <c r="H1774">
        <v>12</v>
      </c>
      <c r="I1774">
        <v>1.6192330449293899</v>
      </c>
      <c r="J1774">
        <v>3.105</v>
      </c>
      <c r="K1774">
        <v>4.2622144988053003</v>
      </c>
      <c r="L1774">
        <v>4.3098444328242804</v>
      </c>
      <c r="M1774">
        <v>13.126865531345301</v>
      </c>
      <c r="N1774">
        <v>22.141279308498699</v>
      </c>
      <c r="O1774">
        <v>25.383004945159801</v>
      </c>
      <c r="P1774">
        <v>4.9075901437291298</v>
      </c>
      <c r="Q1774">
        <v>33.834706965451502</v>
      </c>
      <c r="R1774">
        <v>100.642574267637</v>
      </c>
      <c r="S1774">
        <v>3.9633130494048601</v>
      </c>
      <c r="T1774">
        <v>35.667377883656599</v>
      </c>
      <c r="U1774">
        <v>0.75050318082863898</v>
      </c>
      <c r="V1774">
        <v>55.425411612751901</v>
      </c>
    </row>
    <row r="1775" spans="1:22" x14ac:dyDescent="0.25">
      <c r="A1775" t="str">
        <f t="shared" si="27"/>
        <v>United Arab Emirates2022</v>
      </c>
      <c r="B1775" t="s">
        <v>235</v>
      </c>
      <c r="C1775" t="s">
        <v>236</v>
      </c>
      <c r="D1775">
        <v>2022</v>
      </c>
      <c r="E1775">
        <v>50759.758923119101</v>
      </c>
      <c r="F1775">
        <v>7.5144842580108202</v>
      </c>
      <c r="G1775">
        <v>5.2912260437684902</v>
      </c>
      <c r="H1775">
        <v>12</v>
      </c>
      <c r="I1775">
        <v>1.63973912932682</v>
      </c>
      <c r="J1775">
        <v>2.8719999999999999</v>
      </c>
      <c r="K1775">
        <v>3.8097576156227602</v>
      </c>
      <c r="L1775">
        <v>3.2127497586273099</v>
      </c>
      <c r="M1775">
        <v>12.5978703860808</v>
      </c>
      <c r="N1775">
        <v>22.122993602315699</v>
      </c>
      <c r="O1775">
        <v>26.058486930343999</v>
      </c>
      <c r="P1775">
        <v>4.9075901437291298</v>
      </c>
      <c r="Q1775">
        <v>33.834706965451502</v>
      </c>
      <c r="R1775">
        <v>102.051988974133</v>
      </c>
      <c r="S1775">
        <v>9.8047533274558294</v>
      </c>
      <c r="T1775">
        <v>31.513218326612499</v>
      </c>
      <c r="U1775">
        <v>1.0884850978160301</v>
      </c>
      <c r="V1775">
        <v>61.903115667459602</v>
      </c>
    </row>
    <row r="1776" spans="1:22" x14ac:dyDescent="0.25">
      <c r="A1776" t="str">
        <f t="shared" si="27"/>
        <v>United Arab Emirates2023</v>
      </c>
      <c r="B1776" t="s">
        <v>235</v>
      </c>
      <c r="C1776" t="s">
        <v>236</v>
      </c>
      <c r="D1776">
        <v>2023</v>
      </c>
      <c r="E1776">
        <v>49850.687217516403</v>
      </c>
      <c r="F1776">
        <v>4.30118228020602</v>
      </c>
      <c r="G1776">
        <v>1.62670837213248</v>
      </c>
      <c r="H1776">
        <v>12</v>
      </c>
      <c r="I1776">
        <v>1.69563170962521</v>
      </c>
      <c r="J1776">
        <v>2.1509999999999998</v>
      </c>
      <c r="K1776">
        <v>3.7687173607071198</v>
      </c>
      <c r="L1776">
        <v>3.6785299228506898</v>
      </c>
      <c r="M1776">
        <v>-2.0205490072532899</v>
      </c>
      <c r="N1776">
        <v>22.002662383826198</v>
      </c>
      <c r="O1776">
        <v>26.6386707861598</v>
      </c>
      <c r="P1776">
        <v>4.6157782190328103</v>
      </c>
      <c r="Q1776">
        <v>33.834706965451502</v>
      </c>
      <c r="R1776">
        <v>106.846139017261</v>
      </c>
      <c r="S1776">
        <v>5.8174312828746402</v>
      </c>
      <c r="T1776">
        <v>31.908935454837401</v>
      </c>
      <c r="U1776">
        <v>0.90541757322123795</v>
      </c>
      <c r="V1776">
        <v>58.394474563452697</v>
      </c>
    </row>
    <row r="1777" spans="1:22" x14ac:dyDescent="0.25">
      <c r="A1777" t="str">
        <f t="shared" si="27"/>
        <v>United Arab Emirates2024</v>
      </c>
      <c r="B1777" t="s">
        <v>235</v>
      </c>
      <c r="C1777" t="s">
        <v>236</v>
      </c>
      <c r="D1777">
        <v>2024</v>
      </c>
      <c r="E1777">
        <v>50273.506046983697</v>
      </c>
      <c r="F1777">
        <v>3.9918070548539801</v>
      </c>
      <c r="G1777">
        <v>1.66336510224894</v>
      </c>
      <c r="H1777">
        <v>12</v>
      </c>
      <c r="I1777">
        <v>1.7669603756335801</v>
      </c>
      <c r="J1777">
        <v>2.16</v>
      </c>
      <c r="K1777">
        <v>3.9217856355317302</v>
      </c>
      <c r="L1777">
        <v>3.0325245922511801</v>
      </c>
      <c r="M1777">
        <v>1.6266497421157</v>
      </c>
      <c r="N1777">
        <v>21.769960468876</v>
      </c>
      <c r="O1777">
        <v>23.005992257806501</v>
      </c>
      <c r="P1777">
        <v>5.1994020684254503</v>
      </c>
      <c r="Q1777">
        <v>33.834706965451502</v>
      </c>
      <c r="R1777">
        <v>94.755626221070898</v>
      </c>
      <c r="S1777">
        <v>6.4148064584736399</v>
      </c>
      <c r="T1777">
        <v>34.944390840981299</v>
      </c>
      <c r="U1777">
        <v>0.91087949034044002</v>
      </c>
      <c r="V1777">
        <v>58.499156739898403</v>
      </c>
    </row>
    <row r="1778" spans="1:22" x14ac:dyDescent="0.25">
      <c r="A1778" t="str">
        <f t="shared" si="27"/>
        <v>United Arab Emirates2025</v>
      </c>
      <c r="B1778" t="s">
        <v>235</v>
      </c>
      <c r="C1778" t="s">
        <v>236</v>
      </c>
      <c r="D1778">
        <v>2025</v>
      </c>
      <c r="E1778">
        <v>47135.359194397097</v>
      </c>
      <c r="F1778">
        <v>4.5527857124228301</v>
      </c>
      <c r="G1778">
        <v>1.6174880890419701</v>
      </c>
      <c r="H1778">
        <v>12</v>
      </c>
      <c r="I1778">
        <v>1.50109608885113</v>
      </c>
      <c r="J1778">
        <v>2.1739999999999999</v>
      </c>
      <c r="K1778">
        <v>3.9217856355317302</v>
      </c>
      <c r="L1778">
        <v>3.27913933437959</v>
      </c>
      <c r="M1778">
        <v>1.6266497421157</v>
      </c>
      <c r="N1778">
        <v>22.3131514262999</v>
      </c>
      <c r="O1778">
        <v>23.005992257806501</v>
      </c>
      <c r="P1778">
        <v>4.9075901437291298</v>
      </c>
      <c r="Q1778">
        <v>33.834706965451502</v>
      </c>
      <c r="R1778">
        <v>94.755626221070898</v>
      </c>
      <c r="S1778">
        <v>5.1507466472780603</v>
      </c>
      <c r="T1778">
        <v>34.326864652456599</v>
      </c>
      <c r="U1778">
        <v>0.82625275522064601</v>
      </c>
      <c r="V1778">
        <v>56.877215098438903</v>
      </c>
    </row>
    <row r="1779" spans="1:22" x14ac:dyDescent="0.25">
      <c r="A1779" t="str">
        <f t="shared" si="27"/>
        <v>United Kingdom2010</v>
      </c>
      <c r="B1779" t="s">
        <v>237</v>
      </c>
      <c r="C1779" t="s">
        <v>238</v>
      </c>
      <c r="D1779">
        <v>2010</v>
      </c>
      <c r="E1779">
        <v>39778.3220528565</v>
      </c>
      <c r="F1779">
        <v>2.2605446093158599</v>
      </c>
      <c r="G1779">
        <v>2.4926547246706501</v>
      </c>
      <c r="H1779">
        <v>11</v>
      </c>
      <c r="I1779">
        <v>16.3383853690104</v>
      </c>
      <c r="J1779">
        <v>7.9729999999999999</v>
      </c>
      <c r="K1779">
        <v>43.938783505039801</v>
      </c>
      <c r="L1779">
        <v>38.102187160973301</v>
      </c>
      <c r="M1779">
        <v>1.3283713684016001</v>
      </c>
      <c r="N1779">
        <v>51.738023164777999</v>
      </c>
      <c r="O1779">
        <v>16.618116037550799</v>
      </c>
      <c r="P1779">
        <v>1.1358383621097601</v>
      </c>
      <c r="Q1779">
        <v>13.8581873866829</v>
      </c>
      <c r="R1779">
        <v>28.7463664387355</v>
      </c>
      <c r="S1779">
        <v>-9.2474559656005297</v>
      </c>
      <c r="T1779">
        <v>75.518167342167104</v>
      </c>
      <c r="U1779">
        <v>0.250440119985744</v>
      </c>
      <c r="V1779">
        <v>45.841287865230797</v>
      </c>
    </row>
    <row r="1780" spans="1:22" x14ac:dyDescent="0.25">
      <c r="A1780" t="str">
        <f t="shared" si="27"/>
        <v>United Kingdom2011</v>
      </c>
      <c r="B1780" t="s">
        <v>237</v>
      </c>
      <c r="C1780" t="s">
        <v>238</v>
      </c>
      <c r="D1780">
        <v>2011</v>
      </c>
      <c r="E1780">
        <v>42295.927383532202</v>
      </c>
      <c r="F1780">
        <v>0.85143773902032605</v>
      </c>
      <c r="G1780">
        <v>3.8561124468282002</v>
      </c>
      <c r="H1780">
        <v>11</v>
      </c>
      <c r="I1780">
        <v>16.587464993603199</v>
      </c>
      <c r="J1780">
        <v>8.1950000000000003</v>
      </c>
      <c r="K1780">
        <v>42.512298309225798</v>
      </c>
      <c r="L1780">
        <v>33.365530002485102</v>
      </c>
      <c r="M1780">
        <v>2.4759581873966701</v>
      </c>
      <c r="N1780">
        <v>52.281444513204299</v>
      </c>
      <c r="O1780">
        <v>16.491680863740999</v>
      </c>
      <c r="P1780">
        <v>1.1166261470104599</v>
      </c>
      <c r="Q1780">
        <v>14.864296238997801</v>
      </c>
      <c r="R1780">
        <v>31.264921898625399</v>
      </c>
      <c r="S1780">
        <v>-7.4249151918176901</v>
      </c>
      <c r="T1780">
        <v>81.066442307980196</v>
      </c>
      <c r="U1780">
        <v>0.26500405494389001</v>
      </c>
      <c r="V1780">
        <v>46.120417770675999</v>
      </c>
    </row>
    <row r="1781" spans="1:22" x14ac:dyDescent="0.25">
      <c r="A1781" t="str">
        <f t="shared" si="27"/>
        <v>United Kingdom2012</v>
      </c>
      <c r="B1781" t="s">
        <v>237</v>
      </c>
      <c r="C1781" t="s">
        <v>238</v>
      </c>
      <c r="D1781">
        <v>2012</v>
      </c>
      <c r="E1781">
        <v>42688.326372837197</v>
      </c>
      <c r="F1781">
        <v>1.5282603472185201</v>
      </c>
      <c r="G1781">
        <v>2.5732347965453002</v>
      </c>
      <c r="H1781">
        <v>11</v>
      </c>
      <c r="I1781">
        <v>16.9733440416117</v>
      </c>
      <c r="J1781">
        <v>8.2789999999999999</v>
      </c>
      <c r="K1781">
        <v>43.130949034331003</v>
      </c>
      <c r="L1781">
        <v>32.724770983232901</v>
      </c>
      <c r="M1781">
        <v>1.5477686420474901</v>
      </c>
      <c r="N1781">
        <v>53.229792089123301</v>
      </c>
      <c r="O1781">
        <v>16.5145890011547</v>
      </c>
      <c r="P1781">
        <v>1.2118114474122801</v>
      </c>
      <c r="Q1781">
        <v>13.398359555292201</v>
      </c>
      <c r="R1781">
        <v>30.499538830045498</v>
      </c>
      <c r="S1781">
        <v>-7.95907319940431</v>
      </c>
      <c r="T1781">
        <v>84.090391634353793</v>
      </c>
      <c r="U1781">
        <v>0.22445812032387399</v>
      </c>
      <c r="V1781">
        <v>45.343321269682498</v>
      </c>
    </row>
    <row r="1782" spans="1:22" x14ac:dyDescent="0.25">
      <c r="A1782" t="str">
        <f t="shared" si="27"/>
        <v>United Kingdom2013</v>
      </c>
      <c r="B1782" t="s">
        <v>237</v>
      </c>
      <c r="C1782" t="s">
        <v>238</v>
      </c>
      <c r="D1782">
        <v>2013</v>
      </c>
      <c r="E1782">
        <v>43606.983789634804</v>
      </c>
      <c r="F1782">
        <v>1.71846961308464</v>
      </c>
      <c r="G1782">
        <v>2.2916666666665901</v>
      </c>
      <c r="H1782">
        <v>11</v>
      </c>
      <c r="I1782">
        <v>17.3279065798855</v>
      </c>
      <c r="J1782">
        <v>7.7519999999999998</v>
      </c>
      <c r="K1782">
        <v>40.031088743214397</v>
      </c>
      <c r="L1782">
        <v>33.580258368584403</v>
      </c>
      <c r="M1782">
        <v>2.1570877877559802</v>
      </c>
      <c r="N1782">
        <v>54.154812155443103</v>
      </c>
      <c r="O1782">
        <v>17.169739395619601</v>
      </c>
      <c r="P1782">
        <v>1.19820109358142</v>
      </c>
      <c r="Q1782">
        <v>12.652992730578999</v>
      </c>
      <c r="R1782">
        <v>30.207616015453802</v>
      </c>
      <c r="S1782">
        <v>-5.2942531099922103</v>
      </c>
      <c r="T1782">
        <v>84.948341933695204</v>
      </c>
      <c r="U1782">
        <v>0.33672822294405802</v>
      </c>
      <c r="V1782">
        <v>47.495071000696399</v>
      </c>
    </row>
    <row r="1783" spans="1:22" x14ac:dyDescent="0.25">
      <c r="A1783" t="str">
        <f t="shared" si="27"/>
        <v>United Kingdom2014</v>
      </c>
      <c r="B1783" t="s">
        <v>237</v>
      </c>
      <c r="C1783" t="s">
        <v>238</v>
      </c>
      <c r="D1783">
        <v>2014</v>
      </c>
      <c r="E1783">
        <v>47746.242175956198</v>
      </c>
      <c r="F1783">
        <v>3.16017351468152</v>
      </c>
      <c r="G1783">
        <v>1.4511201629327899</v>
      </c>
      <c r="H1783">
        <v>11</v>
      </c>
      <c r="I1783">
        <v>17.5840843935351</v>
      </c>
      <c r="J1783">
        <v>6.3979999999999997</v>
      </c>
      <c r="K1783">
        <v>39.146142055799601</v>
      </c>
      <c r="L1783">
        <v>32.663223587863001</v>
      </c>
      <c r="M1783">
        <v>1.5960156271688</v>
      </c>
      <c r="N1783">
        <v>54.843859544782099</v>
      </c>
      <c r="O1783">
        <v>18.432417845558501</v>
      </c>
      <c r="P1783">
        <v>1.2098242201601499</v>
      </c>
      <c r="Q1783">
        <v>13.621605028188601</v>
      </c>
      <c r="R1783">
        <v>28.532009006616299</v>
      </c>
      <c r="S1783">
        <v>-5.4673275500702303</v>
      </c>
      <c r="T1783">
        <v>86.511408131767098</v>
      </c>
      <c r="U1783">
        <v>0.371623531510889</v>
      </c>
      <c r="V1783">
        <v>48.163868561845497</v>
      </c>
    </row>
    <row r="1784" spans="1:22" x14ac:dyDescent="0.25">
      <c r="A1784" t="str">
        <f t="shared" si="27"/>
        <v>United Kingdom2015</v>
      </c>
      <c r="B1784" t="s">
        <v>237</v>
      </c>
      <c r="C1784" t="s">
        <v>238</v>
      </c>
      <c r="D1784">
        <v>2015</v>
      </c>
      <c r="E1784">
        <v>45255.344921620897</v>
      </c>
      <c r="F1784">
        <v>2.1404056003337102</v>
      </c>
      <c r="G1784">
        <v>0.36804684232536</v>
      </c>
      <c r="H1784">
        <v>11</v>
      </c>
      <c r="I1784">
        <v>17.769980197947099</v>
      </c>
      <c r="J1784">
        <v>5.5519999999999996</v>
      </c>
      <c r="K1784">
        <v>38.213375822607297</v>
      </c>
      <c r="L1784">
        <v>32.9060547215376</v>
      </c>
      <c r="M1784">
        <v>0.66917200333010396</v>
      </c>
      <c r="N1784">
        <v>55.401561593734101</v>
      </c>
      <c r="O1784">
        <v>18.475520950033602</v>
      </c>
      <c r="P1784">
        <v>1.56885775056848</v>
      </c>
      <c r="Q1784">
        <v>13.695555815675901</v>
      </c>
      <c r="R1784">
        <v>27.879073617646299</v>
      </c>
      <c r="S1784">
        <v>-4.5349727388154397</v>
      </c>
      <c r="T1784">
        <v>87.340042821221402</v>
      </c>
      <c r="U1784">
        <v>0.39438021646809901</v>
      </c>
      <c r="V1784">
        <v>48.600019323202702</v>
      </c>
    </row>
    <row r="1785" spans="1:22" x14ac:dyDescent="0.25">
      <c r="A1785" t="str">
        <f t="shared" si="27"/>
        <v>United Kingdom2016</v>
      </c>
      <c r="B1785" t="s">
        <v>237</v>
      </c>
      <c r="C1785" t="s">
        <v>238</v>
      </c>
      <c r="D1785">
        <v>2016</v>
      </c>
      <c r="E1785">
        <v>41257.908554555601</v>
      </c>
      <c r="F1785">
        <v>2.20652020635357</v>
      </c>
      <c r="G1785">
        <v>1.0084173681141</v>
      </c>
      <c r="H1785">
        <v>11</v>
      </c>
      <c r="I1785">
        <v>17.916202570826599</v>
      </c>
      <c r="J1785">
        <v>4.9089999999999998</v>
      </c>
      <c r="K1785">
        <v>37.011904197769802</v>
      </c>
      <c r="L1785">
        <v>33.389765831735097</v>
      </c>
      <c r="M1785">
        <v>1.7353935429221801</v>
      </c>
      <c r="N1785">
        <v>55.924592645308401</v>
      </c>
      <c r="O1785">
        <v>18.595638868589901</v>
      </c>
      <c r="P1785">
        <v>1.4959373340275199</v>
      </c>
      <c r="Q1785">
        <v>13.3480290259192</v>
      </c>
      <c r="R1785">
        <v>29.061556150252802</v>
      </c>
      <c r="S1785">
        <v>-3.2803509655793301</v>
      </c>
      <c r="T1785">
        <v>87.250960840601394</v>
      </c>
      <c r="U1785">
        <v>0.42819031165316901</v>
      </c>
      <c r="V1785">
        <v>49.248017868872097</v>
      </c>
    </row>
    <row r="1786" spans="1:22" x14ac:dyDescent="0.25">
      <c r="A1786" t="str">
        <f t="shared" si="27"/>
        <v>United Kingdom2017</v>
      </c>
      <c r="B1786" t="s">
        <v>237</v>
      </c>
      <c r="C1786" t="s">
        <v>238</v>
      </c>
      <c r="D1786">
        <v>2017</v>
      </c>
      <c r="E1786">
        <v>40916.811507035403</v>
      </c>
      <c r="F1786">
        <v>3.0232221984033898</v>
      </c>
      <c r="G1786">
        <v>2.55775577557747</v>
      </c>
      <c r="H1786">
        <v>11</v>
      </c>
      <c r="I1786">
        <v>18.0734136212163</v>
      </c>
      <c r="J1786">
        <v>4.5010000000000003</v>
      </c>
      <c r="K1786">
        <v>36.843405228440297</v>
      </c>
      <c r="L1786">
        <v>33.764427418747303</v>
      </c>
      <c r="M1786">
        <v>1.5425278151763699</v>
      </c>
      <c r="N1786">
        <v>56.479959518169998</v>
      </c>
      <c r="O1786">
        <v>19.131737126541701</v>
      </c>
      <c r="P1786">
        <v>1.5890582343185899</v>
      </c>
      <c r="Q1786">
        <v>15.7531873531931</v>
      </c>
      <c r="R1786">
        <v>30.973831096564901</v>
      </c>
      <c r="S1786">
        <v>-2.4831419849686802</v>
      </c>
      <c r="T1786">
        <v>86.116968065374095</v>
      </c>
      <c r="U1786">
        <v>0.505972312634281</v>
      </c>
      <c r="V1786">
        <v>50.738774497598499</v>
      </c>
    </row>
    <row r="1787" spans="1:22" x14ac:dyDescent="0.25">
      <c r="A1787" t="str">
        <f t="shared" si="27"/>
        <v>United Kingdom2018</v>
      </c>
      <c r="B1787" t="s">
        <v>237</v>
      </c>
      <c r="C1787" t="s">
        <v>238</v>
      </c>
      <c r="D1787">
        <v>2018</v>
      </c>
      <c r="E1787">
        <v>43702.997630316502</v>
      </c>
      <c r="F1787">
        <v>1.5513309507878601</v>
      </c>
      <c r="G1787">
        <v>2.29283990345938</v>
      </c>
      <c r="H1787">
        <v>11</v>
      </c>
      <c r="I1787">
        <v>18.255750067694098</v>
      </c>
      <c r="J1787">
        <v>4.1449999999999996</v>
      </c>
      <c r="K1787">
        <v>37.1969170536007</v>
      </c>
      <c r="L1787">
        <v>33.671799845180402</v>
      </c>
      <c r="M1787">
        <v>1.9627661218180901</v>
      </c>
      <c r="N1787">
        <v>57.004444957931803</v>
      </c>
      <c r="O1787">
        <v>18.876116191178799</v>
      </c>
      <c r="P1787">
        <v>1.6216006570414401</v>
      </c>
      <c r="Q1787">
        <v>15.1527876787517</v>
      </c>
      <c r="R1787">
        <v>31.854534000687998</v>
      </c>
      <c r="S1787">
        <v>-2.2321290832991401</v>
      </c>
      <c r="T1787">
        <v>85.583905387788207</v>
      </c>
      <c r="U1787">
        <v>0.53643036048148396</v>
      </c>
      <c r="V1787">
        <v>51.322528272939302</v>
      </c>
    </row>
    <row r="1788" spans="1:22" x14ac:dyDescent="0.25">
      <c r="A1788" t="str">
        <f t="shared" si="27"/>
        <v>United Kingdom2019</v>
      </c>
      <c r="B1788" t="s">
        <v>237</v>
      </c>
      <c r="C1788" t="s">
        <v>238</v>
      </c>
      <c r="D1788">
        <v>2019</v>
      </c>
      <c r="E1788">
        <v>43158.741126732297</v>
      </c>
      <c r="F1788">
        <v>1.2562989976082399</v>
      </c>
      <c r="G1788">
        <v>1.73810460086513</v>
      </c>
      <c r="H1788">
        <v>11</v>
      </c>
      <c r="I1788">
        <v>18.457958087858</v>
      </c>
      <c r="J1788">
        <v>3.657</v>
      </c>
      <c r="K1788">
        <v>36.4058676559426</v>
      </c>
      <c r="L1788">
        <v>33.270305167288697</v>
      </c>
      <c r="M1788">
        <v>2.46133048824501</v>
      </c>
      <c r="N1788">
        <v>57.431021356167399</v>
      </c>
      <c r="O1788">
        <v>19.028514031090602</v>
      </c>
      <c r="P1788">
        <v>1.68473544806755</v>
      </c>
      <c r="Q1788">
        <v>16.546439980679398</v>
      </c>
      <c r="R1788">
        <v>31.902860280315501</v>
      </c>
      <c r="S1788">
        <v>-2.38028976089688</v>
      </c>
      <c r="T1788">
        <v>84.936712175665704</v>
      </c>
      <c r="U1788">
        <v>0.53506456703016703</v>
      </c>
      <c r="V1788">
        <v>51.296351707469903</v>
      </c>
    </row>
    <row r="1789" spans="1:22" x14ac:dyDescent="0.25">
      <c r="A1789" t="str">
        <f t="shared" si="27"/>
        <v>United Kingdom2020</v>
      </c>
      <c r="B1789" t="s">
        <v>237</v>
      </c>
      <c r="C1789" t="s">
        <v>238</v>
      </c>
      <c r="D1789">
        <v>2020</v>
      </c>
      <c r="E1789">
        <v>40812.679466387897</v>
      </c>
      <c r="F1789">
        <v>-10.047896637361999</v>
      </c>
      <c r="G1789">
        <v>0.98948670377249104</v>
      </c>
      <c r="H1789">
        <v>11</v>
      </c>
      <c r="I1789">
        <v>18.605795327572299</v>
      </c>
      <c r="J1789">
        <v>4.4720000000000004</v>
      </c>
      <c r="K1789">
        <v>47.5326631273768</v>
      </c>
      <c r="L1789">
        <v>33.408684438420103</v>
      </c>
      <c r="M1789">
        <v>4.84234085720969</v>
      </c>
      <c r="N1789">
        <v>57.6593808571739</v>
      </c>
      <c r="O1789">
        <v>18.2807146353402</v>
      </c>
      <c r="P1789">
        <v>2.1161105409397001</v>
      </c>
      <c r="Q1789">
        <v>15.560597199080499</v>
      </c>
      <c r="R1789">
        <v>29.948652057682899</v>
      </c>
      <c r="S1789">
        <v>-12.912854399638499</v>
      </c>
      <c r="T1789">
        <v>104.7870307617</v>
      </c>
      <c r="U1789">
        <v>-5.6494849598802001E-2</v>
      </c>
      <c r="V1789">
        <v>39.958624334792297</v>
      </c>
    </row>
    <row r="1790" spans="1:22" x14ac:dyDescent="0.25">
      <c r="A1790" t="str">
        <f t="shared" si="27"/>
        <v>United Kingdom2021</v>
      </c>
      <c r="B1790" t="s">
        <v>237</v>
      </c>
      <c r="C1790" t="s">
        <v>238</v>
      </c>
      <c r="D1790">
        <v>2021</v>
      </c>
      <c r="E1790">
        <v>47691.376879940399</v>
      </c>
      <c r="F1790">
        <v>8.5431118453254999</v>
      </c>
      <c r="G1790">
        <v>2.51837109614213</v>
      </c>
      <c r="H1790">
        <v>11</v>
      </c>
      <c r="I1790">
        <v>18.718648767957902</v>
      </c>
      <c r="J1790">
        <v>4.8639999999999999</v>
      </c>
      <c r="K1790">
        <v>42.947243065254703</v>
      </c>
      <c r="L1790">
        <v>34.5638089563137</v>
      </c>
      <c r="M1790">
        <v>0.71175653385932902</v>
      </c>
      <c r="N1790">
        <v>57.612960837729901</v>
      </c>
      <c r="O1790">
        <v>18.898741610882698</v>
      </c>
      <c r="P1790">
        <v>1.91277921919496</v>
      </c>
      <c r="Q1790">
        <v>18.144305703660802</v>
      </c>
      <c r="R1790">
        <v>29.289407108770501</v>
      </c>
      <c r="S1790">
        <v>-7.5374614879887298</v>
      </c>
      <c r="T1790">
        <v>103.446835772212</v>
      </c>
      <c r="U1790">
        <v>0.42159210195496</v>
      </c>
      <c r="V1790">
        <v>49.121557701722097</v>
      </c>
    </row>
    <row r="1791" spans="1:22" x14ac:dyDescent="0.25">
      <c r="A1791" t="str">
        <f t="shared" si="27"/>
        <v>United Kingdom2022</v>
      </c>
      <c r="B1791" t="s">
        <v>237</v>
      </c>
      <c r="C1791" t="s">
        <v>238</v>
      </c>
      <c r="D1791">
        <v>2022</v>
      </c>
      <c r="E1791">
        <v>47057.043229178998</v>
      </c>
      <c r="F1791">
        <v>5.1497038852299299</v>
      </c>
      <c r="G1791">
        <v>7.9220488314790201</v>
      </c>
      <c r="H1791">
        <v>11</v>
      </c>
      <c r="I1791">
        <v>18.930314722798901</v>
      </c>
      <c r="J1791">
        <v>3.7679999999999998</v>
      </c>
      <c r="K1791">
        <v>40.651093841838801</v>
      </c>
      <c r="L1791">
        <v>35.8232572592484</v>
      </c>
      <c r="M1791">
        <v>5.6786420431308198</v>
      </c>
      <c r="N1791">
        <v>57.628192344540302</v>
      </c>
      <c r="O1791">
        <v>18.3468561370256</v>
      </c>
      <c r="P1791">
        <v>1.4122736435935299</v>
      </c>
      <c r="Q1791">
        <v>16.4281012912124</v>
      </c>
      <c r="R1791">
        <v>34.061928383706899</v>
      </c>
      <c r="S1791">
        <v>-4.5992772425956501</v>
      </c>
      <c r="T1791">
        <v>97.510528104197306</v>
      </c>
      <c r="U1791">
        <v>0.56004202414916204</v>
      </c>
      <c r="V1791">
        <v>51.775065411144297</v>
      </c>
    </row>
    <row r="1792" spans="1:22" x14ac:dyDescent="0.25">
      <c r="A1792" t="str">
        <f t="shared" si="27"/>
        <v>United Kingdom2023</v>
      </c>
      <c r="B1792" t="s">
        <v>237</v>
      </c>
      <c r="C1792" t="s">
        <v>238</v>
      </c>
      <c r="D1792">
        <v>2023</v>
      </c>
      <c r="E1792">
        <v>49944.470212420099</v>
      </c>
      <c r="F1792">
        <v>0.27165004835525502</v>
      </c>
      <c r="G1792">
        <v>6.7939670679396302</v>
      </c>
      <c r="H1792">
        <v>11</v>
      </c>
      <c r="I1792">
        <v>19.238129106618</v>
      </c>
      <c r="J1792">
        <v>4.0250000000000004</v>
      </c>
      <c r="K1792">
        <v>41.229229072104701</v>
      </c>
      <c r="L1792">
        <v>35.307815958642003</v>
      </c>
      <c r="M1792">
        <v>6.3449141921223298</v>
      </c>
      <c r="N1792">
        <v>57.846397332052</v>
      </c>
      <c r="O1792">
        <v>18.4594014019513</v>
      </c>
      <c r="P1792">
        <v>1.2535597852713101</v>
      </c>
      <c r="Q1792">
        <v>14.889141661081</v>
      </c>
      <c r="R1792">
        <v>31.912269762993802</v>
      </c>
      <c r="S1792">
        <v>-6.0461876545147701</v>
      </c>
      <c r="T1792">
        <v>98.869217096074195</v>
      </c>
      <c r="U1792">
        <v>0.43875334895512003</v>
      </c>
      <c r="V1792">
        <v>49.450467248918102</v>
      </c>
    </row>
    <row r="1793" spans="1:22" x14ac:dyDescent="0.25">
      <c r="A1793" t="str">
        <f t="shared" si="27"/>
        <v>United Kingdom2024</v>
      </c>
      <c r="B1793" t="s">
        <v>237</v>
      </c>
      <c r="C1793" t="s">
        <v>238</v>
      </c>
      <c r="D1793">
        <v>2024</v>
      </c>
      <c r="E1793">
        <v>53246.367614510797</v>
      </c>
      <c r="F1793">
        <v>1.1264226705117999</v>
      </c>
      <c r="G1793">
        <v>3.2715729463591998</v>
      </c>
      <c r="H1793">
        <v>11</v>
      </c>
      <c r="I1793">
        <v>19.4997673608515</v>
      </c>
      <c r="J1793">
        <v>4.3609999999999998</v>
      </c>
      <c r="K1793">
        <v>40.341091292526599</v>
      </c>
      <c r="L1793">
        <v>34.920801135642598</v>
      </c>
      <c r="M1793">
        <v>3.6232490995823801</v>
      </c>
      <c r="N1793">
        <v>57.939991244923498</v>
      </c>
      <c r="O1793">
        <v>19.119724438853499</v>
      </c>
      <c r="P1793">
        <v>1.1823637014874699</v>
      </c>
      <c r="Q1793">
        <v>17.0025166407376</v>
      </c>
      <c r="R1793">
        <v>30.984158840168799</v>
      </c>
      <c r="S1793">
        <v>-6.0558404574173901</v>
      </c>
      <c r="T1793">
        <v>99.900991606080794</v>
      </c>
      <c r="U1793">
        <v>0.46564303909216598</v>
      </c>
      <c r="V1793">
        <v>49.965830486049803</v>
      </c>
    </row>
    <row r="1794" spans="1:22" x14ac:dyDescent="0.25">
      <c r="A1794" t="str">
        <f t="shared" si="27"/>
        <v>United Kingdom2025</v>
      </c>
      <c r="B1794" t="s">
        <v>237</v>
      </c>
      <c r="C1794" t="s">
        <v>238</v>
      </c>
      <c r="D1794">
        <v>2025</v>
      </c>
      <c r="E1794">
        <v>43606.983789634804</v>
      </c>
      <c r="F1794">
        <v>1.71846961308464</v>
      </c>
      <c r="G1794">
        <v>2.4926547246706501</v>
      </c>
      <c r="H1794">
        <v>11</v>
      </c>
      <c r="I1794">
        <v>18.0734136212163</v>
      </c>
      <c r="J1794">
        <v>4.7460000000000004</v>
      </c>
      <c r="K1794">
        <v>40.341091292526599</v>
      </c>
      <c r="L1794">
        <v>33.580258368584403</v>
      </c>
      <c r="M1794">
        <v>1.9627661218180901</v>
      </c>
      <c r="N1794">
        <v>56.479959518169998</v>
      </c>
      <c r="O1794">
        <v>18.4594014019513</v>
      </c>
      <c r="P1794">
        <v>1.4122736435935299</v>
      </c>
      <c r="Q1794">
        <v>14.889141661081</v>
      </c>
      <c r="R1794">
        <v>30.499538830045498</v>
      </c>
      <c r="S1794">
        <v>-5.3770545339742304</v>
      </c>
      <c r="T1794">
        <v>102.315701385068</v>
      </c>
      <c r="U1794">
        <v>0.35909222575662297</v>
      </c>
      <c r="V1794">
        <v>47.923695682720002</v>
      </c>
    </row>
    <row r="1795" spans="1:22" x14ac:dyDescent="0.25">
      <c r="A1795" t="str">
        <f t="shared" si="27"/>
        <v>United States2010</v>
      </c>
      <c r="B1795" t="s">
        <v>239</v>
      </c>
      <c r="C1795" t="s">
        <v>240</v>
      </c>
      <c r="D1795">
        <v>2010</v>
      </c>
      <c r="E1795">
        <v>48642.610017931198</v>
      </c>
      <c r="F1795">
        <v>2.6951925774444199</v>
      </c>
      <c r="G1795">
        <v>1.6400434423899</v>
      </c>
      <c r="H1795">
        <v>12</v>
      </c>
      <c r="I1795">
        <v>12.8447616637143</v>
      </c>
      <c r="J1795">
        <v>9.6329999999999991</v>
      </c>
      <c r="K1795">
        <v>26.054604717757002</v>
      </c>
      <c r="L1795">
        <v>16.403450278495502</v>
      </c>
      <c r="M1795">
        <v>1.21525703756249</v>
      </c>
      <c r="N1795">
        <v>48.246117105127297</v>
      </c>
      <c r="O1795">
        <v>18.672221669846099</v>
      </c>
      <c r="P1795">
        <v>2.0033189020389099</v>
      </c>
      <c r="Q1795">
        <v>15.383257822255</v>
      </c>
      <c r="R1795">
        <v>12.3413608086534</v>
      </c>
      <c r="S1795">
        <v>-10.9925260690512</v>
      </c>
      <c r="T1795">
        <v>95.651112451180197</v>
      </c>
      <c r="U1795">
        <v>-0.32126062912407899</v>
      </c>
      <c r="V1795">
        <v>34.884168343578096</v>
      </c>
    </row>
    <row r="1796" spans="1:22" x14ac:dyDescent="0.25">
      <c r="A1796" t="str">
        <f t="shared" ref="A1796:A1858" si="28">C1796&amp;D1796</f>
        <v>United States2011</v>
      </c>
      <c r="B1796" t="s">
        <v>239</v>
      </c>
      <c r="C1796" t="s">
        <v>240</v>
      </c>
      <c r="D1796">
        <v>2011</v>
      </c>
      <c r="E1796">
        <v>50024.868799397998</v>
      </c>
      <c r="F1796">
        <v>1.56440685763506</v>
      </c>
      <c r="G1796">
        <v>3.1568415686220002</v>
      </c>
      <c r="H1796">
        <v>12</v>
      </c>
      <c r="I1796">
        <v>13.066330465373801</v>
      </c>
      <c r="J1796">
        <v>8.9489999999999998</v>
      </c>
      <c r="K1796">
        <v>25.3457058278502</v>
      </c>
      <c r="L1796">
        <v>16.629439177053499</v>
      </c>
      <c r="M1796">
        <v>2.0631285696588</v>
      </c>
      <c r="N1796">
        <v>48.5112483606419</v>
      </c>
      <c r="O1796">
        <v>19.033543255297399</v>
      </c>
      <c r="P1796">
        <v>1.96135892377522</v>
      </c>
      <c r="Q1796">
        <v>16.337329598984599</v>
      </c>
      <c r="R1796">
        <v>13.563467153510199</v>
      </c>
      <c r="S1796">
        <v>-9.7155046002413492</v>
      </c>
      <c r="T1796">
        <v>100.027179966313</v>
      </c>
      <c r="U1796">
        <v>-0.25267945866967401</v>
      </c>
      <c r="V1796">
        <v>36.198583416103098</v>
      </c>
    </row>
    <row r="1797" spans="1:22" x14ac:dyDescent="0.25">
      <c r="A1797" t="str">
        <f t="shared" si="28"/>
        <v>United States2012</v>
      </c>
      <c r="B1797" t="s">
        <v>239</v>
      </c>
      <c r="C1797" t="s">
        <v>240</v>
      </c>
      <c r="D1797">
        <v>2012</v>
      </c>
      <c r="E1797">
        <v>51708.401155657702</v>
      </c>
      <c r="F1797">
        <v>2.2891133866984301</v>
      </c>
      <c r="G1797">
        <v>2.0693372652606699</v>
      </c>
      <c r="H1797">
        <v>12</v>
      </c>
      <c r="I1797">
        <v>13.3766080380696</v>
      </c>
      <c r="J1797">
        <v>8.0690000000000008</v>
      </c>
      <c r="K1797">
        <v>23.9119007034258</v>
      </c>
      <c r="L1797">
        <v>16.747737485214099</v>
      </c>
      <c r="M1797">
        <v>1.8622042201176501</v>
      </c>
      <c r="N1797">
        <v>48.993534740837902</v>
      </c>
      <c r="O1797">
        <v>19.950723147015001</v>
      </c>
      <c r="P1797">
        <v>2.0466242038699498</v>
      </c>
      <c r="Q1797">
        <v>18.379291890792199</v>
      </c>
      <c r="R1797">
        <v>13.644049396779399</v>
      </c>
      <c r="S1797">
        <v>-8.1137692683932201</v>
      </c>
      <c r="T1797">
        <v>103.667139372275</v>
      </c>
      <c r="U1797">
        <v>-0.14803965844441599</v>
      </c>
      <c r="V1797">
        <v>38.204092066520701</v>
      </c>
    </row>
    <row r="1798" spans="1:22" x14ac:dyDescent="0.25">
      <c r="A1798" t="str">
        <f t="shared" si="28"/>
        <v>United States2013</v>
      </c>
      <c r="B1798" t="s">
        <v>239</v>
      </c>
      <c r="C1798" t="s">
        <v>240</v>
      </c>
      <c r="D1798">
        <v>2013</v>
      </c>
      <c r="E1798">
        <v>53179.012763456099</v>
      </c>
      <c r="F1798">
        <v>2.11783009790057</v>
      </c>
      <c r="G1798">
        <v>1.46483265562717</v>
      </c>
      <c r="H1798">
        <v>12</v>
      </c>
      <c r="I1798">
        <v>13.701192717486901</v>
      </c>
      <c r="J1798">
        <v>7.375</v>
      </c>
      <c r="K1798">
        <v>22.932396845735902</v>
      </c>
      <c r="L1798">
        <v>18.7824278743545</v>
      </c>
      <c r="M1798">
        <v>1.47598650286378</v>
      </c>
      <c r="N1798">
        <v>49.500091606639302</v>
      </c>
      <c r="O1798">
        <v>20.4246273846192</v>
      </c>
      <c r="P1798">
        <v>1.5942146882997701</v>
      </c>
      <c r="Q1798">
        <v>18.604639710505701</v>
      </c>
      <c r="R1798">
        <v>13.5836612014366</v>
      </c>
      <c r="S1798">
        <v>-4.5607121753128901</v>
      </c>
      <c r="T1798">
        <v>105.014781695637</v>
      </c>
      <c r="U1798">
        <v>4.6418388132380098E-2</v>
      </c>
      <c r="V1798">
        <v>41.931041981501103</v>
      </c>
    </row>
    <row r="1799" spans="1:22" x14ac:dyDescent="0.25">
      <c r="A1799" t="str">
        <f t="shared" si="28"/>
        <v>United States2014</v>
      </c>
      <c r="B1799" t="s">
        <v>239</v>
      </c>
      <c r="C1799" t="s">
        <v>240</v>
      </c>
      <c r="D1799">
        <v>2014</v>
      </c>
      <c r="E1799">
        <v>54973.420751571197</v>
      </c>
      <c r="F1799">
        <v>2.5238198136396801</v>
      </c>
      <c r="G1799">
        <v>1.62222297740817</v>
      </c>
      <c r="H1799">
        <v>12</v>
      </c>
      <c r="I1799">
        <v>14.008926600853201</v>
      </c>
      <c r="J1799">
        <v>6.1680000000000001</v>
      </c>
      <c r="K1799">
        <v>22.684094066609799</v>
      </c>
      <c r="L1799">
        <v>18.9205857954118</v>
      </c>
      <c r="M1799">
        <v>1.6353530515638399</v>
      </c>
      <c r="N1799">
        <v>49.959373362683799</v>
      </c>
      <c r="O1799">
        <v>20.969620342418999</v>
      </c>
      <c r="P1799">
        <v>1.4800463987633501</v>
      </c>
      <c r="Q1799">
        <v>19.721013463213001</v>
      </c>
      <c r="R1799">
        <v>13.552437719898901</v>
      </c>
      <c r="S1799">
        <v>-4.0260050402867904</v>
      </c>
      <c r="T1799">
        <v>104.941832250736</v>
      </c>
      <c r="U1799">
        <v>0.11955922843052801</v>
      </c>
      <c r="V1799">
        <v>43.332846912330297</v>
      </c>
    </row>
    <row r="1800" spans="1:22" x14ac:dyDescent="0.25">
      <c r="A1800" t="str">
        <f t="shared" si="28"/>
        <v>United States2015</v>
      </c>
      <c r="B1800" t="s">
        <v>239</v>
      </c>
      <c r="C1800" t="s">
        <v>240</v>
      </c>
      <c r="D1800">
        <v>2015</v>
      </c>
      <c r="E1800">
        <v>56572.918899606302</v>
      </c>
      <c r="F1800">
        <v>2.94555045484053</v>
      </c>
      <c r="G1800">
        <v>0.118627135552451</v>
      </c>
      <c r="H1800">
        <v>12</v>
      </c>
      <c r="I1800">
        <v>14.310224713679499</v>
      </c>
      <c r="J1800">
        <v>5.28</v>
      </c>
      <c r="K1800">
        <v>22.482906387017401</v>
      </c>
      <c r="L1800">
        <v>19.088215648210401</v>
      </c>
      <c r="M1800">
        <v>0.76587974007360105</v>
      </c>
      <c r="N1800">
        <v>50.380279277356202</v>
      </c>
      <c r="O1800">
        <v>21.519875516657301</v>
      </c>
      <c r="P1800">
        <v>1.34985594012155</v>
      </c>
      <c r="Q1800">
        <v>19.7947209402226</v>
      </c>
      <c r="R1800">
        <v>12.471819253103201</v>
      </c>
      <c r="S1800">
        <v>-3.5295107952992599</v>
      </c>
      <c r="T1800">
        <v>105.442465154413</v>
      </c>
      <c r="U1800">
        <v>0.169639780969293</v>
      </c>
      <c r="V1800">
        <v>44.292682282026902</v>
      </c>
    </row>
    <row r="1801" spans="1:22" x14ac:dyDescent="0.25">
      <c r="A1801" t="str">
        <f t="shared" si="28"/>
        <v>United States2016</v>
      </c>
      <c r="B1801" t="s">
        <v>239</v>
      </c>
      <c r="C1801" t="s">
        <v>240</v>
      </c>
      <c r="D1801">
        <v>2016</v>
      </c>
      <c r="E1801">
        <v>57638.101836719201</v>
      </c>
      <c r="F1801">
        <v>1.8194514778816699</v>
      </c>
      <c r="G1801">
        <v>1.26158320570536</v>
      </c>
      <c r="H1801">
        <v>12</v>
      </c>
      <c r="I1801">
        <v>14.614728511898701</v>
      </c>
      <c r="J1801">
        <v>4.8689999999999998</v>
      </c>
      <c r="K1801">
        <v>22.547577468917801</v>
      </c>
      <c r="L1801">
        <v>18.649717187913701</v>
      </c>
      <c r="M1801">
        <v>0.85147588450197997</v>
      </c>
      <c r="N1801">
        <v>50.788532689922199</v>
      </c>
      <c r="O1801">
        <v>21.0106376645574</v>
      </c>
      <c r="P1801">
        <v>1.44075451131827</v>
      </c>
      <c r="Q1801">
        <v>18.667693545627799</v>
      </c>
      <c r="R1801">
        <v>11.957982056879001</v>
      </c>
      <c r="S1801">
        <v>-4.3563645645549798</v>
      </c>
      <c r="T1801">
        <v>107.405426245287</v>
      </c>
      <c r="U1801">
        <v>0.12594593727030101</v>
      </c>
      <c r="V1801">
        <v>43.455253489925902</v>
      </c>
    </row>
    <row r="1802" spans="1:22" x14ac:dyDescent="0.25">
      <c r="A1802" t="str">
        <f t="shared" si="28"/>
        <v>United States2017</v>
      </c>
      <c r="B1802" t="s">
        <v>239</v>
      </c>
      <c r="C1802" t="s">
        <v>240</v>
      </c>
      <c r="D1802">
        <v>2017</v>
      </c>
      <c r="E1802">
        <v>59635.0984397965</v>
      </c>
      <c r="F1802">
        <v>2.4576222985250702</v>
      </c>
      <c r="G1802">
        <v>2.1301100036596101</v>
      </c>
      <c r="H1802">
        <v>12</v>
      </c>
      <c r="I1802">
        <v>14.9391233929999</v>
      </c>
      <c r="J1802">
        <v>4.3550000000000004</v>
      </c>
      <c r="K1802">
        <v>22.293893156674599</v>
      </c>
      <c r="L1802">
        <v>19.3424398172831</v>
      </c>
      <c r="M1802">
        <v>1.6850838243467601</v>
      </c>
      <c r="N1802">
        <v>51.235756887899797</v>
      </c>
      <c r="O1802">
        <v>21.3021477015707</v>
      </c>
      <c r="P1802">
        <v>1.48411996805483</v>
      </c>
      <c r="Q1802">
        <v>19.110374720054299</v>
      </c>
      <c r="R1802">
        <v>12.261738118000601</v>
      </c>
      <c r="S1802">
        <v>-4.7941933806170596</v>
      </c>
      <c r="T1802">
        <v>106.402848241646</v>
      </c>
      <c r="U1802">
        <v>0.156378950146218</v>
      </c>
      <c r="V1802">
        <v>44.0385274492563</v>
      </c>
    </row>
    <row r="1803" spans="1:22" x14ac:dyDescent="0.25">
      <c r="A1803" t="str">
        <f t="shared" si="28"/>
        <v>United States2018</v>
      </c>
      <c r="B1803" t="s">
        <v>239</v>
      </c>
      <c r="C1803" t="s">
        <v>240</v>
      </c>
      <c r="D1803">
        <v>2018</v>
      </c>
      <c r="E1803">
        <v>62499.874439006802</v>
      </c>
      <c r="F1803">
        <v>2.9665050690130501</v>
      </c>
      <c r="G1803">
        <v>2.44258329692817</v>
      </c>
      <c r="H1803">
        <v>12</v>
      </c>
      <c r="I1803">
        <v>15.291486624580401</v>
      </c>
      <c r="J1803">
        <v>3.8959999999999999</v>
      </c>
      <c r="K1803">
        <v>22.302777079980501</v>
      </c>
      <c r="L1803">
        <v>17.5844563482997</v>
      </c>
      <c r="M1803">
        <v>2.3830537225445001</v>
      </c>
      <c r="N1803">
        <v>51.694326410179698</v>
      </c>
      <c r="O1803">
        <v>21.6987608435503</v>
      </c>
      <c r="P1803">
        <v>1.3600015179599001</v>
      </c>
      <c r="Q1803">
        <v>19.346553899103998</v>
      </c>
      <c r="R1803">
        <v>12.3609892157496</v>
      </c>
      <c r="S1803">
        <v>-5.3348663436855901</v>
      </c>
      <c r="T1803">
        <v>107.653426701732</v>
      </c>
      <c r="U1803">
        <v>0.14504072482442801</v>
      </c>
      <c r="V1803">
        <v>43.821220947195997</v>
      </c>
    </row>
    <row r="1804" spans="1:22" x14ac:dyDescent="0.25">
      <c r="A1804" t="str">
        <f t="shared" si="28"/>
        <v>United States2019</v>
      </c>
      <c r="B1804" t="s">
        <v>239</v>
      </c>
      <c r="C1804" t="s">
        <v>240</v>
      </c>
      <c r="D1804">
        <v>2019</v>
      </c>
      <c r="E1804">
        <v>64746.4506778863</v>
      </c>
      <c r="F1804">
        <v>2.58382533412825</v>
      </c>
      <c r="G1804">
        <v>1.8122100752602099</v>
      </c>
      <c r="H1804">
        <v>12</v>
      </c>
      <c r="I1804">
        <v>15.6728852475003</v>
      </c>
      <c r="J1804">
        <v>3.669</v>
      </c>
      <c r="K1804">
        <v>22.6817722119359</v>
      </c>
      <c r="L1804">
        <v>17.4199703478</v>
      </c>
      <c r="M1804">
        <v>1.50677251688072</v>
      </c>
      <c r="N1804">
        <v>52.163751521528198</v>
      </c>
      <c r="O1804">
        <v>21.830963067453801</v>
      </c>
      <c r="P1804">
        <v>1.5480598591595101</v>
      </c>
      <c r="Q1804">
        <v>19.574167132065199</v>
      </c>
      <c r="R1804">
        <v>11.8768712235892</v>
      </c>
      <c r="S1804">
        <v>-5.8053967100704602</v>
      </c>
      <c r="T1804">
        <v>108.784685218994</v>
      </c>
      <c r="U1804">
        <v>0.14621848950427899</v>
      </c>
      <c r="V1804">
        <v>43.843793785145998</v>
      </c>
    </row>
    <row r="1805" spans="1:22" x14ac:dyDescent="0.25">
      <c r="A1805" t="str">
        <f t="shared" si="28"/>
        <v>United States2020</v>
      </c>
      <c r="B1805" t="s">
        <v>239</v>
      </c>
      <c r="C1805" t="s">
        <v>240</v>
      </c>
      <c r="D1805">
        <v>2020</v>
      </c>
      <c r="E1805">
        <v>63515.949180783296</v>
      </c>
      <c r="F1805">
        <v>-2.1630291403616599</v>
      </c>
      <c r="G1805">
        <v>1.23358439630629</v>
      </c>
      <c r="H1805">
        <v>12</v>
      </c>
      <c r="I1805">
        <v>16.0719119439363</v>
      </c>
      <c r="J1805">
        <v>8.0549999999999997</v>
      </c>
      <c r="K1805">
        <v>32.271904824612498</v>
      </c>
      <c r="L1805">
        <v>17.9534803892826</v>
      </c>
      <c r="M1805">
        <v>0.67870182942976998</v>
      </c>
      <c r="N1805">
        <v>52.589681637879899</v>
      </c>
      <c r="O1805">
        <v>21.717446074796399</v>
      </c>
      <c r="P1805">
        <v>2.0973767852913601</v>
      </c>
      <c r="Q1805">
        <v>18.643384152464499</v>
      </c>
      <c r="R1805">
        <v>10.2141055302392</v>
      </c>
      <c r="S1805">
        <v>-14.126658019604401</v>
      </c>
      <c r="T1805">
        <v>132.55150167658601</v>
      </c>
      <c r="U1805">
        <v>-0.35889384443286598</v>
      </c>
      <c r="V1805">
        <v>34.162896526522601</v>
      </c>
    </row>
    <row r="1806" spans="1:22" x14ac:dyDescent="0.25">
      <c r="A1806" t="str">
        <f t="shared" si="28"/>
        <v>United States2021</v>
      </c>
      <c r="B1806" t="s">
        <v>239</v>
      </c>
      <c r="C1806" t="s">
        <v>240</v>
      </c>
      <c r="D1806">
        <v>2021</v>
      </c>
      <c r="E1806">
        <v>70205.050916025997</v>
      </c>
      <c r="F1806">
        <v>6.05505293244555</v>
      </c>
      <c r="G1806">
        <v>4.6978588636374203</v>
      </c>
      <c r="H1806">
        <v>12</v>
      </c>
      <c r="I1806">
        <v>16.4737700238047</v>
      </c>
      <c r="J1806">
        <v>5.3490000000000002</v>
      </c>
      <c r="K1806">
        <v>31.7949992963696</v>
      </c>
      <c r="L1806">
        <v>19.126922973840198</v>
      </c>
      <c r="M1806">
        <v>4.38483807578484</v>
      </c>
      <c r="N1806">
        <v>52.951708979360603</v>
      </c>
      <c r="O1806">
        <v>21.668250242580299</v>
      </c>
      <c r="P1806">
        <v>1.97445270826071</v>
      </c>
      <c r="Q1806">
        <v>18.032933616421499</v>
      </c>
      <c r="R1806">
        <v>10.9604167715559</v>
      </c>
      <c r="S1806">
        <v>-11.4606849548905</v>
      </c>
      <c r="T1806">
        <v>125.04791228059</v>
      </c>
      <c r="U1806">
        <v>-1.0898645796812E-2</v>
      </c>
      <c r="V1806">
        <v>40.832513437736402</v>
      </c>
    </row>
    <row r="1807" spans="1:22" x14ac:dyDescent="0.25">
      <c r="A1807" t="str">
        <f t="shared" si="28"/>
        <v>United States2022</v>
      </c>
      <c r="B1807" t="s">
        <v>239</v>
      </c>
      <c r="C1807" t="s">
        <v>240</v>
      </c>
      <c r="D1807">
        <v>2022</v>
      </c>
      <c r="E1807">
        <v>76657.248884440298</v>
      </c>
      <c r="F1807">
        <v>2.5123753198601699</v>
      </c>
      <c r="G1807">
        <v>8.0027998205212096</v>
      </c>
      <c r="H1807">
        <v>12</v>
      </c>
      <c r="I1807">
        <v>16.9196203896458</v>
      </c>
      <c r="J1807">
        <v>3.65</v>
      </c>
      <c r="K1807">
        <v>25.0456420310833</v>
      </c>
      <c r="L1807">
        <v>20.220653590582199</v>
      </c>
      <c r="M1807">
        <v>7.1294808541819501</v>
      </c>
      <c r="N1807">
        <v>53.377633599054001</v>
      </c>
      <c r="O1807">
        <v>22.294425640227701</v>
      </c>
      <c r="P1807">
        <v>1.67967044769329</v>
      </c>
      <c r="Q1807">
        <v>18.6927640825769</v>
      </c>
      <c r="R1807">
        <v>11.7844046293243</v>
      </c>
      <c r="S1807">
        <v>-3.72174587213006</v>
      </c>
      <c r="T1807">
        <v>119.145463756879</v>
      </c>
      <c r="U1807">
        <v>0.37022571001232202</v>
      </c>
      <c r="V1807">
        <v>48.137078152258702</v>
      </c>
    </row>
    <row r="1808" spans="1:22" x14ac:dyDescent="0.25">
      <c r="A1808" t="str">
        <f t="shared" si="28"/>
        <v>United States2023</v>
      </c>
      <c r="B1808" t="s">
        <v>239</v>
      </c>
      <c r="C1808" t="s">
        <v>240</v>
      </c>
      <c r="D1808">
        <v>2023</v>
      </c>
      <c r="E1808">
        <v>81032.262117545004</v>
      </c>
      <c r="F1808">
        <v>2.8875560074948701</v>
      </c>
      <c r="G1808">
        <v>4.1163383837448801</v>
      </c>
      <c r="H1808">
        <v>12</v>
      </c>
      <c r="I1808">
        <v>17.431819482353902</v>
      </c>
      <c r="J1808">
        <v>3.6379999999999999</v>
      </c>
      <c r="K1808">
        <v>24.898282556877099</v>
      </c>
      <c r="L1808">
        <v>17.821387447895098</v>
      </c>
      <c r="M1808">
        <v>3.5983913553565801</v>
      </c>
      <c r="N1808">
        <v>53.908799692092998</v>
      </c>
      <c r="O1808">
        <v>21.879270964714301</v>
      </c>
      <c r="P1808">
        <v>1.7926338253862699</v>
      </c>
      <c r="Q1808">
        <v>17.671628382155401</v>
      </c>
      <c r="R1808">
        <v>11.1844126402687</v>
      </c>
      <c r="S1808">
        <v>-7.8871545943224897</v>
      </c>
      <c r="T1808">
        <v>119.962798682659</v>
      </c>
      <c r="U1808">
        <v>0.193727079021731</v>
      </c>
      <c r="V1808">
        <v>44.754335348119902</v>
      </c>
    </row>
    <row r="1809" spans="1:22" x14ac:dyDescent="0.25">
      <c r="A1809" t="str">
        <f t="shared" si="28"/>
        <v>United States2024</v>
      </c>
      <c r="B1809" t="s">
        <v>239</v>
      </c>
      <c r="C1809" t="s">
        <v>240</v>
      </c>
      <c r="D1809">
        <v>2024</v>
      </c>
      <c r="E1809">
        <v>84534.0407841548</v>
      </c>
      <c r="F1809">
        <v>2.7930012771677899</v>
      </c>
      <c r="G1809">
        <v>2.9495252048520699</v>
      </c>
      <c r="H1809">
        <v>12</v>
      </c>
      <c r="I1809">
        <v>17.928730213403298</v>
      </c>
      <c r="J1809">
        <v>4.0220000000000002</v>
      </c>
      <c r="K1809">
        <v>23.422148774580801</v>
      </c>
      <c r="L1809">
        <v>18.117976585940799</v>
      </c>
      <c r="M1809">
        <v>2.4827250950256299</v>
      </c>
      <c r="N1809">
        <v>54.448042802586599</v>
      </c>
      <c r="O1809">
        <v>21.841012769964902</v>
      </c>
      <c r="P1809">
        <v>1.9403205806474699</v>
      </c>
      <c r="Q1809">
        <v>17.8108789729135</v>
      </c>
      <c r="R1809">
        <v>11.1074566893674</v>
      </c>
      <c r="S1809">
        <v>-7.8584546227945404</v>
      </c>
      <c r="T1809">
        <v>122.269665717791</v>
      </c>
      <c r="U1809">
        <v>0.21296128811798901</v>
      </c>
      <c r="V1809">
        <v>45.122974935002297</v>
      </c>
    </row>
    <row r="1810" spans="1:22" x14ac:dyDescent="0.25">
      <c r="A1810" t="str">
        <f t="shared" si="28"/>
        <v>United States2025</v>
      </c>
      <c r="B1810" t="s">
        <v>239</v>
      </c>
      <c r="C1810" t="s">
        <v>240</v>
      </c>
      <c r="D1810">
        <v>2025</v>
      </c>
      <c r="E1810">
        <v>59635.0984397965</v>
      </c>
      <c r="F1810">
        <v>2.5238198136396801</v>
      </c>
      <c r="G1810">
        <v>2.0693372652606699</v>
      </c>
      <c r="H1810">
        <v>12</v>
      </c>
      <c r="I1810">
        <v>14.9391233929999</v>
      </c>
      <c r="J1810">
        <v>4.1980000000000004</v>
      </c>
      <c r="K1810">
        <v>23.422148774580801</v>
      </c>
      <c r="L1810">
        <v>18.117976585940799</v>
      </c>
      <c r="M1810">
        <v>1.6850838243467601</v>
      </c>
      <c r="N1810">
        <v>51.235756887899797</v>
      </c>
      <c r="O1810">
        <v>21.519875516657301</v>
      </c>
      <c r="P1810">
        <v>1.67967044769329</v>
      </c>
      <c r="Q1810">
        <v>18.643384152464499</v>
      </c>
      <c r="R1810">
        <v>12.261738118000601</v>
      </c>
      <c r="S1810">
        <v>-6.8241883498535296</v>
      </c>
      <c r="T1810">
        <v>123.88635076320899</v>
      </c>
      <c r="U1810">
        <v>1.37719084657621E-2</v>
      </c>
      <c r="V1810">
        <v>41.305345093355797</v>
      </c>
    </row>
    <row r="1811" spans="1:22" x14ac:dyDescent="0.25">
      <c r="A1811" t="str">
        <f t="shared" si="28"/>
        <v>Uruguay2010</v>
      </c>
      <c r="B1811" t="s">
        <v>241</v>
      </c>
      <c r="C1811" t="s">
        <v>242</v>
      </c>
      <c r="D1811">
        <v>2010</v>
      </c>
      <c r="E1811">
        <v>12641.057684900799</v>
      </c>
      <c r="F1811">
        <v>7.8034096507169002</v>
      </c>
      <c r="G1811">
        <v>6.6987088697813197</v>
      </c>
      <c r="H1811">
        <v>14</v>
      </c>
      <c r="I1811">
        <v>14.1874838033135</v>
      </c>
      <c r="J1811">
        <v>7.1580000000000004</v>
      </c>
      <c r="K1811">
        <v>28.2518723908528</v>
      </c>
      <c r="L1811">
        <v>28.722294982602399</v>
      </c>
      <c r="M1811">
        <v>5.74685698442181</v>
      </c>
      <c r="N1811">
        <v>57.422666230248502</v>
      </c>
      <c r="O1811">
        <v>19.4076054759968</v>
      </c>
      <c r="P1811">
        <v>7.62739942350189</v>
      </c>
      <c r="Q1811">
        <v>17.146712477883501</v>
      </c>
      <c r="R1811">
        <v>26.3429945409681</v>
      </c>
      <c r="S1811">
        <v>-0.38728739220991698</v>
      </c>
      <c r="T1811">
        <v>40.852771040943303</v>
      </c>
      <c r="U1811">
        <v>0.45574283621389799</v>
      </c>
      <c r="V1811">
        <v>49.776084878063898</v>
      </c>
    </row>
    <row r="1812" spans="1:22" x14ac:dyDescent="0.25">
      <c r="A1812" t="str">
        <f t="shared" si="28"/>
        <v>Uruguay2011</v>
      </c>
      <c r="B1812" t="s">
        <v>241</v>
      </c>
      <c r="C1812" t="s">
        <v>242</v>
      </c>
      <c r="D1812">
        <v>2011</v>
      </c>
      <c r="E1812">
        <v>15132.2675725587</v>
      </c>
      <c r="F1812">
        <v>5.1621330246360602</v>
      </c>
      <c r="G1812">
        <v>8.0928320630299009</v>
      </c>
      <c r="H1812">
        <v>14</v>
      </c>
      <c r="I1812">
        <v>14.2761663562355</v>
      </c>
      <c r="J1812">
        <v>6.3070000000000004</v>
      </c>
      <c r="K1812">
        <v>27.735283298073899</v>
      </c>
      <c r="L1812">
        <v>28.603990018109801</v>
      </c>
      <c r="M1812">
        <v>9.87542024568336</v>
      </c>
      <c r="N1812">
        <v>56.952359834688899</v>
      </c>
      <c r="O1812">
        <v>20.8823110125109</v>
      </c>
      <c r="P1812">
        <v>8.3018100359853406</v>
      </c>
      <c r="Q1812">
        <v>17.550898809575202</v>
      </c>
      <c r="R1812">
        <v>26.4221494211811</v>
      </c>
      <c r="S1812">
        <v>-0.33379122296765501</v>
      </c>
      <c r="T1812">
        <v>41.258547589827899</v>
      </c>
      <c r="U1812">
        <v>0.46367707073490999</v>
      </c>
      <c r="V1812">
        <v>49.928151070201899</v>
      </c>
    </row>
    <row r="1813" spans="1:22" x14ac:dyDescent="0.25">
      <c r="A1813" t="str">
        <f t="shared" si="28"/>
        <v>Uruguay2012</v>
      </c>
      <c r="B1813" t="s">
        <v>241</v>
      </c>
      <c r="C1813" t="s">
        <v>242</v>
      </c>
      <c r="D1813">
        <v>2012</v>
      </c>
      <c r="E1813">
        <v>16259.594081425599</v>
      </c>
      <c r="F1813">
        <v>3.5381787205686899</v>
      </c>
      <c r="G1813">
        <v>8.0977658057360191</v>
      </c>
      <c r="H1813">
        <v>14</v>
      </c>
      <c r="I1813">
        <v>14.3644797132339</v>
      </c>
      <c r="J1813">
        <v>6.4509999999999996</v>
      </c>
      <c r="K1813">
        <v>28.842566102393398</v>
      </c>
      <c r="L1813">
        <v>28.302132654787201</v>
      </c>
      <c r="M1813">
        <v>9.4129124737221304</v>
      </c>
      <c r="N1813">
        <v>56.526754401813697</v>
      </c>
      <c r="O1813">
        <v>22.915379729543702</v>
      </c>
      <c r="P1813">
        <v>7.4681764824349797</v>
      </c>
      <c r="Q1813">
        <v>12.819067778694</v>
      </c>
      <c r="R1813">
        <v>25.9196294244279</v>
      </c>
      <c r="S1813">
        <v>-2.1727565614933502</v>
      </c>
      <c r="T1813">
        <v>49.811787821200497</v>
      </c>
      <c r="U1813">
        <v>0.28936717764557601</v>
      </c>
      <c r="V1813">
        <v>46.5873572451803</v>
      </c>
    </row>
    <row r="1814" spans="1:22" x14ac:dyDescent="0.25">
      <c r="A1814" t="str">
        <f t="shared" si="28"/>
        <v>Uruguay2013</v>
      </c>
      <c r="B1814" t="s">
        <v>241</v>
      </c>
      <c r="C1814" t="s">
        <v>242</v>
      </c>
      <c r="D1814">
        <v>2013</v>
      </c>
      <c r="E1814">
        <v>18335.259477232201</v>
      </c>
      <c r="F1814">
        <v>4.63753862902416</v>
      </c>
      <c r="G1814">
        <v>8.5751350400539703</v>
      </c>
      <c r="H1814">
        <v>14</v>
      </c>
      <c r="I1814">
        <v>14.450905842968901</v>
      </c>
      <c r="J1814">
        <v>6.444</v>
      </c>
      <c r="K1814">
        <v>29.270388786222799</v>
      </c>
      <c r="L1814">
        <v>29.1776601490145</v>
      </c>
      <c r="M1814">
        <v>8.9992466688451707</v>
      </c>
      <c r="N1814">
        <v>56.188770948546903</v>
      </c>
      <c r="O1814">
        <v>22.484412011964402</v>
      </c>
      <c r="P1814">
        <v>8.8777296609122391</v>
      </c>
      <c r="Q1814">
        <v>14.549590317249001</v>
      </c>
      <c r="R1814">
        <v>23.353136424753799</v>
      </c>
      <c r="S1814">
        <v>-1.7219689974088399</v>
      </c>
      <c r="T1814">
        <v>49.975960722682103</v>
      </c>
      <c r="U1814">
        <v>0.37840218312913398</v>
      </c>
      <c r="V1814">
        <v>48.293787048208102</v>
      </c>
    </row>
    <row r="1815" spans="1:22" x14ac:dyDescent="0.25">
      <c r="A1815" t="str">
        <f t="shared" si="28"/>
        <v>Uruguay2014</v>
      </c>
      <c r="B1815" t="s">
        <v>241</v>
      </c>
      <c r="C1815" t="s">
        <v>242</v>
      </c>
      <c r="D1815">
        <v>2014</v>
      </c>
      <c r="E1815">
        <v>18322.427676715699</v>
      </c>
      <c r="F1815">
        <v>3.2387912295236401</v>
      </c>
      <c r="G1815">
        <v>8.8773533322982807</v>
      </c>
      <c r="H1815">
        <v>14</v>
      </c>
      <c r="I1815">
        <v>14.530002894526801</v>
      </c>
      <c r="J1815">
        <v>6.5469999999999997</v>
      </c>
      <c r="K1815">
        <v>29.580892745772701</v>
      </c>
      <c r="L1815">
        <v>28.713631972412099</v>
      </c>
      <c r="M1815">
        <v>10.2206566034525</v>
      </c>
      <c r="N1815">
        <v>55.8914702038185</v>
      </c>
      <c r="O1815">
        <v>21.202812239529699</v>
      </c>
      <c r="P1815">
        <v>9.6855917453101501</v>
      </c>
      <c r="Q1815">
        <v>13.237986853921999</v>
      </c>
      <c r="R1815">
        <v>23.5426616139817</v>
      </c>
      <c r="S1815">
        <v>-2.59969889238107</v>
      </c>
      <c r="T1815">
        <v>51.098174341207702</v>
      </c>
      <c r="U1815">
        <v>0.33148311191566299</v>
      </c>
      <c r="V1815">
        <v>47.394544092988298</v>
      </c>
    </row>
    <row r="1816" spans="1:22" x14ac:dyDescent="0.25">
      <c r="A1816" t="str">
        <f t="shared" si="28"/>
        <v>Uruguay2015</v>
      </c>
      <c r="B1816" t="s">
        <v>241</v>
      </c>
      <c r="C1816" t="s">
        <v>242</v>
      </c>
      <c r="D1816">
        <v>2015</v>
      </c>
      <c r="E1816">
        <v>17125.901680029801</v>
      </c>
      <c r="F1816">
        <v>0.37074125768134503</v>
      </c>
      <c r="G1816">
        <v>8.6662698707932808</v>
      </c>
      <c r="H1816">
        <v>14</v>
      </c>
      <c r="I1816">
        <v>14.6098431213382</v>
      </c>
      <c r="J1816">
        <v>7.4880000000000004</v>
      </c>
      <c r="K1816">
        <v>29.575872094732102</v>
      </c>
      <c r="L1816">
        <v>28.123621279853701</v>
      </c>
      <c r="M1816">
        <v>9.85542032172539</v>
      </c>
      <c r="N1816">
        <v>55.655253084088997</v>
      </c>
      <c r="O1816">
        <v>19.705390395894099</v>
      </c>
      <c r="P1816">
        <v>10.536506073360099</v>
      </c>
      <c r="Q1816">
        <v>15.206780873737101</v>
      </c>
      <c r="R1816">
        <v>22.477851251574101</v>
      </c>
      <c r="S1816">
        <v>-1.8569008363195101</v>
      </c>
      <c r="T1816">
        <v>57.759518982454203</v>
      </c>
      <c r="U1816">
        <v>0.31957725712011398</v>
      </c>
      <c r="V1816">
        <v>47.166358500778699</v>
      </c>
    </row>
    <row r="1817" spans="1:22" x14ac:dyDescent="0.25">
      <c r="A1817" t="str">
        <f t="shared" si="28"/>
        <v>Uruguay2016</v>
      </c>
      <c r="B1817" t="s">
        <v>241</v>
      </c>
      <c r="C1817" t="s">
        <v>242</v>
      </c>
      <c r="D1817">
        <v>2016</v>
      </c>
      <c r="E1817">
        <v>17009.758420727601</v>
      </c>
      <c r="F1817">
        <v>1.6897982297177501</v>
      </c>
      <c r="G1817">
        <v>9.6394134763507999</v>
      </c>
      <c r="H1817">
        <v>14</v>
      </c>
      <c r="I1817">
        <v>14.6975112768004</v>
      </c>
      <c r="J1817">
        <v>7.8410000000000002</v>
      </c>
      <c r="K1817">
        <v>35.221025475039198</v>
      </c>
      <c r="L1817">
        <v>33.1100434313663</v>
      </c>
      <c r="M1817">
        <v>8.1654565431531996</v>
      </c>
      <c r="N1817">
        <v>55.467903558163997</v>
      </c>
      <c r="O1817">
        <v>17.389157731417701</v>
      </c>
      <c r="P1817">
        <v>10.026044731303701</v>
      </c>
      <c r="Q1817">
        <v>18.2750996988797</v>
      </c>
      <c r="R1817">
        <v>26.931657601642701</v>
      </c>
      <c r="S1817">
        <v>-2.6813997624864299</v>
      </c>
      <c r="T1817">
        <v>56.400824071544697</v>
      </c>
      <c r="U1817">
        <v>0.46557841583749598</v>
      </c>
      <c r="V1817">
        <v>49.964591927719397</v>
      </c>
    </row>
    <row r="1818" spans="1:22" x14ac:dyDescent="0.25">
      <c r="A1818" t="str">
        <f t="shared" si="28"/>
        <v>Uruguay2017</v>
      </c>
      <c r="B1818" t="s">
        <v>241</v>
      </c>
      <c r="C1818" t="s">
        <v>242</v>
      </c>
      <c r="D1818">
        <v>2017</v>
      </c>
      <c r="E1818">
        <v>19184.650261708201</v>
      </c>
      <c r="F1818">
        <v>1.7403764337421099</v>
      </c>
      <c r="G1818">
        <v>6.2180938256185998</v>
      </c>
      <c r="H1818">
        <v>14</v>
      </c>
      <c r="I1818">
        <v>14.808920040579199</v>
      </c>
      <c r="J1818">
        <v>7.89</v>
      </c>
      <c r="K1818">
        <v>31.2481222232683</v>
      </c>
      <c r="L1818">
        <v>29.707510924620401</v>
      </c>
      <c r="M1818">
        <v>5.6801048351447898</v>
      </c>
      <c r="N1818">
        <v>55.2221042886245</v>
      </c>
      <c r="O1818">
        <v>15.924035666887301</v>
      </c>
      <c r="P1818">
        <v>10.357367251210301</v>
      </c>
      <c r="Q1818">
        <v>16.0694702249498</v>
      </c>
      <c r="R1818">
        <v>25.931181060629601</v>
      </c>
      <c r="S1818">
        <v>-2.5102997390120301</v>
      </c>
      <c r="T1818">
        <v>55.820804487481197</v>
      </c>
      <c r="U1818">
        <v>0.41961536847641501</v>
      </c>
      <c r="V1818">
        <v>49.083671963386799</v>
      </c>
    </row>
    <row r="1819" spans="1:22" x14ac:dyDescent="0.25">
      <c r="A1819" t="str">
        <f t="shared" si="28"/>
        <v>Uruguay2018</v>
      </c>
      <c r="B1819" t="s">
        <v>241</v>
      </c>
      <c r="C1819" t="s">
        <v>242</v>
      </c>
      <c r="D1819">
        <v>2018</v>
      </c>
      <c r="E1819">
        <v>19249.940467750101</v>
      </c>
      <c r="F1819">
        <v>0.16477760894011301</v>
      </c>
      <c r="G1819">
        <v>7.6065336037704698</v>
      </c>
      <c r="H1819">
        <v>14</v>
      </c>
      <c r="I1819">
        <v>14.955882015027701</v>
      </c>
      <c r="J1819">
        <v>8.3360000000000003</v>
      </c>
      <c r="K1819">
        <v>31.913342812641002</v>
      </c>
      <c r="L1819">
        <v>31.3533848442693</v>
      </c>
      <c r="M1819">
        <v>7.5256313915401698</v>
      </c>
      <c r="N1819">
        <v>54.916076011005799</v>
      </c>
      <c r="O1819">
        <v>14.853498654449901</v>
      </c>
      <c r="P1819">
        <v>9.6730907408257796</v>
      </c>
      <c r="Q1819">
        <v>14.4299376595418</v>
      </c>
      <c r="R1819">
        <v>26.421543943430599</v>
      </c>
      <c r="S1819">
        <v>-1.88755460356519</v>
      </c>
      <c r="T1819">
        <v>57.889038570215497</v>
      </c>
      <c r="U1819">
        <v>0.44248028332127598</v>
      </c>
      <c r="V1819">
        <v>49.521897040400702</v>
      </c>
    </row>
    <row r="1820" spans="1:22" x14ac:dyDescent="0.25">
      <c r="A1820" t="str">
        <f t="shared" si="28"/>
        <v>Uruguay2019</v>
      </c>
      <c r="B1820" t="s">
        <v>241</v>
      </c>
      <c r="C1820" t="s">
        <v>242</v>
      </c>
      <c r="D1820">
        <v>2019</v>
      </c>
      <c r="E1820">
        <v>18315.731698002801</v>
      </c>
      <c r="F1820">
        <v>0.92835114126749796</v>
      </c>
      <c r="G1820">
        <v>7.8819887087961904</v>
      </c>
      <c r="H1820">
        <v>14</v>
      </c>
      <c r="I1820">
        <v>15.126623926636199</v>
      </c>
      <c r="J1820">
        <v>8.8360000000000003</v>
      </c>
      <c r="K1820">
        <v>32.0674084420152</v>
      </c>
      <c r="L1820">
        <v>30.6396644583495</v>
      </c>
      <c r="M1820">
        <v>8.2563109703971804</v>
      </c>
      <c r="N1820">
        <v>54.563322532300703</v>
      </c>
      <c r="O1820">
        <v>14.120850391877401</v>
      </c>
      <c r="P1820">
        <v>9.5458949548895298</v>
      </c>
      <c r="Q1820">
        <v>15.404150323869301</v>
      </c>
      <c r="R1820">
        <v>27.905369583679601</v>
      </c>
      <c r="S1820">
        <v>-2.71389373662883</v>
      </c>
      <c r="T1820">
        <v>59.627884672461803</v>
      </c>
      <c r="U1820">
        <v>0.41047924744287501</v>
      </c>
      <c r="V1820">
        <v>48.908570618348001</v>
      </c>
    </row>
    <row r="1821" spans="1:22" x14ac:dyDescent="0.25">
      <c r="A1821" t="str">
        <f t="shared" si="28"/>
        <v>Uruguay2020</v>
      </c>
      <c r="B1821" t="s">
        <v>241</v>
      </c>
      <c r="C1821" t="s">
        <v>242</v>
      </c>
      <c r="D1821">
        <v>2020</v>
      </c>
      <c r="E1821">
        <v>15757.535599577899</v>
      </c>
      <c r="F1821">
        <v>-7.3573270648472304</v>
      </c>
      <c r="G1821">
        <v>9.7564063607819396</v>
      </c>
      <c r="H1821">
        <v>14</v>
      </c>
      <c r="I1821">
        <v>15.325843020587399</v>
      </c>
      <c r="J1821">
        <v>10.413</v>
      </c>
      <c r="K1821">
        <v>34.690813217221098</v>
      </c>
      <c r="L1821">
        <v>30.8483157882517</v>
      </c>
      <c r="M1821">
        <v>10.723425814044999</v>
      </c>
      <c r="N1821">
        <v>54.162750953377902</v>
      </c>
      <c r="O1821">
        <v>16.233676487253401</v>
      </c>
      <c r="P1821">
        <v>12.809403262218099</v>
      </c>
      <c r="Q1821">
        <v>15.6123789439056</v>
      </c>
      <c r="R1821">
        <v>26.188280623320999</v>
      </c>
      <c r="S1821">
        <v>-4.6359160138042599</v>
      </c>
      <c r="T1821">
        <v>68.218799860010705</v>
      </c>
      <c r="U1821">
        <v>0.19783301332768799</v>
      </c>
      <c r="V1821">
        <v>44.833028988120397</v>
      </c>
    </row>
    <row r="1822" spans="1:22" x14ac:dyDescent="0.25">
      <c r="A1822" t="str">
        <f t="shared" si="28"/>
        <v>Uruguay2021</v>
      </c>
      <c r="B1822" t="s">
        <v>241</v>
      </c>
      <c r="C1822" t="s">
        <v>242</v>
      </c>
      <c r="D1822">
        <v>2021</v>
      </c>
      <c r="E1822">
        <v>17881.818721099</v>
      </c>
      <c r="F1822">
        <v>5.8442731255817897</v>
      </c>
      <c r="G1822">
        <v>7.7479140231476196</v>
      </c>
      <c r="H1822">
        <v>14</v>
      </c>
      <c r="I1822">
        <v>15.483980087111201</v>
      </c>
      <c r="J1822">
        <v>9.3279999999999994</v>
      </c>
      <c r="K1822">
        <v>31.732289978428</v>
      </c>
      <c r="L1822">
        <v>29.101773354165701</v>
      </c>
      <c r="M1822">
        <v>11.0740404050254</v>
      </c>
      <c r="N1822">
        <v>53.646664275287797</v>
      </c>
      <c r="O1822">
        <v>18.196763139939499</v>
      </c>
      <c r="P1822">
        <v>8.9831955022649197</v>
      </c>
      <c r="Q1822">
        <v>15.8570007402803</v>
      </c>
      <c r="R1822">
        <v>32.944605201732003</v>
      </c>
      <c r="S1822">
        <v>-2.6141857893111702</v>
      </c>
      <c r="T1822">
        <v>64.078892999484097</v>
      </c>
      <c r="U1822">
        <v>0.41205719877283897</v>
      </c>
      <c r="V1822">
        <v>48.938813365709599</v>
      </c>
    </row>
    <row r="1823" spans="1:22" x14ac:dyDescent="0.25">
      <c r="A1823" t="str">
        <f t="shared" si="28"/>
        <v>Uruguay2022</v>
      </c>
      <c r="B1823" t="s">
        <v>241</v>
      </c>
      <c r="C1823" t="s">
        <v>242</v>
      </c>
      <c r="D1823">
        <v>2022</v>
      </c>
      <c r="E1823">
        <v>20818.6146091144</v>
      </c>
      <c r="F1823">
        <v>4.4862270307207304</v>
      </c>
      <c r="G1823">
        <v>9.10437983075437</v>
      </c>
      <c r="H1823">
        <v>14</v>
      </c>
      <c r="I1823">
        <v>15.613405593124901</v>
      </c>
      <c r="J1823">
        <v>7.8769999999999998</v>
      </c>
      <c r="K1823">
        <v>36.288581663794801</v>
      </c>
      <c r="L1823">
        <v>29.688869632069299</v>
      </c>
      <c r="M1823">
        <v>5.1476805114519903</v>
      </c>
      <c r="N1823">
        <v>53.093091628832603</v>
      </c>
      <c r="O1823">
        <v>18.655184562811598</v>
      </c>
      <c r="P1823">
        <v>6.5464720686583302</v>
      </c>
      <c r="Q1823">
        <v>15.201857505474999</v>
      </c>
      <c r="R1823">
        <v>33.331613013326297</v>
      </c>
      <c r="S1823">
        <v>-2.4982129049244199</v>
      </c>
      <c r="T1823">
        <v>59.390295254721202</v>
      </c>
      <c r="U1823">
        <v>0.48193480527390697</v>
      </c>
      <c r="V1823">
        <v>50.278075711458499</v>
      </c>
    </row>
    <row r="1824" spans="1:22" x14ac:dyDescent="0.25">
      <c r="A1824" t="str">
        <f t="shared" si="28"/>
        <v>Uruguay2023</v>
      </c>
      <c r="B1824" t="s">
        <v>241</v>
      </c>
      <c r="C1824" t="s">
        <v>242</v>
      </c>
      <c r="D1824">
        <v>2023</v>
      </c>
      <c r="E1824">
        <v>23019.422156004599</v>
      </c>
      <c r="F1824">
        <v>0.74212878531592696</v>
      </c>
      <c r="G1824">
        <v>5.8691035989611899</v>
      </c>
      <c r="H1824">
        <v>14</v>
      </c>
      <c r="I1824">
        <v>15.812817906776401</v>
      </c>
      <c r="J1824">
        <v>8.3550000000000004</v>
      </c>
      <c r="K1824">
        <v>37.020745376990703</v>
      </c>
      <c r="L1824">
        <v>30.830277884632501</v>
      </c>
      <c r="M1824">
        <v>3.4131254835156302</v>
      </c>
      <c r="N1824">
        <v>52.667631856304801</v>
      </c>
      <c r="O1824">
        <v>17.535342486745101</v>
      </c>
      <c r="P1824">
        <v>7.2066179316235797</v>
      </c>
      <c r="Q1824">
        <v>14.2454844875791</v>
      </c>
      <c r="R1824">
        <v>28.140301234303699</v>
      </c>
      <c r="S1824">
        <v>-3.0863551889193399</v>
      </c>
      <c r="T1824">
        <v>63.018558742650299</v>
      </c>
      <c r="U1824">
        <v>0.43374242591259698</v>
      </c>
      <c r="V1824">
        <v>49.354428748398</v>
      </c>
    </row>
    <row r="1825" spans="1:22" x14ac:dyDescent="0.25">
      <c r="A1825" t="str">
        <f t="shared" si="28"/>
        <v>Uruguay2024</v>
      </c>
      <c r="B1825" t="s">
        <v>241</v>
      </c>
      <c r="C1825" t="s">
        <v>242</v>
      </c>
      <c r="D1825">
        <v>2024</v>
      </c>
      <c r="E1825">
        <v>23906.513302940799</v>
      </c>
      <c r="F1825">
        <v>3.1082547806617198</v>
      </c>
      <c r="G1825">
        <v>4.8491436661315603</v>
      </c>
      <c r="H1825">
        <v>14</v>
      </c>
      <c r="I1825">
        <v>16.045192985564402</v>
      </c>
      <c r="J1825">
        <v>8.2089999999999996</v>
      </c>
      <c r="K1825">
        <v>31.490206100848098</v>
      </c>
      <c r="L1825">
        <v>31.110715363971899</v>
      </c>
      <c r="M1825">
        <v>4.2801844656541297</v>
      </c>
      <c r="N1825">
        <v>52.295502622660599</v>
      </c>
      <c r="O1825">
        <v>15.5966726541364</v>
      </c>
      <c r="P1825">
        <v>7.7309463221310697</v>
      </c>
      <c r="Q1825">
        <v>14.696539059312901</v>
      </c>
      <c r="R1825">
        <v>28.7607719167193</v>
      </c>
      <c r="S1825">
        <v>-3.1639559116950999</v>
      </c>
      <c r="T1825">
        <v>67.553394844109704</v>
      </c>
      <c r="U1825">
        <v>0.459958046472277</v>
      </c>
      <c r="V1825">
        <v>49.856872882420902</v>
      </c>
    </row>
    <row r="1826" spans="1:22" x14ac:dyDescent="0.25">
      <c r="A1826" t="str">
        <f t="shared" si="28"/>
        <v>Uruguay2025</v>
      </c>
      <c r="B1826" t="s">
        <v>241</v>
      </c>
      <c r="C1826" t="s">
        <v>242</v>
      </c>
      <c r="D1826">
        <v>2025</v>
      </c>
      <c r="E1826">
        <v>18315.731698002801</v>
      </c>
      <c r="F1826">
        <v>3.1082547806617198</v>
      </c>
      <c r="G1826">
        <v>8.0928320630299009</v>
      </c>
      <c r="H1826">
        <v>14</v>
      </c>
      <c r="I1826">
        <v>14.808920040579199</v>
      </c>
      <c r="J1826">
        <v>7.516</v>
      </c>
      <c r="K1826">
        <v>31.490206100848098</v>
      </c>
      <c r="L1826">
        <v>29.688869632069299</v>
      </c>
      <c r="M1826">
        <v>8.2563109703971804</v>
      </c>
      <c r="N1826">
        <v>55.2221042886245</v>
      </c>
      <c r="O1826">
        <v>18.196763139939499</v>
      </c>
      <c r="P1826">
        <v>8.9831955022649197</v>
      </c>
      <c r="Q1826">
        <v>15.206780873737101</v>
      </c>
      <c r="R1826">
        <v>26.421543943430599</v>
      </c>
      <c r="S1826">
        <v>-3.3567965003984801</v>
      </c>
      <c r="T1826">
        <v>65.668566137528998</v>
      </c>
      <c r="U1826">
        <v>0.33132731254352898</v>
      </c>
      <c r="V1826">
        <v>47.3915580686661</v>
      </c>
    </row>
    <row r="1827" spans="1:22" x14ac:dyDescent="0.25">
      <c r="A1827" t="str">
        <f t="shared" si="28"/>
        <v>Uzbekistan2010</v>
      </c>
      <c r="B1827" t="s">
        <v>243</v>
      </c>
      <c r="C1827" t="s">
        <v>244</v>
      </c>
      <c r="D1827">
        <v>2010</v>
      </c>
      <c r="E1827">
        <v>1753.2073024327799</v>
      </c>
      <c r="F1827">
        <v>7.5971679610015999</v>
      </c>
      <c r="G1827">
        <v>11.644038531044201</v>
      </c>
      <c r="H1827">
        <v>11</v>
      </c>
      <c r="I1827">
        <v>4.7988627576541596</v>
      </c>
      <c r="J1827">
        <v>5.36</v>
      </c>
      <c r="K1827">
        <v>14.995690622248301</v>
      </c>
      <c r="L1827">
        <v>19.7287802727495</v>
      </c>
      <c r="M1827">
        <v>48.581689950096802</v>
      </c>
      <c r="N1827">
        <v>50.913597139173703</v>
      </c>
      <c r="O1827">
        <v>27.178197932670798</v>
      </c>
      <c r="P1827">
        <v>14.5968071513045</v>
      </c>
      <c r="Q1827">
        <v>31.7219660410533</v>
      </c>
      <c r="R1827">
        <v>24.295717769208899</v>
      </c>
      <c r="S1827">
        <v>2.29499778168059</v>
      </c>
      <c r="T1827">
        <v>5.92189825384696</v>
      </c>
      <c r="U1827">
        <v>0.17854971676676501</v>
      </c>
      <c r="V1827">
        <v>44.463448599221998</v>
      </c>
    </row>
    <row r="1828" spans="1:22" x14ac:dyDescent="0.25">
      <c r="A1828" t="str">
        <f t="shared" si="28"/>
        <v>Uzbekistan2011</v>
      </c>
      <c r="B1828" t="s">
        <v>243</v>
      </c>
      <c r="C1828" t="s">
        <v>244</v>
      </c>
      <c r="D1828">
        <v>2011</v>
      </c>
      <c r="E1828">
        <v>2087.8638613569401</v>
      </c>
      <c r="F1828">
        <v>7.5251398942297696</v>
      </c>
      <c r="G1828">
        <v>13.7797446476602</v>
      </c>
      <c r="H1828">
        <v>12</v>
      </c>
      <c r="I1828">
        <v>4.7418666677676304</v>
      </c>
      <c r="J1828">
        <v>4.96</v>
      </c>
      <c r="K1828">
        <v>14.3121958203505</v>
      </c>
      <c r="L1828">
        <v>22.905891434661399</v>
      </c>
      <c r="M1828">
        <v>21.626509936149201</v>
      </c>
      <c r="N1828">
        <v>49.860139118423099</v>
      </c>
      <c r="O1828">
        <v>26.707957678767698</v>
      </c>
      <c r="P1828">
        <v>14.5968071513045</v>
      </c>
      <c r="Q1828">
        <v>33.659402532892997</v>
      </c>
      <c r="R1828">
        <v>23.6870604752879</v>
      </c>
      <c r="S1828">
        <v>4.5620605858944696</v>
      </c>
      <c r="T1828">
        <v>5.6523024651971197</v>
      </c>
      <c r="U1828">
        <v>0.40203184174469703</v>
      </c>
      <c r="V1828">
        <v>48.746669074529997</v>
      </c>
    </row>
    <row r="1829" spans="1:22" x14ac:dyDescent="0.25">
      <c r="A1829" t="str">
        <f t="shared" si="28"/>
        <v>Uzbekistan2012</v>
      </c>
      <c r="B1829" t="s">
        <v>243</v>
      </c>
      <c r="C1829" t="s">
        <v>244</v>
      </c>
      <c r="D1829">
        <v>2012</v>
      </c>
      <c r="E1829">
        <v>2307.3464911718502</v>
      </c>
      <c r="F1829">
        <v>7.1024448870631698</v>
      </c>
      <c r="G1829">
        <v>13.208802668837301</v>
      </c>
      <c r="H1829">
        <v>12</v>
      </c>
      <c r="I1829">
        <v>4.6977891355869801</v>
      </c>
      <c r="J1829">
        <v>4.87</v>
      </c>
      <c r="K1829">
        <v>14.2580363056074</v>
      </c>
      <c r="L1829">
        <v>25.025920498438101</v>
      </c>
      <c r="M1829">
        <v>15.398794701752401</v>
      </c>
      <c r="N1829">
        <v>49.080458575496898</v>
      </c>
      <c r="O1829">
        <v>30.071932955715901</v>
      </c>
      <c r="P1829">
        <v>14.5968071513045</v>
      </c>
      <c r="Q1829">
        <v>32.682606404690198</v>
      </c>
      <c r="R1829">
        <v>19.283538465762899</v>
      </c>
      <c r="S1829">
        <v>5.2756600684551698</v>
      </c>
      <c r="T1829">
        <v>6.0567231692264398</v>
      </c>
      <c r="U1829">
        <v>0.40332103917544698</v>
      </c>
      <c r="V1829">
        <v>48.771377613669998</v>
      </c>
    </row>
    <row r="1830" spans="1:22" x14ac:dyDescent="0.25">
      <c r="A1830" t="str">
        <f t="shared" si="28"/>
        <v>Uzbekistan2013</v>
      </c>
      <c r="B1830" t="s">
        <v>243</v>
      </c>
      <c r="C1830" t="s">
        <v>244</v>
      </c>
      <c r="D1830">
        <v>2013</v>
      </c>
      <c r="E1830">
        <v>2461.9794740359498</v>
      </c>
      <c r="F1830">
        <v>7.2965503696989904</v>
      </c>
      <c r="G1830">
        <v>11.841433362204899</v>
      </c>
      <c r="H1830">
        <v>12</v>
      </c>
      <c r="I1830">
        <v>4.6724093760392504</v>
      </c>
      <c r="J1830">
        <v>4.8600000000000003</v>
      </c>
      <c r="K1830">
        <v>15.1490429292478</v>
      </c>
      <c r="L1830">
        <v>21.7003022904922</v>
      </c>
      <c r="M1830">
        <v>11.9878914787338</v>
      </c>
      <c r="N1830">
        <v>48.726322249867501</v>
      </c>
      <c r="O1830">
        <v>27.474219975109701</v>
      </c>
      <c r="P1830">
        <v>15.1056874610672</v>
      </c>
      <c r="Q1830">
        <v>29.493084220867502</v>
      </c>
      <c r="R1830">
        <v>18.6457163309307</v>
      </c>
      <c r="S1830">
        <v>1.90435727238939</v>
      </c>
      <c r="T1830">
        <v>5.5128029897859996</v>
      </c>
      <c r="U1830">
        <v>0.22542569277830701</v>
      </c>
      <c r="V1830">
        <v>45.3618655991163</v>
      </c>
    </row>
    <row r="1831" spans="1:22" x14ac:dyDescent="0.25">
      <c r="A1831" t="str">
        <f t="shared" si="28"/>
        <v>Uzbekistan2014</v>
      </c>
      <c r="B1831" t="s">
        <v>243</v>
      </c>
      <c r="C1831" t="s">
        <v>244</v>
      </c>
      <c r="D1831">
        <v>2014</v>
      </c>
      <c r="E1831">
        <v>2674.9628382103001</v>
      </c>
      <c r="F1831">
        <v>6.8738384408164004</v>
      </c>
      <c r="G1831">
        <v>9.2830935616269503</v>
      </c>
      <c r="H1831">
        <v>12</v>
      </c>
      <c r="I1831">
        <v>4.6717294896681896</v>
      </c>
      <c r="J1831">
        <v>5.09</v>
      </c>
      <c r="K1831">
        <v>14.9694154891084</v>
      </c>
      <c r="L1831">
        <v>20.906078501582201</v>
      </c>
      <c r="M1831">
        <v>14.0249176323361</v>
      </c>
      <c r="N1831">
        <v>48.830547600300797</v>
      </c>
      <c r="O1831">
        <v>27.959170232036499</v>
      </c>
      <c r="P1831">
        <v>17.169493573410801</v>
      </c>
      <c r="Q1831">
        <v>30.302878419102999</v>
      </c>
      <c r="R1831">
        <v>16.045480727533199</v>
      </c>
      <c r="S1831">
        <v>1.68069981890103</v>
      </c>
      <c r="T1831">
        <v>5.3900794176309299</v>
      </c>
      <c r="U1831">
        <v>0.20762054978417499</v>
      </c>
      <c r="V1831">
        <v>45.020615250589401</v>
      </c>
    </row>
    <row r="1832" spans="1:22" x14ac:dyDescent="0.25">
      <c r="A1832" t="str">
        <f t="shared" si="28"/>
        <v>Uzbekistan2015</v>
      </c>
      <c r="B1832" t="s">
        <v>243</v>
      </c>
      <c r="C1832" t="s">
        <v>244</v>
      </c>
      <c r="D1832">
        <v>2015</v>
      </c>
      <c r="E1832">
        <v>2803.1901802175098</v>
      </c>
      <c r="F1832">
        <v>7.21877350820803</v>
      </c>
      <c r="G1832">
        <v>8.7518819673750805</v>
      </c>
      <c r="H1832">
        <v>12</v>
      </c>
      <c r="I1832">
        <v>4.7287883012408098</v>
      </c>
      <c r="J1832">
        <v>5.15</v>
      </c>
      <c r="K1832">
        <v>15.065092834868601</v>
      </c>
      <c r="L1832">
        <v>19.6454718745333</v>
      </c>
      <c r="M1832">
        <v>10.5006995150026</v>
      </c>
      <c r="N1832">
        <v>49.335950823281102</v>
      </c>
      <c r="O1832">
        <v>26.343338895089101</v>
      </c>
      <c r="P1832">
        <v>19.090762259806901</v>
      </c>
      <c r="Q1832">
        <v>25.7936133681503</v>
      </c>
      <c r="R1832">
        <v>13.773511228736799</v>
      </c>
      <c r="S1832">
        <v>-0.244960825512262</v>
      </c>
      <c r="T1832">
        <v>5.93830155403995</v>
      </c>
      <c r="U1832">
        <v>9.3637891385665195E-2</v>
      </c>
      <c r="V1832">
        <v>42.836042966203202</v>
      </c>
    </row>
    <row r="1833" spans="1:22" x14ac:dyDescent="0.25">
      <c r="A1833" t="str">
        <f t="shared" si="28"/>
        <v>Uzbekistan2016</v>
      </c>
      <c r="B1833" t="s">
        <v>243</v>
      </c>
      <c r="C1833" t="s">
        <v>244</v>
      </c>
      <c r="D1833">
        <v>2016</v>
      </c>
      <c r="E1833">
        <v>2753.37951427589</v>
      </c>
      <c r="F1833">
        <v>5.9321507999329297</v>
      </c>
      <c r="G1833">
        <v>8.1308866952360006</v>
      </c>
      <c r="H1833">
        <v>12</v>
      </c>
      <c r="I1833">
        <v>4.8311854585941596</v>
      </c>
      <c r="J1833">
        <v>5.16</v>
      </c>
      <c r="K1833">
        <v>14.334919157863601</v>
      </c>
      <c r="L1833">
        <v>19.7287802727495</v>
      </c>
      <c r="M1833">
        <v>8.9303684932150293</v>
      </c>
      <c r="N1833">
        <v>50.061169297957797</v>
      </c>
      <c r="O1833">
        <v>25.759254210870399</v>
      </c>
      <c r="P1833">
        <v>19.914018921891</v>
      </c>
      <c r="Q1833">
        <v>24.378961830293399</v>
      </c>
      <c r="R1833">
        <v>12.3330657085125</v>
      </c>
      <c r="S1833">
        <v>0.61987143467193295</v>
      </c>
      <c r="T1833">
        <v>7.2081237918504097</v>
      </c>
      <c r="U1833">
        <v>0.103250888642516</v>
      </c>
      <c r="V1833">
        <v>43.020284039996803</v>
      </c>
    </row>
    <row r="1834" spans="1:22" x14ac:dyDescent="0.25">
      <c r="A1834" t="str">
        <f t="shared" si="28"/>
        <v>Uzbekistan2017</v>
      </c>
      <c r="B1834" t="s">
        <v>243</v>
      </c>
      <c r="C1834" t="s">
        <v>244</v>
      </c>
      <c r="D1834">
        <v>2017</v>
      </c>
      <c r="E1834">
        <v>2190.6041156288802</v>
      </c>
      <c r="F1834">
        <v>4.3952746334926296</v>
      </c>
      <c r="G1834">
        <v>13.875742544163501</v>
      </c>
      <c r="H1834">
        <v>12</v>
      </c>
      <c r="I1834">
        <v>4.94336473656492</v>
      </c>
      <c r="J1834">
        <v>5.83</v>
      </c>
      <c r="K1834">
        <v>12.7115047065447</v>
      </c>
      <c r="L1834">
        <v>15.550011066655401</v>
      </c>
      <c r="M1834">
        <v>33.6793703838878</v>
      </c>
      <c r="N1834">
        <v>50.822113140647303</v>
      </c>
      <c r="O1834">
        <v>27.229186363271399</v>
      </c>
      <c r="P1834">
        <v>18.8661574312443</v>
      </c>
      <c r="Q1834">
        <v>26.560811339027701</v>
      </c>
      <c r="R1834">
        <v>18.479308529762601</v>
      </c>
      <c r="S1834">
        <v>1.04385068032392</v>
      </c>
      <c r="T1834">
        <v>17.263537153783599</v>
      </c>
      <c r="U1834">
        <v>1.0764137545005501E-2</v>
      </c>
      <c r="V1834">
        <v>41.247698666402897</v>
      </c>
    </row>
    <row r="1835" spans="1:22" x14ac:dyDescent="0.25">
      <c r="A1835" t="str">
        <f t="shared" si="28"/>
        <v>Uzbekistan2018</v>
      </c>
      <c r="B1835" t="s">
        <v>243</v>
      </c>
      <c r="C1835" t="s">
        <v>244</v>
      </c>
      <c r="D1835">
        <v>2018</v>
      </c>
      <c r="E1835">
        <v>1813.0853081366399</v>
      </c>
      <c r="F1835">
        <v>5.5591957291928802</v>
      </c>
      <c r="G1835">
        <v>17.5241796514055</v>
      </c>
      <c r="H1835">
        <v>12</v>
      </c>
      <c r="I1835">
        <v>5.06720768957552</v>
      </c>
      <c r="J1835">
        <v>5.3920000000000003</v>
      </c>
      <c r="K1835">
        <v>14.7032357205468</v>
      </c>
      <c r="L1835">
        <v>19.182249478323399</v>
      </c>
      <c r="M1835">
        <v>25.881158634897702</v>
      </c>
      <c r="N1835">
        <v>51.709746668286797</v>
      </c>
      <c r="O1835">
        <v>34.9925116035851</v>
      </c>
      <c r="P1835">
        <v>12.9240353308614</v>
      </c>
      <c r="Q1835">
        <v>30.396269243598699</v>
      </c>
      <c r="R1835">
        <v>24.176977400192801</v>
      </c>
      <c r="S1835">
        <v>1.56862839301782</v>
      </c>
      <c r="T1835">
        <v>16.708888913358301</v>
      </c>
      <c r="U1835">
        <v>2.7235990099872501E-2</v>
      </c>
      <c r="V1835">
        <v>41.563395396672597</v>
      </c>
    </row>
    <row r="1836" spans="1:22" x14ac:dyDescent="0.25">
      <c r="A1836" t="str">
        <f t="shared" si="28"/>
        <v>Uzbekistan2019</v>
      </c>
      <c r="B1836" t="s">
        <v>243</v>
      </c>
      <c r="C1836" t="s">
        <v>244</v>
      </c>
      <c r="D1836">
        <v>2019</v>
      </c>
      <c r="E1836">
        <v>2041.3848072943099</v>
      </c>
      <c r="F1836">
        <v>6.7799239965523599</v>
      </c>
      <c r="G1836">
        <v>14.525735956068701</v>
      </c>
      <c r="H1836">
        <v>12</v>
      </c>
      <c r="I1836">
        <v>5.1981102452590102</v>
      </c>
      <c r="J1836">
        <v>4.9359999999999999</v>
      </c>
      <c r="K1836">
        <v>14.995690622248301</v>
      </c>
      <c r="L1836">
        <v>18.056455521859</v>
      </c>
      <c r="M1836">
        <v>17.5760106233679</v>
      </c>
      <c r="N1836">
        <v>52.769856391788402</v>
      </c>
      <c r="O1836">
        <v>39.156536270132797</v>
      </c>
      <c r="P1836">
        <v>12.201006724641701</v>
      </c>
      <c r="Q1836">
        <v>29.328997183705098</v>
      </c>
      <c r="R1836">
        <v>25.3501332976894</v>
      </c>
      <c r="S1836">
        <v>-0.28993234089352699</v>
      </c>
      <c r="T1836">
        <v>24.334926684359498</v>
      </c>
      <c r="U1836">
        <v>-0.12280011001123101</v>
      </c>
      <c r="V1836">
        <v>38.687828967837703</v>
      </c>
    </row>
    <row r="1837" spans="1:22" x14ac:dyDescent="0.25">
      <c r="A1837" t="str">
        <f t="shared" si="28"/>
        <v>Uzbekistan2020</v>
      </c>
      <c r="B1837" t="s">
        <v>243</v>
      </c>
      <c r="C1837" t="s">
        <v>244</v>
      </c>
      <c r="D1837">
        <v>2020</v>
      </c>
      <c r="E1837">
        <v>1978.28051860763</v>
      </c>
      <c r="F1837">
        <v>1.5633427726051501</v>
      </c>
      <c r="G1837">
        <v>12.8677297362606</v>
      </c>
      <c r="H1837">
        <v>12</v>
      </c>
      <c r="I1837">
        <v>5.3086546531432504</v>
      </c>
      <c r="J1837">
        <v>5.2930000000000001</v>
      </c>
      <c r="K1837">
        <v>19.045721954642602</v>
      </c>
      <c r="L1837">
        <v>19.377990835064999</v>
      </c>
      <c r="M1837">
        <v>10.610338224362399</v>
      </c>
      <c r="N1837">
        <v>53.951127086150798</v>
      </c>
      <c r="O1837">
        <v>37.593358033909901</v>
      </c>
      <c r="P1837">
        <v>17.153587641236498</v>
      </c>
      <c r="Q1837">
        <v>28.588868163346401</v>
      </c>
      <c r="R1837">
        <v>21.915416487300099</v>
      </c>
      <c r="S1837">
        <v>-2.7950050607341201</v>
      </c>
      <c r="T1837">
        <v>31.903729945582601</v>
      </c>
      <c r="U1837">
        <v>-0.23187699775784601</v>
      </c>
      <c r="V1837">
        <v>36.597279851100403</v>
      </c>
    </row>
    <row r="1838" spans="1:22" x14ac:dyDescent="0.25">
      <c r="A1838" t="str">
        <f t="shared" si="28"/>
        <v>Uzbekistan2021</v>
      </c>
      <c r="B1838" t="s">
        <v>243</v>
      </c>
      <c r="C1838" t="s">
        <v>244</v>
      </c>
      <c r="D1838">
        <v>2021</v>
      </c>
      <c r="E1838">
        <v>2258.51964119278</v>
      </c>
      <c r="F1838">
        <v>8.0346831264004894</v>
      </c>
      <c r="G1838">
        <v>10.849239750812201</v>
      </c>
      <c r="H1838">
        <v>12</v>
      </c>
      <c r="I1838">
        <v>5.4100060549831701</v>
      </c>
      <c r="J1838">
        <v>5.3639999999999999</v>
      </c>
      <c r="K1838">
        <v>22.953953718857498</v>
      </c>
      <c r="L1838">
        <v>19.4606094760735</v>
      </c>
      <c r="M1838">
        <v>13.6929732776706</v>
      </c>
      <c r="N1838">
        <v>55.249768283900899</v>
      </c>
      <c r="O1838">
        <v>37.693174838350899</v>
      </c>
      <c r="P1838">
        <v>14.087926841541799</v>
      </c>
      <c r="Q1838">
        <v>27.6915034921422</v>
      </c>
      <c r="R1838">
        <v>21.3073855956297</v>
      </c>
      <c r="S1838">
        <v>-3.90365482482416</v>
      </c>
      <c r="T1838">
        <v>30.2283496386666</v>
      </c>
      <c r="U1838">
        <v>-0.22905790710950999</v>
      </c>
      <c r="V1838">
        <v>36.651310063977199</v>
      </c>
    </row>
    <row r="1839" spans="1:22" x14ac:dyDescent="0.25">
      <c r="A1839" t="str">
        <f t="shared" si="28"/>
        <v>Uzbekistan2022</v>
      </c>
      <c r="B1839" t="s">
        <v>243</v>
      </c>
      <c r="C1839" t="s">
        <v>244</v>
      </c>
      <c r="D1839">
        <v>2022</v>
      </c>
      <c r="E1839">
        <v>2578.6668939421902</v>
      </c>
      <c r="F1839">
        <v>6.0013423220344198</v>
      </c>
      <c r="G1839">
        <v>11.4466436998836</v>
      </c>
      <c r="H1839">
        <v>12</v>
      </c>
      <c r="I1839">
        <v>5.54495683192361</v>
      </c>
      <c r="J1839">
        <v>4.4560000000000004</v>
      </c>
      <c r="K1839">
        <v>23.075438172775499</v>
      </c>
      <c r="L1839">
        <v>21.0928790648289</v>
      </c>
      <c r="M1839">
        <v>14.4626563513084</v>
      </c>
      <c r="N1839">
        <v>56.526887052124401</v>
      </c>
      <c r="O1839">
        <v>34.866741910999899</v>
      </c>
      <c r="P1839">
        <v>11.021328079986199</v>
      </c>
      <c r="Q1839">
        <v>29.702862452194999</v>
      </c>
      <c r="R1839">
        <v>23.2670310407511</v>
      </c>
      <c r="S1839">
        <v>-3.4897117108466298</v>
      </c>
      <c r="T1839">
        <v>29.1718468248311</v>
      </c>
      <c r="U1839">
        <v>-0.16870120782446699</v>
      </c>
      <c r="V1839">
        <v>37.808096318024198</v>
      </c>
    </row>
    <row r="1840" spans="1:22" x14ac:dyDescent="0.25">
      <c r="A1840" t="str">
        <f t="shared" si="28"/>
        <v>Uzbekistan2023</v>
      </c>
      <c r="B1840" t="s">
        <v>243</v>
      </c>
      <c r="C1840" t="s">
        <v>244</v>
      </c>
      <c r="D1840">
        <v>2023</v>
      </c>
      <c r="E1840">
        <v>2878.9687929245101</v>
      </c>
      <c r="F1840">
        <v>6.29141635082311</v>
      </c>
      <c r="G1840">
        <v>9.95659071258018</v>
      </c>
      <c r="H1840">
        <v>12</v>
      </c>
      <c r="I1840">
        <v>5.6950409969262301</v>
      </c>
      <c r="J1840">
        <v>4.4340000000000002</v>
      </c>
      <c r="K1840">
        <v>23.407719997082499</v>
      </c>
      <c r="L1840">
        <v>20.2816265943835</v>
      </c>
      <c r="M1840">
        <v>13.823039902275999</v>
      </c>
      <c r="N1840">
        <v>57.644423896233299</v>
      </c>
      <c r="O1840">
        <v>34.615626780328597</v>
      </c>
      <c r="P1840">
        <v>8.8289303287966092</v>
      </c>
      <c r="Q1840">
        <v>26.612722878962899</v>
      </c>
      <c r="R1840">
        <v>24.424746466545901</v>
      </c>
      <c r="S1840">
        <v>-3.84838244174543</v>
      </c>
      <c r="T1840">
        <v>30.719488680062302</v>
      </c>
      <c r="U1840">
        <v>-0.23609568094699801</v>
      </c>
      <c r="V1840">
        <v>36.5164252851418</v>
      </c>
    </row>
    <row r="1841" spans="1:22" x14ac:dyDescent="0.25">
      <c r="A1841" t="str">
        <f t="shared" si="28"/>
        <v>Uzbekistan2024</v>
      </c>
      <c r="B1841" t="s">
        <v>243</v>
      </c>
      <c r="C1841" t="s">
        <v>244</v>
      </c>
      <c r="D1841">
        <v>2024</v>
      </c>
      <c r="E1841">
        <v>3161.7001063287498</v>
      </c>
      <c r="F1841">
        <v>6.4999999999767697</v>
      </c>
      <c r="G1841">
        <v>9.6282546595668208</v>
      </c>
      <c r="H1841">
        <v>11</v>
      </c>
      <c r="I1841">
        <v>5.8645158928755503</v>
      </c>
      <c r="J1841">
        <v>4.4390000000000001</v>
      </c>
      <c r="K1841">
        <v>14.995690622248301</v>
      </c>
      <c r="L1841">
        <v>19.7287802727495</v>
      </c>
      <c r="M1841">
        <v>13.3925832336284</v>
      </c>
      <c r="N1841">
        <v>58.649429214121596</v>
      </c>
      <c r="O1841">
        <v>33.296695718747799</v>
      </c>
      <c r="P1841">
        <v>10.278612468943299</v>
      </c>
      <c r="Q1841">
        <v>28.289927782031501</v>
      </c>
      <c r="R1841">
        <v>22.765791496131499</v>
      </c>
      <c r="S1841">
        <v>-2.2452165253028702</v>
      </c>
      <c r="T1841">
        <v>30.935713622706999</v>
      </c>
      <c r="U1841">
        <v>-0.25019620851876401</v>
      </c>
      <c r="V1841">
        <v>36.2461769670089</v>
      </c>
    </row>
    <row r="1842" spans="1:22" x14ac:dyDescent="0.25">
      <c r="A1842" t="str">
        <f t="shared" si="28"/>
        <v>Uzbekistan2025</v>
      </c>
      <c r="B1842" t="s">
        <v>243</v>
      </c>
      <c r="C1842" t="s">
        <v>244</v>
      </c>
      <c r="D1842">
        <v>2025</v>
      </c>
      <c r="E1842">
        <v>2307.3464911718502</v>
      </c>
      <c r="F1842">
        <v>6.7799239965523599</v>
      </c>
      <c r="G1842">
        <v>11.644038531044201</v>
      </c>
      <c r="H1842">
        <v>11</v>
      </c>
      <c r="I1842">
        <v>4.94336473656492</v>
      </c>
      <c r="J1842">
        <v>4.6219999999999999</v>
      </c>
      <c r="K1842">
        <v>14.995690622248301</v>
      </c>
      <c r="L1842">
        <v>19.7287802727495</v>
      </c>
      <c r="M1842">
        <v>14.0249176323361</v>
      </c>
      <c r="N1842">
        <v>50.913597139173703</v>
      </c>
      <c r="O1842">
        <v>30.071932955715901</v>
      </c>
      <c r="P1842">
        <v>14.5968071513045</v>
      </c>
      <c r="Q1842">
        <v>29.328997183705098</v>
      </c>
      <c r="R1842">
        <v>21.915416487300099</v>
      </c>
      <c r="S1842">
        <v>-1.6554492775672101</v>
      </c>
      <c r="T1842">
        <v>28.585044253715701</v>
      </c>
      <c r="U1842">
        <v>-0.102847480483143</v>
      </c>
      <c r="V1842">
        <v>39.070237678777602</v>
      </c>
    </row>
    <row r="1843" spans="1:22" x14ac:dyDescent="0.25">
      <c r="A1843" t="str">
        <f t="shared" si="28"/>
        <v>Zambia2010</v>
      </c>
      <c r="B1843" t="s">
        <v>245</v>
      </c>
      <c r="C1843" t="s">
        <v>246</v>
      </c>
      <c r="D1843">
        <v>2010</v>
      </c>
      <c r="E1843">
        <v>1451.1061601715501</v>
      </c>
      <c r="F1843">
        <v>10.298223324121301</v>
      </c>
      <c r="G1843">
        <v>8.5017613336526505</v>
      </c>
      <c r="H1843">
        <v>7</v>
      </c>
      <c r="I1843">
        <v>1.8333627628012099</v>
      </c>
      <c r="J1843">
        <v>13.19</v>
      </c>
      <c r="K1843">
        <v>14.668856153236099</v>
      </c>
      <c r="L1843">
        <v>14.362587618045501</v>
      </c>
      <c r="M1843">
        <v>13.9509131934519</v>
      </c>
      <c r="N1843">
        <v>92.627235463641597</v>
      </c>
      <c r="O1843">
        <v>29.874005691870501</v>
      </c>
      <c r="P1843">
        <v>3.6050548635411799</v>
      </c>
      <c r="Q1843">
        <v>34.148826769628499</v>
      </c>
      <c r="R1843">
        <v>37.025933307212398</v>
      </c>
      <c r="S1843">
        <v>-2.4322082330505701</v>
      </c>
      <c r="T1843">
        <v>18.897881974853501</v>
      </c>
      <c r="U1843">
        <v>-0.96320892100385003</v>
      </c>
      <c r="V1843">
        <v>22.5806963404372</v>
      </c>
    </row>
    <row r="1844" spans="1:22" x14ac:dyDescent="0.25">
      <c r="A1844" t="str">
        <f t="shared" si="28"/>
        <v>Zambia2011</v>
      </c>
      <c r="B1844" t="s">
        <v>245</v>
      </c>
      <c r="C1844" t="s">
        <v>246</v>
      </c>
      <c r="D1844">
        <v>2011</v>
      </c>
      <c r="E1844">
        <v>1624.8681776344299</v>
      </c>
      <c r="F1844">
        <v>5.5692521926301897</v>
      </c>
      <c r="G1844">
        <v>6.4293968107234001</v>
      </c>
      <c r="H1844">
        <v>7</v>
      </c>
      <c r="I1844">
        <v>1.8062210397702301</v>
      </c>
      <c r="J1844">
        <v>10.548</v>
      </c>
      <c r="K1844">
        <v>14.495677368721701</v>
      </c>
      <c r="L1844">
        <v>17.4683770602892</v>
      </c>
      <c r="M1844">
        <v>11.107413268617499</v>
      </c>
      <c r="N1844">
        <v>91.943765721615904</v>
      </c>
      <c r="O1844">
        <v>32.889211245158997</v>
      </c>
      <c r="P1844">
        <v>3.19989697582887</v>
      </c>
      <c r="Q1844">
        <v>36.0364280077834</v>
      </c>
      <c r="R1844">
        <v>40.471222673292097</v>
      </c>
      <c r="S1844">
        <v>-1.7834379114227199</v>
      </c>
      <c r="T1844">
        <v>20.808113531687901</v>
      </c>
      <c r="U1844">
        <v>-0.89064786416583397</v>
      </c>
      <c r="V1844">
        <v>23.971389239877201</v>
      </c>
    </row>
    <row r="1845" spans="1:22" x14ac:dyDescent="0.25">
      <c r="A1845" t="str">
        <f t="shared" si="28"/>
        <v>Zambia2012</v>
      </c>
      <c r="B1845" t="s">
        <v>245</v>
      </c>
      <c r="C1845" t="s">
        <v>246</v>
      </c>
      <c r="D1845">
        <v>2012</v>
      </c>
      <c r="E1845">
        <v>1710.0506134372799</v>
      </c>
      <c r="F1845">
        <v>7.5973810490199396</v>
      </c>
      <c r="G1845">
        <v>6.5758997075769798</v>
      </c>
      <c r="H1845">
        <v>7</v>
      </c>
      <c r="I1845">
        <v>1.7839387046573301</v>
      </c>
      <c r="J1845">
        <v>7.85</v>
      </c>
      <c r="K1845">
        <v>16.532241660907601</v>
      </c>
      <c r="L1845">
        <v>16.6680892991001</v>
      </c>
      <c r="M1845">
        <v>6.9922272490021404</v>
      </c>
      <c r="N1845">
        <v>91.248012165081605</v>
      </c>
      <c r="O1845">
        <v>31.5179510511994</v>
      </c>
      <c r="P1845">
        <v>3.8015737894155999</v>
      </c>
      <c r="Q1845">
        <v>40.976036314701403</v>
      </c>
      <c r="R1845">
        <v>40.082910994352602</v>
      </c>
      <c r="S1845">
        <v>-3.1574185324613202</v>
      </c>
      <c r="T1845">
        <v>24.919541068713599</v>
      </c>
      <c r="U1845">
        <v>-0.81783946298076904</v>
      </c>
      <c r="V1845">
        <v>25.366822699090601</v>
      </c>
    </row>
    <row r="1846" spans="1:22" x14ac:dyDescent="0.25">
      <c r="A1846" t="str">
        <f t="shared" si="28"/>
        <v>Zambia2013</v>
      </c>
      <c r="B1846" t="s">
        <v>245</v>
      </c>
      <c r="C1846" t="s">
        <v>246</v>
      </c>
      <c r="D1846">
        <v>2013</v>
      </c>
      <c r="E1846">
        <v>1820.7185482739101</v>
      </c>
      <c r="F1846">
        <v>5.0575369504725201</v>
      </c>
      <c r="G1846">
        <v>6.9776760549030703</v>
      </c>
      <c r="H1846">
        <v>7</v>
      </c>
      <c r="I1846">
        <v>1.76140692799667</v>
      </c>
      <c r="J1846">
        <v>7.2720000000000002</v>
      </c>
      <c r="K1846">
        <v>17.853305734912201</v>
      </c>
      <c r="L1846">
        <v>16.236209368866898</v>
      </c>
      <c r="M1846">
        <v>9.7308912203056703</v>
      </c>
      <c r="N1846">
        <v>90.415362525002905</v>
      </c>
      <c r="O1846">
        <v>33.802988680442198</v>
      </c>
      <c r="P1846">
        <v>2.6462860633201699</v>
      </c>
      <c r="Q1846">
        <v>37.9153889261217</v>
      </c>
      <c r="R1846">
        <v>40.482716693869698</v>
      </c>
      <c r="S1846">
        <v>-6.3952984897513501</v>
      </c>
      <c r="T1846">
        <v>25.9087250196228</v>
      </c>
      <c r="U1846">
        <v>-1.0251480303482099</v>
      </c>
      <c r="V1846">
        <v>21.393581883778499</v>
      </c>
    </row>
    <row r="1847" spans="1:22" x14ac:dyDescent="0.25">
      <c r="A1847" t="str">
        <f t="shared" si="28"/>
        <v>Zambia2014</v>
      </c>
      <c r="B1847" t="s">
        <v>245</v>
      </c>
      <c r="C1847" t="s">
        <v>246</v>
      </c>
      <c r="D1847">
        <v>2014</v>
      </c>
      <c r="E1847">
        <v>1707.4857313669399</v>
      </c>
      <c r="F1847">
        <v>4.6932831637670498</v>
      </c>
      <c r="G1847">
        <v>7.8068755356633304</v>
      </c>
      <c r="H1847">
        <v>7</v>
      </c>
      <c r="I1847">
        <v>1.7423907610512901</v>
      </c>
      <c r="J1847">
        <v>6.5759999999999996</v>
      </c>
      <c r="K1847">
        <v>20.256239625304499</v>
      </c>
      <c r="L1847">
        <v>17.737634164007801</v>
      </c>
      <c r="M1847">
        <v>5.4405245812661702</v>
      </c>
      <c r="N1847">
        <v>89.427666878951698</v>
      </c>
      <c r="O1847">
        <v>34.069264185617698</v>
      </c>
      <c r="P1847">
        <v>3.1407366129389902</v>
      </c>
      <c r="Q1847">
        <v>39.5203593283278</v>
      </c>
      <c r="R1847">
        <v>38.822289931937803</v>
      </c>
      <c r="S1847">
        <v>-5.4329785204550696</v>
      </c>
      <c r="T1847">
        <v>33.856779957538699</v>
      </c>
      <c r="U1847">
        <v>-0.94116868693973199</v>
      </c>
      <c r="V1847">
        <v>23.0031157255819</v>
      </c>
    </row>
    <row r="1848" spans="1:22" x14ac:dyDescent="0.25">
      <c r="A1848" t="str">
        <f t="shared" si="28"/>
        <v>Zambia2015</v>
      </c>
      <c r="B1848" t="s">
        <v>245</v>
      </c>
      <c r="C1848" t="s">
        <v>246</v>
      </c>
      <c r="D1848">
        <v>2015</v>
      </c>
      <c r="E1848">
        <v>1295.87788680068</v>
      </c>
      <c r="F1848">
        <v>2.92037511217961</v>
      </c>
      <c r="G1848">
        <v>10.110592890961801</v>
      </c>
      <c r="H1848">
        <v>7</v>
      </c>
      <c r="I1848">
        <v>1.7377703644931199</v>
      </c>
      <c r="J1848">
        <v>5.9509999999999996</v>
      </c>
      <c r="K1848">
        <v>23.233787759937002</v>
      </c>
      <c r="L1848">
        <v>18.2957716448269</v>
      </c>
      <c r="M1848">
        <v>6.6592921135734304</v>
      </c>
      <c r="N1848">
        <v>88.381998320090702</v>
      </c>
      <c r="O1848">
        <v>42.805116451540798</v>
      </c>
      <c r="P1848">
        <v>3.8599286525480601</v>
      </c>
      <c r="Q1848">
        <v>37.751951563283299</v>
      </c>
      <c r="R1848">
        <v>37.138525801473399</v>
      </c>
      <c r="S1848">
        <v>-8.8775622847196995</v>
      </c>
      <c r="T1848">
        <v>61.868901812907097</v>
      </c>
      <c r="U1848">
        <v>-1.24104389095929</v>
      </c>
      <c r="V1848">
        <v>17.2557584636955</v>
      </c>
    </row>
    <row r="1849" spans="1:22" x14ac:dyDescent="0.25">
      <c r="A1849" t="str">
        <f t="shared" si="28"/>
        <v>Zambia2016</v>
      </c>
      <c r="B1849" t="s">
        <v>245</v>
      </c>
      <c r="C1849" t="s">
        <v>246</v>
      </c>
      <c r="D1849">
        <v>2016</v>
      </c>
      <c r="E1849">
        <v>1239.08527877713</v>
      </c>
      <c r="F1849">
        <v>3.7551003167898802</v>
      </c>
      <c r="G1849">
        <v>17.8697300795268</v>
      </c>
      <c r="H1849">
        <v>7</v>
      </c>
      <c r="I1849">
        <v>1.7434410857526701</v>
      </c>
      <c r="J1849">
        <v>5.2439999999999998</v>
      </c>
      <c r="K1849">
        <v>22.408683342016101</v>
      </c>
      <c r="L1849">
        <v>18.132435746744498</v>
      </c>
      <c r="M1849">
        <v>13.576101169422699</v>
      </c>
      <c r="N1849">
        <v>87.272642523336799</v>
      </c>
      <c r="O1849">
        <v>38.206232912845103</v>
      </c>
      <c r="P1849">
        <v>3.26164878932215</v>
      </c>
      <c r="Q1849">
        <v>37.356448757149998</v>
      </c>
      <c r="R1849">
        <v>35.324675748965703</v>
      </c>
      <c r="S1849">
        <v>-5.6908633471106196</v>
      </c>
      <c r="T1849">
        <v>61.154418909963198</v>
      </c>
      <c r="U1849">
        <v>-1.04660212793158</v>
      </c>
      <c r="V1849">
        <v>20.9823962909378</v>
      </c>
    </row>
    <row r="1850" spans="1:22" x14ac:dyDescent="0.25">
      <c r="A1850" t="str">
        <f t="shared" si="28"/>
        <v>Zambia2017</v>
      </c>
      <c r="B1850" t="s">
        <v>245</v>
      </c>
      <c r="C1850" t="s">
        <v>246</v>
      </c>
      <c r="D1850">
        <v>2017</v>
      </c>
      <c r="E1850">
        <v>1483.46577328065</v>
      </c>
      <c r="F1850">
        <v>3.5258627714992601</v>
      </c>
      <c r="G1850">
        <v>6.5773115420564396</v>
      </c>
      <c r="H1850">
        <v>7</v>
      </c>
      <c r="I1850">
        <v>1.75286336564157</v>
      </c>
      <c r="J1850">
        <v>4.5289999999999999</v>
      </c>
      <c r="K1850">
        <v>20.9220759632247</v>
      </c>
      <c r="L1850">
        <v>16.851212400577499</v>
      </c>
      <c r="M1850">
        <v>10.072837085491599</v>
      </c>
      <c r="N1850">
        <v>86.088027912798793</v>
      </c>
      <c r="O1850">
        <v>41.001820858307703</v>
      </c>
      <c r="P1850">
        <v>2.5116934601707199</v>
      </c>
      <c r="Q1850">
        <v>43.287245219682603</v>
      </c>
      <c r="R1850">
        <v>34.9928577635918</v>
      </c>
      <c r="S1850">
        <v>-7.49881418585265</v>
      </c>
      <c r="T1850">
        <v>66.6061771607081</v>
      </c>
      <c r="U1850">
        <v>-1.12826490609286</v>
      </c>
      <c r="V1850">
        <v>19.417261345467502</v>
      </c>
    </row>
    <row r="1851" spans="1:22" x14ac:dyDescent="0.25">
      <c r="A1851" t="str">
        <f t="shared" si="28"/>
        <v>Zambia2018</v>
      </c>
      <c r="B1851" t="s">
        <v>245</v>
      </c>
      <c r="C1851" t="s">
        <v>246</v>
      </c>
      <c r="D1851">
        <v>2018</v>
      </c>
      <c r="E1851">
        <v>1463.8999785559299</v>
      </c>
      <c r="F1851">
        <v>4.0344938966716501</v>
      </c>
      <c r="G1851">
        <v>7.4945719272852003</v>
      </c>
      <c r="H1851">
        <v>7</v>
      </c>
      <c r="I1851">
        <v>1.7672505666515099</v>
      </c>
      <c r="J1851">
        <v>5.032</v>
      </c>
      <c r="K1851">
        <v>20.110711842113201</v>
      </c>
      <c r="L1851">
        <v>19.410962485358901</v>
      </c>
      <c r="M1851">
        <v>7.41157094843257</v>
      </c>
      <c r="N1851">
        <v>84.884843831616806</v>
      </c>
      <c r="O1851">
        <v>38.588558295826502</v>
      </c>
      <c r="P1851">
        <v>1.7717393063950999</v>
      </c>
      <c r="Q1851">
        <v>41.8960361401572</v>
      </c>
      <c r="R1851">
        <v>37.957404548039399</v>
      </c>
      <c r="S1851">
        <v>-8.3086633987601104</v>
      </c>
      <c r="T1851">
        <v>81.164963918090393</v>
      </c>
      <c r="U1851">
        <v>-1.14777345185774</v>
      </c>
      <c r="V1851">
        <v>19.043363868558</v>
      </c>
    </row>
    <row r="1852" spans="1:22" x14ac:dyDescent="0.25">
      <c r="A1852" t="str">
        <f t="shared" si="28"/>
        <v>Zambia2019</v>
      </c>
      <c r="B1852" t="s">
        <v>245</v>
      </c>
      <c r="C1852" t="s">
        <v>246</v>
      </c>
      <c r="D1852">
        <v>2019</v>
      </c>
      <c r="E1852">
        <v>1258.98619844462</v>
      </c>
      <c r="F1852">
        <v>1.4413060260378501</v>
      </c>
      <c r="G1852">
        <v>9.1503164431629607</v>
      </c>
      <c r="H1852">
        <v>7</v>
      </c>
      <c r="I1852">
        <v>1.78700911823288</v>
      </c>
      <c r="J1852">
        <v>5.5380000000000003</v>
      </c>
      <c r="K1852">
        <v>21.9561627239835</v>
      </c>
      <c r="L1852">
        <v>19.596104558907701</v>
      </c>
      <c r="M1852">
        <v>7.6334704807674303</v>
      </c>
      <c r="N1852">
        <v>83.633713713205395</v>
      </c>
      <c r="O1852">
        <v>39.261908646784399</v>
      </c>
      <c r="P1852">
        <v>2.0487863766955901</v>
      </c>
      <c r="Q1852">
        <v>39.786008689437601</v>
      </c>
      <c r="R1852">
        <v>34.6361926031881</v>
      </c>
      <c r="S1852">
        <v>-9.4071561387917093</v>
      </c>
      <c r="T1852">
        <v>103.332244764305</v>
      </c>
      <c r="U1852">
        <v>-1.30146456253765</v>
      </c>
      <c r="V1852">
        <v>16.097746127532702</v>
      </c>
    </row>
    <row r="1853" spans="1:22" x14ac:dyDescent="0.25">
      <c r="A1853" t="str">
        <f t="shared" si="28"/>
        <v>Zambia2020</v>
      </c>
      <c r="B1853" t="s">
        <v>245</v>
      </c>
      <c r="C1853" t="s">
        <v>246</v>
      </c>
      <c r="D1853">
        <v>2020</v>
      </c>
      <c r="E1853">
        <v>951.64431665595703</v>
      </c>
      <c r="F1853">
        <v>-2.7850550654516701</v>
      </c>
      <c r="G1853">
        <v>15.7330604721369</v>
      </c>
      <c r="H1853">
        <v>7</v>
      </c>
      <c r="I1853">
        <v>1.8082761808546399</v>
      </c>
      <c r="J1853">
        <v>6.032</v>
      </c>
      <c r="K1853">
        <v>25.372234409729302</v>
      </c>
      <c r="L1853">
        <v>19.5813891552591</v>
      </c>
      <c r="M1853">
        <v>13.9138706178858</v>
      </c>
      <c r="N1853">
        <v>82.291075469175297</v>
      </c>
      <c r="O1853">
        <v>32.244850980658398</v>
      </c>
      <c r="P1853">
        <v>2.16264307026379</v>
      </c>
      <c r="Q1853">
        <v>46.4156456738326</v>
      </c>
      <c r="R1853">
        <v>46.720186469157603</v>
      </c>
      <c r="S1853">
        <v>-13.762133877128999</v>
      </c>
      <c r="T1853">
        <v>140.00092056581801</v>
      </c>
      <c r="U1853">
        <v>-1.4283404505852</v>
      </c>
      <c r="V1853">
        <v>13.666064392083801</v>
      </c>
    </row>
    <row r="1854" spans="1:22" x14ac:dyDescent="0.25">
      <c r="A1854" t="str">
        <f t="shared" si="28"/>
        <v>Zambia2021</v>
      </c>
      <c r="B1854" t="s">
        <v>245</v>
      </c>
      <c r="C1854" t="s">
        <v>246</v>
      </c>
      <c r="D1854">
        <v>2021</v>
      </c>
      <c r="E1854">
        <v>1127.16077872857</v>
      </c>
      <c r="F1854">
        <v>6.2349220472644804</v>
      </c>
      <c r="G1854">
        <v>22.020767624577701</v>
      </c>
      <c r="H1854">
        <v>7</v>
      </c>
      <c r="I1854">
        <v>1.8269622058082899</v>
      </c>
      <c r="J1854">
        <v>5.1970000000000001</v>
      </c>
      <c r="K1854">
        <v>25.1370961006544</v>
      </c>
      <c r="L1854">
        <v>21.9673977518021</v>
      </c>
      <c r="M1854">
        <v>25.142777614829701</v>
      </c>
      <c r="N1854">
        <v>80.897817075826495</v>
      </c>
      <c r="O1854">
        <v>31.366917830533598</v>
      </c>
      <c r="P1854">
        <v>3.5110812632139501</v>
      </c>
      <c r="Q1854">
        <v>45.138756714347402</v>
      </c>
      <c r="R1854">
        <v>52.2160900183192</v>
      </c>
      <c r="S1854">
        <v>-8.1349372460618401</v>
      </c>
      <c r="T1854">
        <v>111.046613062091</v>
      </c>
      <c r="U1854">
        <v>-0.91743503795050996</v>
      </c>
      <c r="V1854">
        <v>23.4579908137549</v>
      </c>
    </row>
    <row r="1855" spans="1:22" x14ac:dyDescent="0.25">
      <c r="A1855" t="str">
        <f t="shared" si="28"/>
        <v>Zambia2022</v>
      </c>
      <c r="B1855" t="s">
        <v>245</v>
      </c>
      <c r="C1855" t="s">
        <v>246</v>
      </c>
      <c r="D1855">
        <v>2022</v>
      </c>
      <c r="E1855">
        <v>1447.1231013803499</v>
      </c>
      <c r="F1855">
        <v>5.2112236035624697</v>
      </c>
      <c r="G1855">
        <v>10.993203920913601</v>
      </c>
      <c r="H1855">
        <v>7</v>
      </c>
      <c r="I1855">
        <v>1.8560891717128301</v>
      </c>
      <c r="J1855">
        <v>5.9930000000000003</v>
      </c>
      <c r="K1855">
        <v>20.589157794264601</v>
      </c>
      <c r="L1855">
        <v>17.9350349553761</v>
      </c>
      <c r="M1855">
        <v>6.1403183896508304</v>
      </c>
      <c r="N1855">
        <v>79.516470082487103</v>
      </c>
      <c r="O1855">
        <v>26.980508150542999</v>
      </c>
      <c r="P1855">
        <v>3.0535065734086499</v>
      </c>
      <c r="Q1855">
        <v>45.410090841367499</v>
      </c>
      <c r="R1855">
        <v>40.193997711430598</v>
      </c>
      <c r="S1855">
        <v>-7.8207457906532998</v>
      </c>
      <c r="T1855">
        <v>99.476377763672303</v>
      </c>
      <c r="U1855">
        <v>-0.98111608681783202</v>
      </c>
      <c r="V1855">
        <v>22.237490639861601</v>
      </c>
    </row>
    <row r="1856" spans="1:22" x14ac:dyDescent="0.25">
      <c r="A1856" t="str">
        <f t="shared" si="28"/>
        <v>Zambia2023</v>
      </c>
      <c r="B1856" t="s">
        <v>245</v>
      </c>
      <c r="C1856" t="s">
        <v>246</v>
      </c>
      <c r="D1856">
        <v>2023</v>
      </c>
      <c r="E1856">
        <v>1330.7278057670901</v>
      </c>
      <c r="F1856">
        <v>5.3679428549305896</v>
      </c>
      <c r="G1856">
        <v>10.884531691282</v>
      </c>
      <c r="H1856">
        <v>7</v>
      </c>
      <c r="I1856">
        <v>1.89885236729554</v>
      </c>
      <c r="J1856">
        <v>5.8609999999999998</v>
      </c>
      <c r="K1856">
        <v>20.589157794264601</v>
      </c>
      <c r="L1856">
        <v>17.9350349553761</v>
      </c>
      <c r="M1856">
        <v>7.0946296030375704</v>
      </c>
      <c r="N1856">
        <v>78.106992086326201</v>
      </c>
      <c r="O1856">
        <v>31.445068624095398</v>
      </c>
      <c r="P1856">
        <v>3.0200352471878298</v>
      </c>
      <c r="Q1856">
        <v>34.464481785312898</v>
      </c>
      <c r="R1856">
        <v>40.846123968671797</v>
      </c>
      <c r="S1856">
        <v>-5.4785461011600498</v>
      </c>
      <c r="T1856">
        <v>129.05785232337101</v>
      </c>
      <c r="U1856">
        <v>-1.0694493933668601</v>
      </c>
      <c r="V1856">
        <v>20.5445094795122</v>
      </c>
    </row>
    <row r="1857" spans="1:22" x14ac:dyDescent="0.25">
      <c r="A1857" t="str">
        <f t="shared" si="28"/>
        <v>Zambia2024</v>
      </c>
      <c r="B1857" t="s">
        <v>245</v>
      </c>
      <c r="C1857" t="s">
        <v>246</v>
      </c>
      <c r="D1857">
        <v>2024</v>
      </c>
      <c r="E1857">
        <v>1187.1094335006401</v>
      </c>
      <c r="F1857">
        <v>3.8200482551859101</v>
      </c>
      <c r="G1857">
        <v>14.9856262747939</v>
      </c>
      <c r="H1857">
        <v>7</v>
      </c>
      <c r="I1857">
        <v>1.9467528327704</v>
      </c>
      <c r="J1857">
        <v>5.8979999999999997</v>
      </c>
      <c r="K1857">
        <v>20.589157794264601</v>
      </c>
      <c r="L1857">
        <v>17.9350349553761</v>
      </c>
      <c r="M1857">
        <v>14.410663330340499</v>
      </c>
      <c r="N1857">
        <v>76.691240738923199</v>
      </c>
      <c r="O1857">
        <v>23.7884862636697</v>
      </c>
      <c r="P1857">
        <v>3.29291146061726</v>
      </c>
      <c r="Q1857">
        <v>34.421203667419299</v>
      </c>
      <c r="R1857">
        <v>34.981872749130403</v>
      </c>
      <c r="S1857">
        <v>-3.4552144995212299</v>
      </c>
      <c r="T1857">
        <v>125.20321986451</v>
      </c>
      <c r="U1857">
        <v>-0.92084794901998301</v>
      </c>
      <c r="V1857">
        <v>23.392579539476799</v>
      </c>
    </row>
    <row r="1858" spans="1:22" x14ac:dyDescent="0.25">
      <c r="A1858" t="str">
        <f t="shared" si="28"/>
        <v>Zambia2025</v>
      </c>
      <c r="B1858" t="s">
        <v>245</v>
      </c>
      <c r="C1858" t="s">
        <v>246</v>
      </c>
      <c r="D1858">
        <v>2025</v>
      </c>
      <c r="E1858">
        <v>1447.1231013803499</v>
      </c>
      <c r="F1858">
        <v>4.6932831637670498</v>
      </c>
      <c r="G1858">
        <v>9.1503164431629607</v>
      </c>
      <c r="H1858">
        <v>7</v>
      </c>
      <c r="I1858">
        <v>1.78700911823288</v>
      </c>
      <c r="J1858">
        <v>5.9180000000000001</v>
      </c>
      <c r="K1858">
        <v>20.589157794264601</v>
      </c>
      <c r="L1858">
        <v>17.9350349553761</v>
      </c>
      <c r="M1858">
        <v>9.7308912203056703</v>
      </c>
      <c r="N1858">
        <v>86.088027912798793</v>
      </c>
      <c r="O1858">
        <v>32.889211245158997</v>
      </c>
      <c r="P1858">
        <v>3.1407366129389902</v>
      </c>
      <c r="Q1858">
        <v>39.5203593283278</v>
      </c>
      <c r="R1858">
        <v>38.822289931937803</v>
      </c>
      <c r="S1858">
        <v>-3.83434176557425</v>
      </c>
      <c r="T1858">
        <v>86.004374522011204</v>
      </c>
      <c r="U1858">
        <v>-0.94455314008449798</v>
      </c>
      <c r="V1858">
        <v>22.938249871058598</v>
      </c>
    </row>
    <row r="1859" spans="1:22" x14ac:dyDescent="0.25">
      <c r="B1859" t="s">
        <v>247</v>
      </c>
      <c r="C1859" t="s">
        <v>248</v>
      </c>
      <c r="D1859">
        <v>2010</v>
      </c>
      <c r="E1859">
        <v>902.01075906738799</v>
      </c>
      <c r="F1859">
        <v>19.675407701932301</v>
      </c>
      <c r="G1859">
        <v>3.02267002518892</v>
      </c>
      <c r="H1859">
        <v>7</v>
      </c>
      <c r="I1859">
        <v>3.1021002994973101</v>
      </c>
      <c r="J1859">
        <v>5.4690000000000003</v>
      </c>
      <c r="K1859">
        <v>16.120944354796801</v>
      </c>
      <c r="L1859">
        <v>19.407388704880599</v>
      </c>
      <c r="M1859">
        <v>4.0976378864288296</v>
      </c>
      <c r="N1859">
        <v>85.6706799596368</v>
      </c>
      <c r="O1859">
        <v>18.762839534352899</v>
      </c>
      <c r="P1859">
        <v>1.3318070499742001</v>
      </c>
      <c r="Q1859">
        <v>1.50684975215107</v>
      </c>
      <c r="R1859">
        <v>29.640389284306199</v>
      </c>
      <c r="S1859">
        <v>-0.39742683543798601</v>
      </c>
      <c r="T1859">
        <v>33.184747538520298</v>
      </c>
      <c r="U1859">
        <v>-0.70120588249853</v>
      </c>
      <c r="V1859">
        <v>27.602202106187899</v>
      </c>
    </row>
    <row r="1860" spans="1:22" x14ac:dyDescent="0.25">
      <c r="B1860" t="s">
        <v>247</v>
      </c>
      <c r="C1860" t="s">
        <v>248</v>
      </c>
      <c r="D1860">
        <v>2011</v>
      </c>
      <c r="E1860">
        <v>1037.7756515721801</v>
      </c>
      <c r="F1860">
        <v>14.1939156801139</v>
      </c>
      <c r="G1860">
        <v>3.4661297281748999</v>
      </c>
      <c r="H1860">
        <v>7</v>
      </c>
      <c r="I1860">
        <v>3.0907568605436699</v>
      </c>
      <c r="J1860">
        <v>5.3680000000000003</v>
      </c>
      <c r="K1860">
        <v>19.0771549950937</v>
      </c>
      <c r="L1860">
        <v>20.672978910081099</v>
      </c>
      <c r="M1860">
        <v>2.5527525336288499</v>
      </c>
      <c r="N1860">
        <v>86.798953848563599</v>
      </c>
      <c r="O1860">
        <v>17.398469062300698</v>
      </c>
      <c r="P1860">
        <v>0.83151411182285495</v>
      </c>
      <c r="Q1860">
        <v>4.7782544408166396</v>
      </c>
      <c r="R1860">
        <v>34.8004819618683</v>
      </c>
      <c r="S1860">
        <v>-1.9776681011264401</v>
      </c>
      <c r="T1860">
        <v>30.017969154217901</v>
      </c>
      <c r="U1860">
        <v>-0.73042824405667806</v>
      </c>
      <c r="V1860">
        <v>27.042131284527901</v>
      </c>
    </row>
    <row r="1861" spans="1:22" x14ac:dyDescent="0.25">
      <c r="B1861" t="s">
        <v>247</v>
      </c>
      <c r="C1861" t="s">
        <v>248</v>
      </c>
      <c r="D1861">
        <v>2012</v>
      </c>
      <c r="E1861">
        <v>1239.2270974570899</v>
      </c>
      <c r="F1861">
        <v>16.6654290410337</v>
      </c>
      <c r="G1861">
        <v>3.7253266611064602</v>
      </c>
      <c r="H1861">
        <v>7</v>
      </c>
      <c r="I1861">
        <v>3.0890034055134499</v>
      </c>
      <c r="J1861">
        <v>5.0570000000000004</v>
      </c>
      <c r="K1861">
        <v>20.2119298760243</v>
      </c>
      <c r="L1861">
        <v>20.3951540415202</v>
      </c>
      <c r="M1861">
        <v>4.0289277468923803</v>
      </c>
      <c r="N1861">
        <v>87.8594210543489</v>
      </c>
      <c r="O1861">
        <v>9.8563377814115096</v>
      </c>
      <c r="P1861">
        <v>0.79538564971640902</v>
      </c>
      <c r="Q1861">
        <v>-6.7503509601155098</v>
      </c>
      <c r="R1861">
        <v>25.162787981428998</v>
      </c>
      <c r="S1861">
        <v>-0.35222546241319203</v>
      </c>
      <c r="T1861">
        <v>27.172871728245202</v>
      </c>
      <c r="U1861">
        <v>-0.68229671263125502</v>
      </c>
      <c r="V1861">
        <v>27.964612046376999</v>
      </c>
    </row>
    <row r="1862" spans="1:22" x14ac:dyDescent="0.25">
      <c r="B1862" t="s">
        <v>247</v>
      </c>
      <c r="C1862" t="s">
        <v>248</v>
      </c>
      <c r="D1862">
        <v>2013</v>
      </c>
      <c r="E1862">
        <v>1362.9949832336799</v>
      </c>
      <c r="F1862">
        <v>1.98948554025198</v>
      </c>
      <c r="G1862">
        <v>1.63495041543822</v>
      </c>
      <c r="H1862">
        <v>7</v>
      </c>
      <c r="I1862">
        <v>3.0945798923968502</v>
      </c>
      <c r="J1862">
        <v>4.9480000000000004</v>
      </c>
      <c r="K1862">
        <v>19.0771549950937</v>
      </c>
      <c r="L1862">
        <v>19.0034625917759</v>
      </c>
      <c r="M1862">
        <v>9.3710750930451798</v>
      </c>
      <c r="N1862">
        <v>88.637827504267406</v>
      </c>
      <c r="O1862">
        <v>9.2090624713689309</v>
      </c>
      <c r="P1862">
        <v>0.65623684424084705</v>
      </c>
      <c r="Q1862">
        <v>-0.49351388019762299</v>
      </c>
      <c r="R1862">
        <v>21.987356517414199</v>
      </c>
      <c r="S1862">
        <v>-1.2109072576680999</v>
      </c>
      <c r="T1862">
        <v>26.434453226399899</v>
      </c>
      <c r="U1862">
        <v>-0.85603553006413902</v>
      </c>
      <c r="V1862">
        <v>24.6347633604572</v>
      </c>
    </row>
    <row r="1863" spans="1:22" x14ac:dyDescent="0.25">
      <c r="B1863" t="s">
        <v>247</v>
      </c>
      <c r="C1863" t="s">
        <v>248</v>
      </c>
      <c r="D1863">
        <v>2014</v>
      </c>
      <c r="E1863">
        <v>1372.9152617316099</v>
      </c>
      <c r="F1863">
        <v>2.3769856166341699</v>
      </c>
      <c r="G1863">
        <v>-0.19778481012661001</v>
      </c>
      <c r="H1863">
        <v>7</v>
      </c>
      <c r="I1863">
        <v>3.1381062144662599</v>
      </c>
      <c r="J1863">
        <v>4.774</v>
      </c>
      <c r="K1863">
        <v>19.0771549950937</v>
      </c>
      <c r="L1863">
        <v>19.0034625917759</v>
      </c>
      <c r="M1863">
        <v>-0.25196959579609801</v>
      </c>
      <c r="N1863">
        <v>88.927570906554195</v>
      </c>
      <c r="O1863">
        <v>9.6395888339186406</v>
      </c>
      <c r="P1863">
        <v>0.52842734986739104</v>
      </c>
      <c r="Q1863">
        <v>1.52143946409054</v>
      </c>
      <c r="R1863">
        <v>20.929994104226999</v>
      </c>
      <c r="S1863">
        <v>-0.87223518011938606</v>
      </c>
      <c r="T1863">
        <v>29.201709393080499</v>
      </c>
      <c r="U1863">
        <v>-0.83621316621475805</v>
      </c>
      <c r="V1863">
        <v>25.014675421509398</v>
      </c>
    </row>
    <row r="1864" spans="1:22" x14ac:dyDescent="0.25">
      <c r="B1864" t="s">
        <v>247</v>
      </c>
      <c r="C1864" t="s">
        <v>248</v>
      </c>
      <c r="D1864">
        <v>2015</v>
      </c>
      <c r="E1864">
        <v>1387.12632595026</v>
      </c>
      <c r="F1864">
        <v>1.7798535639217601</v>
      </c>
      <c r="G1864">
        <v>-2.4309684238340399</v>
      </c>
      <c r="H1864">
        <v>7</v>
      </c>
      <c r="I1864">
        <v>3.2214916397394702</v>
      </c>
      <c r="J1864">
        <v>5.399</v>
      </c>
      <c r="K1864">
        <v>21.809484931316401</v>
      </c>
      <c r="L1864">
        <v>19.0034625917759</v>
      </c>
      <c r="M1864">
        <v>0.60737758254529695</v>
      </c>
      <c r="N1864">
        <v>88.836357894582207</v>
      </c>
      <c r="O1864">
        <v>10.035923047075499</v>
      </c>
      <c r="P1864">
        <v>0.68760471343344298</v>
      </c>
      <c r="Q1864">
        <v>-0.991018137967281</v>
      </c>
      <c r="R1864">
        <v>19.160627339066</v>
      </c>
      <c r="S1864">
        <v>-1.60601118525815</v>
      </c>
      <c r="T1864">
        <v>34.094125801363397</v>
      </c>
      <c r="U1864">
        <v>-0.908128912924827</v>
      </c>
      <c r="V1864">
        <v>23.636350426451902</v>
      </c>
    </row>
    <row r="1865" spans="1:22" x14ac:dyDescent="0.25">
      <c r="B1865" t="s">
        <v>247</v>
      </c>
      <c r="C1865" t="s">
        <v>248</v>
      </c>
      <c r="D1865">
        <v>2016</v>
      </c>
      <c r="E1865">
        <v>1408.1394525343101</v>
      </c>
      <c r="F1865">
        <v>0.75579405855224002</v>
      </c>
      <c r="G1865">
        <v>-1.54366960054161</v>
      </c>
      <c r="H1865">
        <v>7</v>
      </c>
      <c r="I1865">
        <v>3.30577932197804</v>
      </c>
      <c r="J1865">
        <v>5.8959999999999999</v>
      </c>
      <c r="K1865">
        <v>25.236248471241598</v>
      </c>
      <c r="L1865">
        <v>17.194652119617199</v>
      </c>
      <c r="M1865">
        <v>2.1617913741984598</v>
      </c>
      <c r="N1865">
        <v>88.3275279751021</v>
      </c>
      <c r="O1865">
        <v>9.86174106545716</v>
      </c>
      <c r="P1865">
        <v>0.74170694542681703</v>
      </c>
      <c r="Q1865">
        <v>-1.2235279622608299</v>
      </c>
      <c r="R1865">
        <v>19.9435777083308</v>
      </c>
      <c r="S1865">
        <v>-4.9932284881920301</v>
      </c>
      <c r="T1865">
        <v>35.053718566358803</v>
      </c>
      <c r="U1865">
        <v>-1.07175463193885</v>
      </c>
      <c r="V1865">
        <v>20.500327668313801</v>
      </c>
    </row>
    <row r="1866" spans="1:22" x14ac:dyDescent="0.25">
      <c r="B1866" t="s">
        <v>247</v>
      </c>
      <c r="C1866" t="s">
        <v>248</v>
      </c>
      <c r="D1866">
        <v>2017</v>
      </c>
      <c r="E1866">
        <v>3445.44941020134</v>
      </c>
      <c r="F1866">
        <v>4.7344111775848203</v>
      </c>
      <c r="G1866">
        <v>0.89396231605002696</v>
      </c>
      <c r="H1866">
        <v>7</v>
      </c>
      <c r="I1866">
        <v>3.3874572809607502</v>
      </c>
      <c r="J1866">
        <v>6.35</v>
      </c>
      <c r="K1866">
        <v>9.7827666247359204</v>
      </c>
      <c r="L1866">
        <v>5.9579058595386201</v>
      </c>
      <c r="M1866">
        <v>197.45465921413799</v>
      </c>
      <c r="N1866">
        <v>87.512352094507605</v>
      </c>
      <c r="O1866">
        <v>14.7022431781545</v>
      </c>
      <c r="P1866">
        <v>0.53101761798687597</v>
      </c>
      <c r="Q1866">
        <v>8.4171705151844591</v>
      </c>
      <c r="R1866">
        <v>24.658175871100202</v>
      </c>
      <c r="S1866">
        <v>-8.6761383412420603</v>
      </c>
      <c r="T1866">
        <v>48.981460806687998</v>
      </c>
      <c r="U1866">
        <v>-1.39655538946969</v>
      </c>
      <c r="V1866">
        <v>14.275251478488601</v>
      </c>
    </row>
    <row r="1867" spans="1:22" x14ac:dyDescent="0.25">
      <c r="B1867" t="s">
        <v>247</v>
      </c>
      <c r="C1867" t="s">
        <v>248</v>
      </c>
      <c r="D1867">
        <v>2018</v>
      </c>
      <c r="E1867">
        <v>2270.8953187430202</v>
      </c>
      <c r="F1867">
        <v>5.0099215429760298</v>
      </c>
      <c r="G1867">
        <v>10.618865866957499</v>
      </c>
      <c r="H1867">
        <v>7</v>
      </c>
      <c r="I1867">
        <v>3.4651013552073602</v>
      </c>
      <c r="J1867">
        <v>6.7880000000000003</v>
      </c>
      <c r="K1867">
        <v>10.977284277782299</v>
      </c>
      <c r="L1867">
        <v>8.1169582952031405</v>
      </c>
      <c r="M1867">
        <v>3.55405561951902</v>
      </c>
      <c r="N1867">
        <v>86.516839853907399</v>
      </c>
      <c r="O1867">
        <v>14.148444342345201</v>
      </c>
      <c r="P1867">
        <v>0.13106298253059501</v>
      </c>
      <c r="Q1867">
        <v>13.9255264478908</v>
      </c>
      <c r="R1867">
        <v>26.164051170871101</v>
      </c>
      <c r="S1867">
        <v>-4.5514535006510499</v>
      </c>
      <c r="T1867">
        <v>32.957320275778201</v>
      </c>
      <c r="U1867">
        <v>-1.12083534579805</v>
      </c>
      <c r="V1867">
        <v>19.559655037045399</v>
      </c>
    </row>
    <row r="1868" spans="1:22" x14ac:dyDescent="0.25">
      <c r="B1868" t="s">
        <v>247</v>
      </c>
      <c r="C1868" t="s">
        <v>248</v>
      </c>
      <c r="D1868">
        <v>2019</v>
      </c>
      <c r="E1868">
        <v>2184.3292385546902</v>
      </c>
      <c r="F1868">
        <v>-6.3324497602857104</v>
      </c>
      <c r="G1868">
        <v>255.30499075785599</v>
      </c>
      <c r="H1868">
        <v>7</v>
      </c>
      <c r="I1868">
        <v>3.53424144890757</v>
      </c>
      <c r="J1868">
        <v>7.3730000000000002</v>
      </c>
      <c r="K1868">
        <v>19.0771549950937</v>
      </c>
      <c r="L1868">
        <v>19.0034625917759</v>
      </c>
      <c r="M1868">
        <v>397.17373944639502</v>
      </c>
      <c r="N1868">
        <v>85.447905828590095</v>
      </c>
      <c r="O1868">
        <v>11.561629264796</v>
      </c>
      <c r="P1868">
        <v>0.31549509237255302</v>
      </c>
      <c r="Q1868">
        <v>46.141645008916697</v>
      </c>
      <c r="R1868">
        <v>22.769164363975499</v>
      </c>
      <c r="S1868">
        <v>-5.5606466904212698E-2</v>
      </c>
      <c r="T1868">
        <v>53.888866923310303</v>
      </c>
      <c r="U1868">
        <v>-0.65297121318530005</v>
      </c>
      <c r="V1868">
        <v>28.526659591288901</v>
      </c>
    </row>
    <row r="1869" spans="1:22" x14ac:dyDescent="0.25">
      <c r="B1869" t="s">
        <v>247</v>
      </c>
      <c r="C1869" t="s">
        <v>248</v>
      </c>
      <c r="D1869">
        <v>2020</v>
      </c>
      <c r="E1869">
        <v>2059.6744538449898</v>
      </c>
      <c r="F1869">
        <v>-7.8169506018872896</v>
      </c>
      <c r="G1869">
        <v>557.20181736205097</v>
      </c>
      <c r="H1869">
        <v>7</v>
      </c>
      <c r="I1869">
        <v>3.5816738170046101</v>
      </c>
      <c r="J1869">
        <v>8.6170000000000009</v>
      </c>
      <c r="K1869">
        <v>19.0771549950937</v>
      </c>
      <c r="L1869">
        <v>19.0034625917759</v>
      </c>
      <c r="M1869">
        <v>585.97282911786601</v>
      </c>
      <c r="N1869">
        <v>84.384380639962302</v>
      </c>
      <c r="O1869">
        <v>11.2139243786572</v>
      </c>
      <c r="P1869">
        <v>6.2756330121812101E-2</v>
      </c>
      <c r="Q1869">
        <v>44.014631924732697</v>
      </c>
      <c r="R1869">
        <v>18.931225245566701</v>
      </c>
      <c r="S1869">
        <v>0.53090682899792396</v>
      </c>
      <c r="T1869">
        <v>56.811099325778301</v>
      </c>
      <c r="U1869">
        <v>-0.79296339939557903</v>
      </c>
      <c r="V1869">
        <v>25.8435931115058</v>
      </c>
    </row>
    <row r="1870" spans="1:22" x14ac:dyDescent="0.25">
      <c r="B1870" t="s">
        <v>247</v>
      </c>
      <c r="C1870" t="s">
        <v>248</v>
      </c>
      <c r="D1870">
        <v>2021</v>
      </c>
      <c r="E1870">
        <v>2613.6054208355199</v>
      </c>
      <c r="F1870">
        <v>8.4680167680800107</v>
      </c>
      <c r="G1870">
        <v>98.546105092062405</v>
      </c>
      <c r="H1870">
        <v>7</v>
      </c>
      <c r="I1870">
        <v>3.5979739460322402</v>
      </c>
      <c r="J1870">
        <v>9.5399999999999991</v>
      </c>
      <c r="K1870">
        <v>19.0771549950937</v>
      </c>
      <c r="L1870">
        <v>19.0034625917759</v>
      </c>
      <c r="M1870">
        <v>108.772816795263</v>
      </c>
      <c r="N1870">
        <v>83.384953322605398</v>
      </c>
      <c r="O1870">
        <v>13.456563156091599</v>
      </c>
      <c r="P1870">
        <v>1.1482200343659299</v>
      </c>
      <c r="Q1870">
        <v>42.874298582043899</v>
      </c>
      <c r="R1870">
        <v>19.759617338404802</v>
      </c>
      <c r="S1870">
        <v>-1.8275390637520299</v>
      </c>
      <c r="T1870">
        <v>39.891271337146001</v>
      </c>
      <c r="U1870">
        <v>-0.59483331747037105</v>
      </c>
      <c r="V1870">
        <v>29.6409206327127</v>
      </c>
    </row>
    <row r="1871" spans="1:22" x14ac:dyDescent="0.25">
      <c r="B1871" t="s">
        <v>247</v>
      </c>
      <c r="C1871" t="s">
        <v>248</v>
      </c>
      <c r="D1871">
        <v>2022</v>
      </c>
      <c r="E1871">
        <v>2536.4005022307601</v>
      </c>
      <c r="F1871">
        <v>6.1392632757021302</v>
      </c>
      <c r="G1871">
        <v>104.70517062866701</v>
      </c>
      <c r="H1871">
        <v>7</v>
      </c>
      <c r="I1871">
        <v>3.6082270050035001</v>
      </c>
      <c r="J1871">
        <v>10.087</v>
      </c>
      <c r="K1871">
        <v>19.0771549950937</v>
      </c>
      <c r="L1871">
        <v>19.0034625917759</v>
      </c>
      <c r="M1871">
        <v>274.45809048439901</v>
      </c>
      <c r="N1871">
        <v>82.547605464071907</v>
      </c>
      <c r="O1871">
        <v>12.418930420768699</v>
      </c>
      <c r="P1871">
        <v>0.70431858679269499</v>
      </c>
      <c r="Q1871">
        <v>42.321957501476497</v>
      </c>
      <c r="R1871">
        <v>23.699219626644702</v>
      </c>
      <c r="S1871">
        <v>-0.99962125063763296</v>
      </c>
      <c r="T1871">
        <v>66.789092244966596</v>
      </c>
      <c r="U1871">
        <v>-0.61440506821583996</v>
      </c>
      <c r="V1871">
        <v>29.265811779873101</v>
      </c>
    </row>
    <row r="1872" spans="1:22" x14ac:dyDescent="0.25">
      <c r="B1872" t="s">
        <v>247</v>
      </c>
      <c r="C1872" t="s">
        <v>248</v>
      </c>
      <c r="D1872">
        <v>2023</v>
      </c>
      <c r="E1872">
        <v>2195.2249207924501</v>
      </c>
      <c r="F1872">
        <v>5.3508687909833004</v>
      </c>
      <c r="G1872">
        <v>3.4661297281748999</v>
      </c>
      <c r="H1872">
        <v>7</v>
      </c>
      <c r="I1872">
        <v>3.61832175940481</v>
      </c>
      <c r="J1872">
        <v>9.3480000000000008</v>
      </c>
      <c r="K1872">
        <v>19.0771549950937</v>
      </c>
      <c r="L1872">
        <v>19.0034625917759</v>
      </c>
      <c r="M1872">
        <v>768.47717786453302</v>
      </c>
      <c r="N1872">
        <v>81.625351756375494</v>
      </c>
      <c r="O1872">
        <v>10.023043258730199</v>
      </c>
      <c r="P1872">
        <v>0.129140652810182</v>
      </c>
      <c r="Q1872">
        <v>12.072943001921599</v>
      </c>
      <c r="R1872">
        <v>17.1170760050918</v>
      </c>
      <c r="S1872">
        <v>-9.4513417142840304</v>
      </c>
      <c r="T1872">
        <v>76.127227852526801</v>
      </c>
      <c r="U1872">
        <v>-1.1450849935410501</v>
      </c>
      <c r="V1872">
        <v>19.094890404338901</v>
      </c>
    </row>
    <row r="1873" spans="2:22" x14ac:dyDescent="0.25">
      <c r="B1873" t="s">
        <v>247</v>
      </c>
      <c r="C1873" t="s">
        <v>248</v>
      </c>
      <c r="D1873">
        <v>2024</v>
      </c>
      <c r="E1873">
        <v>2497.2033220876301</v>
      </c>
      <c r="F1873">
        <v>1.74239524880791</v>
      </c>
      <c r="G1873">
        <v>3.4661297281748999</v>
      </c>
      <c r="H1873">
        <v>7</v>
      </c>
      <c r="I1873">
        <v>3.6016537443777898</v>
      </c>
      <c r="J1873">
        <v>9.4350000000000005</v>
      </c>
      <c r="K1873">
        <v>19.0771549950937</v>
      </c>
      <c r="L1873">
        <v>19.0034625917759</v>
      </c>
      <c r="M1873">
        <v>1097.2466741772901</v>
      </c>
      <c r="N1873">
        <v>80.100411794244494</v>
      </c>
      <c r="O1873">
        <v>8.8462009669409092</v>
      </c>
      <c r="P1873">
        <v>0.51937543739108205</v>
      </c>
      <c r="Q1873">
        <v>10.7002133822311</v>
      </c>
      <c r="R1873">
        <v>18.048841843203999</v>
      </c>
      <c r="S1873">
        <v>-0.75590495613340503</v>
      </c>
      <c r="T1873">
        <v>70.380227740965907</v>
      </c>
      <c r="U1873">
        <v>-0.71565363388984005</v>
      </c>
      <c r="V1873">
        <v>27.3252989552646</v>
      </c>
    </row>
    <row r="1874" spans="2:22" x14ac:dyDescent="0.25">
      <c r="B1874" t="s">
        <v>247</v>
      </c>
      <c r="C1874" t="s">
        <v>248</v>
      </c>
      <c r="D1874">
        <v>2025</v>
      </c>
      <c r="E1874">
        <v>2059.6744538449898</v>
      </c>
      <c r="F1874">
        <v>4.7344111775848203</v>
      </c>
      <c r="G1874">
        <v>3.4661297281748999</v>
      </c>
      <c r="H1874">
        <v>7</v>
      </c>
      <c r="I1874">
        <v>3.3874572809607502</v>
      </c>
      <c r="J1874">
        <v>9.2929999999999993</v>
      </c>
      <c r="K1874">
        <v>19.0771549950937</v>
      </c>
      <c r="L1874">
        <v>19.0034625917759</v>
      </c>
      <c r="M1874">
        <v>9.3710750930451798</v>
      </c>
      <c r="N1874">
        <v>86.516839853907399</v>
      </c>
      <c r="O1874">
        <v>11.2139243786572</v>
      </c>
      <c r="P1874">
        <v>0.65623684424084705</v>
      </c>
      <c r="Q1874">
        <v>8.4171705151844591</v>
      </c>
      <c r="R1874">
        <v>21.987356517414199</v>
      </c>
      <c r="S1874">
        <v>8.1811674032434306E-2</v>
      </c>
      <c r="T1874">
        <v>43.765489965266198</v>
      </c>
      <c r="U1874">
        <v>-0.82123550465767003</v>
      </c>
      <c r="V1874">
        <v>25.301734740727301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5"/>
  <sheetViews>
    <sheetView tabSelected="1" topLeftCell="B1" workbookViewId="0">
      <selection activeCell="R58" sqref="R58"/>
    </sheetView>
  </sheetViews>
  <sheetFormatPr defaultRowHeight="15" x14ac:dyDescent="0.25"/>
  <cols>
    <col min="1" max="1" width="22.42578125" bestFit="1" customWidth="1"/>
    <col min="2" max="12" width="9.5703125" style="1" customWidth="1"/>
  </cols>
  <sheetData>
    <row r="1" spans="1:19" ht="15.75" thickBot="1" x14ac:dyDescent="0.3">
      <c r="A1" t="s">
        <v>1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4" t="s">
        <v>255</v>
      </c>
      <c r="S1" s="14" t="s">
        <v>256</v>
      </c>
    </row>
    <row r="2" spans="1:19" x14ac:dyDescent="0.25">
      <c r="A2" t="s">
        <v>146</v>
      </c>
      <c r="B2" s="2">
        <f>VLOOKUP($A2&amp;B$1,Plan2!$A:$V,22,FALSE)</f>
        <v>92.616704780554898</v>
      </c>
      <c r="C2" s="2">
        <f>VLOOKUP($A2&amp;C$1,Plan2!$A:$V,22,FALSE)</f>
        <v>100</v>
      </c>
      <c r="D2" s="2">
        <f>VLOOKUP($A2&amp;D$1,Plan2!$A:$V,22,FALSE)</f>
        <v>95.560440593492103</v>
      </c>
      <c r="E2" s="2">
        <f>VLOOKUP($A2&amp;E$1,Plan2!$A:$V,22,FALSE)</f>
        <v>99.791282418788597</v>
      </c>
      <c r="F2" s="2">
        <f>VLOOKUP($A2&amp;F$1,Plan2!$A:$V,22,FALSE)</f>
        <v>93.137122370820194</v>
      </c>
      <c r="G2" s="2">
        <f>VLOOKUP($A2&amp;G$1,Plan2!$A:$V,22,FALSE)</f>
        <v>74.678614521687294</v>
      </c>
      <c r="H2" s="2">
        <f>VLOOKUP($A2&amp;H$1,Plan2!$A:$V,22,FALSE)</f>
        <v>77.051890440853995</v>
      </c>
      <c r="I2" s="2">
        <f>VLOOKUP($A2&amp;I$1,Plan2!$A:$V,22,FALSE)</f>
        <v>83.370654193786507</v>
      </c>
      <c r="J2" s="2">
        <f>VLOOKUP($A2&amp;J$1,Plan2!$A:$V,22,FALSE)</f>
        <v>83.942315510838498</v>
      </c>
      <c r="K2" s="2">
        <f>VLOOKUP($A2&amp;K$1,Plan2!$A:$V,22,FALSE)</f>
        <v>83.678875410476195</v>
      </c>
      <c r="L2" s="2">
        <f>VLOOKUP($A2&amp;L$1,Plan2!$A:$V,22,FALSE)</f>
        <v>34.226043016058398</v>
      </c>
      <c r="M2" s="2">
        <f>VLOOKUP($A2&amp;M$1,Plan2!$A:$V,22,FALSE)</f>
        <v>56.261808824618001</v>
      </c>
      <c r="N2" s="2">
        <f>VLOOKUP($A2&amp;N$1,Plan2!$A:$V,22,FALSE)</f>
        <v>28.215759737086699</v>
      </c>
      <c r="O2" s="2">
        <f>VLOOKUP($A2&amp;O$1,Plan2!$A:$V,22,FALSE)</f>
        <v>86.038855776997906</v>
      </c>
      <c r="P2" s="2">
        <f>VLOOKUP($A2&amp;P$1,Plan2!$A:$V,22,FALSE)</f>
        <v>79.205519837253107</v>
      </c>
      <c r="Q2" s="2">
        <f>VLOOKUP($A2&amp;Q$1,Plan2!$A:$V,22,FALSE)</f>
        <v>74.875614534828699</v>
      </c>
      <c r="R2">
        <f>VLOOKUP(A2,ratings!A:E,3,FALSE)</f>
        <v>0</v>
      </c>
      <c r="S2" t="str">
        <f>VLOOKUP(A2,ratings!A:E,4,FALSE)</f>
        <v>Aa3</v>
      </c>
    </row>
    <row r="3" spans="1:19" x14ac:dyDescent="0.25">
      <c r="A3" t="s">
        <v>144</v>
      </c>
      <c r="B3" s="2">
        <f>VLOOKUP($A3&amp;B$1,Plan2!$A:$V,22,FALSE)</f>
        <v>80.777549915649701</v>
      </c>
      <c r="C3" s="2">
        <f>VLOOKUP($A3&amp;C$1,Plan2!$A:$V,22,FALSE)</f>
        <v>82.696486367781802</v>
      </c>
      <c r="D3" s="2">
        <f>VLOOKUP($A3&amp;D$1,Plan2!$A:$V,22,FALSE)</f>
        <v>83.218653219047695</v>
      </c>
      <c r="E3" s="2">
        <f>VLOOKUP($A3&amp;E$1,Plan2!$A:$V,22,FALSE)</f>
        <v>84.632453971639805</v>
      </c>
      <c r="F3" s="2">
        <f>VLOOKUP($A3&amp;F$1,Plan2!$A:$V,22,FALSE)</f>
        <v>86.118596609784504</v>
      </c>
      <c r="G3" s="2">
        <f>VLOOKUP($A3&amp;G$1,Plan2!$A:$V,22,FALSE)</f>
        <v>82.586061498586005</v>
      </c>
      <c r="H3" s="2">
        <f>VLOOKUP($A3&amp;H$1,Plan2!$A:$V,22,FALSE)</f>
        <v>84.428760895564096</v>
      </c>
      <c r="I3" s="2">
        <f>VLOOKUP($A3&amp;I$1,Plan2!$A:$V,22,FALSE)</f>
        <v>84.694219788800694</v>
      </c>
      <c r="J3" s="2">
        <f>VLOOKUP($A3&amp;J$1,Plan2!$A:$V,22,FALSE)</f>
        <v>88.760162929667501</v>
      </c>
      <c r="K3" s="2">
        <f>VLOOKUP($A3&amp;K$1,Plan2!$A:$V,22,FALSE)</f>
        <v>88.054287528608995</v>
      </c>
      <c r="L3" s="2">
        <f>VLOOKUP($A3&amp;L$1,Plan2!$A:$V,22,FALSE)</f>
        <v>83.107437054357007</v>
      </c>
      <c r="M3" s="2">
        <f>VLOOKUP($A3&amp;M$1,Plan2!$A:$V,22,FALSE)</f>
        <v>91.701389472527097</v>
      </c>
      <c r="N3" s="2">
        <f>VLOOKUP($A3&amp;N$1,Plan2!$A:$V,22,FALSE)</f>
        <v>88.224791492882801</v>
      </c>
      <c r="O3" s="2">
        <f>VLOOKUP($A3&amp;O$1,Plan2!$A:$V,22,FALSE)</f>
        <v>89.585225846704901</v>
      </c>
      <c r="P3" s="2">
        <f>VLOOKUP($A3&amp;P$1,Plan2!$A:$V,22,FALSE)</f>
        <v>88.570986949055794</v>
      </c>
      <c r="Q3" s="2">
        <f>VLOOKUP($A3&amp;Q$1,Plan2!$A:$V,22,FALSE)</f>
        <v>83.053516485893994</v>
      </c>
      <c r="R3" s="13" t="str">
        <f>VLOOKUP(A3,ratings!A:E,3,FALSE)</f>
        <v>AAA</v>
      </c>
      <c r="S3" s="13" t="str">
        <f>VLOOKUP(A3,ratings!A:E,4,FALSE)</f>
        <v>Aaa</v>
      </c>
    </row>
    <row r="4" spans="1:19" x14ac:dyDescent="0.25">
      <c r="A4" t="s">
        <v>180</v>
      </c>
      <c r="B4" s="2">
        <f>VLOOKUP($A4&amp;B$1,Plan2!$A:$V,22,FALSE)</f>
        <v>76.545620493517504</v>
      </c>
      <c r="C4" s="2">
        <f>VLOOKUP($A4&amp;C$1,Plan2!$A:$V,22,FALSE)</f>
        <v>82.075779044694897</v>
      </c>
      <c r="D4" s="2">
        <f>VLOOKUP($A4&amp;D$1,Plan2!$A:$V,22,FALSE)</f>
        <v>82.780199062194896</v>
      </c>
      <c r="E4" s="2">
        <f>VLOOKUP($A4&amp;E$1,Plan2!$A:$V,22,FALSE)</f>
        <v>79.047885065857102</v>
      </c>
      <c r="F4" s="2">
        <f>VLOOKUP($A4&amp;F$1,Plan2!$A:$V,22,FALSE)</f>
        <v>77.031216201319594</v>
      </c>
      <c r="G4" s="2">
        <f>VLOOKUP($A4&amp;G$1,Plan2!$A:$V,22,FALSE)</f>
        <v>70.487351837700999</v>
      </c>
      <c r="H4" s="2">
        <f>VLOOKUP($A4&amp;H$1,Plan2!$A:$V,22,FALSE)</f>
        <v>67.204428178465605</v>
      </c>
      <c r="I4" s="2">
        <f>VLOOKUP($A4&amp;I$1,Plan2!$A:$V,22,FALSE)</f>
        <v>69.435182657992002</v>
      </c>
      <c r="J4" s="2">
        <f>VLOOKUP($A4&amp;J$1,Plan2!$A:$V,22,FALSE)</f>
        <v>73.267962643309303</v>
      </c>
      <c r="K4" s="2">
        <f>VLOOKUP($A4&amp;K$1,Plan2!$A:$V,22,FALSE)</f>
        <v>70.761835817491203</v>
      </c>
      <c r="L4" s="2">
        <f>VLOOKUP($A4&amp;L$1,Plan2!$A:$V,22,FALSE)</f>
        <v>60.794572600789003</v>
      </c>
      <c r="M4" s="2">
        <f>VLOOKUP($A4&amp;M$1,Plan2!$A:$V,22,FALSE)</f>
        <v>79.014879353230498</v>
      </c>
      <c r="N4" s="2">
        <f>VLOOKUP($A4&amp;N$1,Plan2!$A:$V,22,FALSE)</f>
        <v>99.290243822389499</v>
      </c>
      <c r="O4" s="2">
        <f>VLOOKUP($A4&amp;O$1,Plan2!$A:$V,22,FALSE)</f>
        <v>85.387016931984505</v>
      </c>
      <c r="P4" s="2">
        <f>VLOOKUP($A4&amp;P$1,Plan2!$A:$V,22,FALSE)</f>
        <v>82.171160236877299</v>
      </c>
      <c r="Q4" s="2">
        <f>VLOOKUP($A4&amp;Q$1,Plan2!$A:$V,22,FALSE)</f>
        <v>75.310230947405898</v>
      </c>
      <c r="R4" s="13" t="str">
        <f>VLOOKUP(A4,ratings!A:E,3,FALSE)</f>
        <v>AAA</v>
      </c>
      <c r="S4" s="13" t="str">
        <f>VLOOKUP(A4,ratings!A:E,4,FALSE)</f>
        <v>Aaa</v>
      </c>
    </row>
    <row r="5" spans="1:19" x14ac:dyDescent="0.25">
      <c r="A5" t="s">
        <v>76</v>
      </c>
      <c r="B5" s="2">
        <f>VLOOKUP($A5&amp;B$1,Plan2!$A:$V,22,FALSE)</f>
        <v>58.703589686432402</v>
      </c>
      <c r="C5" s="2">
        <f>VLOOKUP($A5&amp;C$1,Plan2!$A:$V,22,FALSE)</f>
        <v>60.151027389781802</v>
      </c>
      <c r="D5" s="2">
        <f>VLOOKUP($A5&amp;D$1,Plan2!$A:$V,22,FALSE)</f>
        <v>58.662672412147003</v>
      </c>
      <c r="E5" s="2">
        <f>VLOOKUP($A5&amp;E$1,Plan2!$A:$V,22,FALSE)</f>
        <v>61.413685592377497</v>
      </c>
      <c r="F5" s="2">
        <f>VLOOKUP($A5&amp;F$1,Plan2!$A:$V,22,FALSE)</f>
        <v>64.266744318228007</v>
      </c>
      <c r="G5" s="2">
        <f>VLOOKUP($A5&amp;G$1,Plan2!$A:$V,22,FALSE)</f>
        <v>60.669720032955297</v>
      </c>
      <c r="H5" s="2">
        <f>VLOOKUP($A5&amp;H$1,Plan2!$A:$V,22,FALSE)</f>
        <v>61.544704814728298</v>
      </c>
      <c r="I5" s="2">
        <f>VLOOKUP($A5&amp;I$1,Plan2!$A:$V,22,FALSE)</f>
        <v>63.465709030925701</v>
      </c>
      <c r="J5" s="2">
        <f>VLOOKUP($A5&amp;J$1,Plan2!$A:$V,22,FALSE)</f>
        <v>63.119613067223298</v>
      </c>
      <c r="K5" s="2">
        <f>VLOOKUP($A5&amp;K$1,Plan2!$A:$V,22,FALSE)</f>
        <v>66.666151128734498</v>
      </c>
      <c r="L5" s="2">
        <f>VLOOKUP($A5&amp;L$1,Plan2!$A:$V,22,FALSE)</f>
        <v>62.4273635390838</v>
      </c>
      <c r="M5" s="2">
        <f>VLOOKUP($A5&amp;M$1,Plan2!$A:$V,22,FALSE)</f>
        <v>69.569312318396101</v>
      </c>
      <c r="N5" s="2">
        <f>VLOOKUP($A5&amp;N$1,Plan2!$A:$V,22,FALSE)</f>
        <v>67.6893590801957</v>
      </c>
      <c r="O5" s="2">
        <f>VLOOKUP($A5&amp;O$1,Plan2!$A:$V,22,FALSE)</f>
        <v>68.144339965353595</v>
      </c>
      <c r="P5" s="2">
        <f>VLOOKUP($A5&amp;P$1,Plan2!$A:$V,22,FALSE)</f>
        <v>71.350930148165901</v>
      </c>
      <c r="Q5" s="2">
        <f>VLOOKUP($A5&amp;Q$1,Plan2!$A:$V,22,FALSE)</f>
        <v>65.868168977915104</v>
      </c>
      <c r="R5" s="13" t="str">
        <f>VLOOKUP(A5,ratings!A:E,3,FALSE)</f>
        <v>AAA</v>
      </c>
      <c r="S5" s="13" t="str">
        <f>VLOOKUP(A5,ratings!A:E,4,FALSE)</f>
        <v>Aaa</v>
      </c>
    </row>
    <row r="6" spans="1:19" x14ac:dyDescent="0.25">
      <c r="A6" t="s">
        <v>172</v>
      </c>
      <c r="B6" s="2">
        <f>VLOOKUP($A6&amp;B$1,Plan2!$A:$V,22,FALSE)</f>
        <v>59.369130028506298</v>
      </c>
      <c r="C6" s="2">
        <f>VLOOKUP($A6&amp;C$1,Plan2!$A:$V,22,FALSE)</f>
        <v>61.1914380697025</v>
      </c>
      <c r="D6" s="2">
        <f>VLOOKUP($A6&amp;D$1,Plan2!$A:$V,22,FALSE)</f>
        <v>60.6839610177772</v>
      </c>
      <c r="E6" s="2">
        <f>VLOOKUP($A6&amp;E$1,Plan2!$A:$V,22,FALSE)</f>
        <v>61.901495938053003</v>
      </c>
      <c r="F6" s="2">
        <f>VLOOKUP($A6&amp;F$1,Plan2!$A:$V,22,FALSE)</f>
        <v>63.126611412858402</v>
      </c>
      <c r="G6" s="2">
        <f>VLOOKUP($A6&amp;G$1,Plan2!$A:$V,22,FALSE)</f>
        <v>61.7582977509636</v>
      </c>
      <c r="H6" s="2">
        <f>VLOOKUP($A6&amp;H$1,Plan2!$A:$V,22,FALSE)</f>
        <v>64.575795265902798</v>
      </c>
      <c r="I6" s="2">
        <f>VLOOKUP($A6&amp;I$1,Plan2!$A:$V,22,FALSE)</f>
        <v>67.163248704412496</v>
      </c>
      <c r="J6" s="2">
        <f>VLOOKUP($A6&amp;J$1,Plan2!$A:$V,22,FALSE)</f>
        <v>68.799658823947496</v>
      </c>
      <c r="K6" s="2">
        <f>VLOOKUP($A6&amp;K$1,Plan2!$A:$V,22,FALSE)</f>
        <v>69.029502902723394</v>
      </c>
      <c r="L6" s="2">
        <f>VLOOKUP($A6&amp;L$1,Plan2!$A:$V,22,FALSE)</f>
        <v>62.950847018543698</v>
      </c>
      <c r="M6" s="2">
        <f>VLOOKUP($A6&amp;M$1,Plan2!$A:$V,22,FALSE)</f>
        <v>68.166113037367893</v>
      </c>
      <c r="N6" s="2">
        <f>VLOOKUP($A6&amp;N$1,Plan2!$A:$V,22,FALSE)</f>
        <v>69.919178036067805</v>
      </c>
      <c r="O6" s="2">
        <f>VLOOKUP($A6&amp;O$1,Plan2!$A:$V,22,FALSE)</f>
        <v>69.362661454245</v>
      </c>
      <c r="P6" s="2">
        <f>VLOOKUP($A6&amp;P$1,Plan2!$A:$V,22,FALSE)</f>
        <v>69.686250170977502</v>
      </c>
      <c r="Q6" s="2">
        <f>VLOOKUP($A6&amp;Q$1,Plan2!$A:$V,22,FALSE)</f>
        <v>65.837348048369606</v>
      </c>
      <c r="R6" s="13" t="str">
        <f>VLOOKUP(A6,ratings!A:E,3,FALSE)</f>
        <v>AAA</v>
      </c>
      <c r="S6" s="13" t="str">
        <f>VLOOKUP(A6,ratings!A:E,4,FALSE)</f>
        <v>Aaa</v>
      </c>
    </row>
    <row r="7" spans="1:19" x14ac:dyDescent="0.25">
      <c r="A7" t="s">
        <v>218</v>
      </c>
      <c r="B7" s="2">
        <f>VLOOKUP($A7&amp;B$1,Plan2!$A:$V,22,FALSE)</f>
        <v>61.236678884043201</v>
      </c>
      <c r="C7" s="2">
        <f>VLOOKUP($A7&amp;C$1,Plan2!$A:$V,22,FALSE)</f>
        <v>62.625861653878701</v>
      </c>
      <c r="D7" s="2">
        <f>VLOOKUP($A7&amp;D$1,Plan2!$A:$V,22,FALSE)</f>
        <v>62.819192417042899</v>
      </c>
      <c r="E7" s="2">
        <f>VLOOKUP($A7&amp;E$1,Plan2!$A:$V,22,FALSE)</f>
        <v>63.119044095865398</v>
      </c>
      <c r="F7" s="2">
        <f>VLOOKUP($A7&amp;F$1,Plan2!$A:$V,22,FALSE)</f>
        <v>62.5510714022071</v>
      </c>
      <c r="G7" s="2">
        <f>VLOOKUP($A7&amp;G$1,Plan2!$A:$V,22,FALSE)</f>
        <v>63.1907519078229</v>
      </c>
      <c r="H7" s="2">
        <f>VLOOKUP($A7&amp;H$1,Plan2!$A:$V,22,FALSE)</f>
        <v>62.843861720667597</v>
      </c>
      <c r="I7" s="2">
        <f>VLOOKUP($A7&amp;I$1,Plan2!$A:$V,22,FALSE)</f>
        <v>63.591286619427798</v>
      </c>
      <c r="J7" s="2">
        <f>VLOOKUP($A7&amp;J$1,Plan2!$A:$V,22,FALSE)</f>
        <v>64.207360363529602</v>
      </c>
      <c r="K7" s="2">
        <f>VLOOKUP($A7&amp;K$1,Plan2!$A:$V,22,FALSE)</f>
        <v>64.035683994109405</v>
      </c>
      <c r="L7" s="2">
        <f>VLOOKUP($A7&amp;L$1,Plan2!$A:$V,22,FALSE)</f>
        <v>60.115534507393299</v>
      </c>
      <c r="M7" s="2">
        <f>VLOOKUP($A7&amp;M$1,Plan2!$A:$V,22,FALSE)</f>
        <v>66.453344274746698</v>
      </c>
      <c r="N7" s="2">
        <f>VLOOKUP($A7&amp;N$1,Plan2!$A:$V,22,FALSE)</f>
        <v>67.229621473675905</v>
      </c>
      <c r="O7" s="2">
        <f>VLOOKUP($A7&amp;O$1,Plan2!$A:$V,22,FALSE)</f>
        <v>65.781651160605904</v>
      </c>
      <c r="P7" s="2">
        <f>VLOOKUP($A7&amp;P$1,Plan2!$A:$V,22,FALSE)</f>
        <v>66.246422209999807</v>
      </c>
      <c r="Q7" s="2">
        <f>VLOOKUP($A7&amp;Q$1,Plan2!$A:$V,22,FALSE)</f>
        <v>63.308592259071702</v>
      </c>
      <c r="R7" s="13" t="str">
        <f>VLOOKUP(A7,ratings!A:E,3,FALSE)</f>
        <v>AAA</v>
      </c>
      <c r="S7" s="13" t="str">
        <f>VLOOKUP(A7,ratings!A:E,4,FALSE)</f>
        <v>Aaa</v>
      </c>
    </row>
    <row r="8" spans="1:19" x14ac:dyDescent="0.25">
      <c r="A8" t="s">
        <v>236</v>
      </c>
      <c r="B8" s="2">
        <f>VLOOKUP($A8&amp;B$1,Plan2!$A:$V,22,FALSE)</f>
        <v>43.819081465661498</v>
      </c>
      <c r="C8" s="2">
        <f>VLOOKUP($A8&amp;C$1,Plan2!$A:$V,22,FALSE)</f>
        <v>51.2721913215995</v>
      </c>
      <c r="D8" s="2">
        <f>VLOOKUP($A8&amp;D$1,Plan2!$A:$V,22,FALSE)</f>
        <v>61.325641434358303</v>
      </c>
      <c r="E8" s="2">
        <f>VLOOKUP($A8&amp;E$1,Plan2!$A:$V,22,FALSE)</f>
        <v>61.595148384078001</v>
      </c>
      <c r="F8" s="2">
        <f>VLOOKUP($A8&amp;F$1,Plan2!$A:$V,22,FALSE)</f>
        <v>55.973368836679299</v>
      </c>
      <c r="G8" s="2">
        <f>VLOOKUP($A8&amp;G$1,Plan2!$A:$V,22,FALSE)</f>
        <v>48.488181957251101</v>
      </c>
      <c r="H8" s="2">
        <f>VLOOKUP($A8&amp;H$1,Plan2!$A:$V,22,FALSE)</f>
        <v>51.0272299854661</v>
      </c>
      <c r="I8" s="2">
        <f>VLOOKUP($A8&amp;I$1,Plan2!$A:$V,22,FALSE)</f>
        <v>51.741747744074701</v>
      </c>
      <c r="J8" s="2">
        <f>VLOOKUP($A8&amp;J$1,Plan2!$A:$V,22,FALSE)</f>
        <v>55.671530134768503</v>
      </c>
      <c r="K8" s="2">
        <f>VLOOKUP($A8&amp;K$1,Plan2!$A:$V,22,FALSE)</f>
        <v>54.368419618144699</v>
      </c>
      <c r="L8" s="2">
        <f>VLOOKUP($A8&amp;L$1,Plan2!$A:$V,22,FALSE)</f>
        <v>47.065560651033699</v>
      </c>
      <c r="M8" s="2">
        <f>VLOOKUP($A8&amp;M$1,Plan2!$A:$V,22,FALSE)</f>
        <v>55.425411612751901</v>
      </c>
      <c r="N8" s="2">
        <f>VLOOKUP($A8&amp;N$1,Plan2!$A:$V,22,FALSE)</f>
        <v>61.903115667459602</v>
      </c>
      <c r="O8" s="2">
        <f>VLOOKUP($A8&amp;O$1,Plan2!$A:$V,22,FALSE)</f>
        <v>58.394474563452697</v>
      </c>
      <c r="P8" s="2">
        <f>VLOOKUP($A8&amp;P$1,Plan2!$A:$V,22,FALSE)</f>
        <v>58.499156739898403</v>
      </c>
      <c r="Q8" s="2">
        <f>VLOOKUP($A8&amp;Q$1,Plan2!$A:$V,22,FALSE)</f>
        <v>56.877215098438903</v>
      </c>
      <c r="R8" s="13" t="str">
        <f>VLOOKUP(A8,ratings!A:E,3,FALSE)</f>
        <v>AA</v>
      </c>
      <c r="S8" s="13" t="str">
        <f>VLOOKUP(A8,ratings!A:E,4,FALSE)</f>
        <v>Aa2</v>
      </c>
    </row>
    <row r="9" spans="1:19" x14ac:dyDescent="0.25">
      <c r="A9" t="s">
        <v>32</v>
      </c>
      <c r="B9" s="2">
        <f>VLOOKUP($A9&amp;B$1,Plan2!$A:$V,22,FALSE)</f>
        <v>55.2597630235785</v>
      </c>
      <c r="C9" s="2">
        <f>VLOOKUP($A9&amp;C$1,Plan2!$A:$V,22,FALSE)</f>
        <v>58.931949682320102</v>
      </c>
      <c r="D9" s="2">
        <f>VLOOKUP($A9&amp;D$1,Plan2!$A:$V,22,FALSE)</f>
        <v>58.535659269499597</v>
      </c>
      <c r="E9" s="2">
        <f>VLOOKUP($A9&amp;E$1,Plan2!$A:$V,22,FALSE)</f>
        <v>59.0083919495627</v>
      </c>
      <c r="F9" s="2">
        <f>VLOOKUP($A9&amp;F$1,Plan2!$A:$V,22,FALSE)</f>
        <v>59.351052517211699</v>
      </c>
      <c r="G9" s="2">
        <f>VLOOKUP($A9&amp;G$1,Plan2!$A:$V,22,FALSE)</f>
        <v>59.243986662086499</v>
      </c>
      <c r="H9" s="2">
        <f>VLOOKUP($A9&amp;H$1,Plan2!$A:$V,22,FALSE)</f>
        <v>58.330933562133801</v>
      </c>
      <c r="I9" s="2">
        <f>VLOOKUP($A9&amp;I$1,Plan2!$A:$V,22,FALSE)</f>
        <v>62.474384202360802</v>
      </c>
      <c r="J9" s="2">
        <f>VLOOKUP($A9&amp;J$1,Plan2!$A:$V,22,FALSE)</f>
        <v>64.366539768091997</v>
      </c>
      <c r="K9" s="2">
        <f>VLOOKUP($A9&amp;K$1,Plan2!$A:$V,22,FALSE)</f>
        <v>64.971617986355696</v>
      </c>
      <c r="L9" s="2">
        <f>VLOOKUP($A9&amp;L$1,Plan2!$A:$V,22,FALSE)</f>
        <v>55.692286848844901</v>
      </c>
      <c r="M9" s="2">
        <f>VLOOKUP($A9&amp;M$1,Plan2!$A:$V,22,FALSE)</f>
        <v>60.512591328584399</v>
      </c>
      <c r="N9" s="2">
        <f>VLOOKUP($A9&amp;N$1,Plan2!$A:$V,22,FALSE)</f>
        <v>62.453951941906503</v>
      </c>
      <c r="O9" s="2">
        <f>VLOOKUP($A9&amp;O$1,Plan2!$A:$V,22,FALSE)</f>
        <v>62.701975011880499</v>
      </c>
      <c r="P9" s="2">
        <f>VLOOKUP($A9&amp;P$1,Plan2!$A:$V,22,FALSE)</f>
        <v>61.472518903078402</v>
      </c>
      <c r="Q9" s="2">
        <f>VLOOKUP($A9&amp;Q$1,Plan2!$A:$V,22,FALSE)</f>
        <v>60.042605040838303</v>
      </c>
      <c r="R9" s="13" t="str">
        <f>VLOOKUP(A9,ratings!A:E,3,FALSE)</f>
        <v>AA+</v>
      </c>
      <c r="S9" s="13" t="str">
        <f>VLOOKUP(A9,ratings!A:E,4,FALSE)</f>
        <v>Aa1</v>
      </c>
    </row>
    <row r="10" spans="1:19" x14ac:dyDescent="0.25">
      <c r="A10" t="s">
        <v>100</v>
      </c>
      <c r="B10" s="2">
        <f>VLOOKUP($A10&amp;B$1,Plan2!$A:$V,22,FALSE)</f>
        <v>52.494595574660998</v>
      </c>
      <c r="C10" s="2">
        <f>VLOOKUP($A10&amp;C$1,Plan2!$A:$V,22,FALSE)</f>
        <v>56.832025019455799</v>
      </c>
      <c r="D10" s="2">
        <f>VLOOKUP($A10&amp;D$1,Plan2!$A:$V,22,FALSE)</f>
        <v>56.991534672160697</v>
      </c>
      <c r="E10" s="2">
        <f>VLOOKUP($A10&amp;E$1,Plan2!$A:$V,22,FALSE)</f>
        <v>57.535768737839398</v>
      </c>
      <c r="F10" s="2">
        <f>VLOOKUP($A10&amp;F$1,Plan2!$A:$V,22,FALSE)</f>
        <v>58.982818112450801</v>
      </c>
      <c r="G10" s="2">
        <f>VLOOKUP($A10&amp;G$1,Plan2!$A:$V,22,FALSE)</f>
        <v>58.449454578049803</v>
      </c>
      <c r="H10" s="2">
        <f>VLOOKUP($A10&amp;H$1,Plan2!$A:$V,22,FALSE)</f>
        <v>59.239869945165204</v>
      </c>
      <c r="I10" s="2">
        <f>VLOOKUP($A10&amp;I$1,Plan2!$A:$V,22,FALSE)</f>
        <v>60.144725288114401</v>
      </c>
      <c r="J10" s="2">
        <f>VLOOKUP($A10&amp;J$1,Plan2!$A:$V,22,FALSE)</f>
        <v>61.164009795431802</v>
      </c>
      <c r="K10" s="2">
        <f>VLOOKUP($A10&amp;K$1,Plan2!$A:$V,22,FALSE)</f>
        <v>60.728536360071203</v>
      </c>
      <c r="L10" s="2">
        <f>VLOOKUP($A10&amp;L$1,Plan2!$A:$V,22,FALSE)</f>
        <v>54.219573326778502</v>
      </c>
      <c r="M10" s="2">
        <f>VLOOKUP($A10&amp;M$1,Plan2!$A:$V,22,FALSE)</f>
        <v>57.990414588443102</v>
      </c>
      <c r="N10" s="2">
        <f>VLOOKUP($A10&amp;N$1,Plan2!$A:$V,22,FALSE)</f>
        <v>58.002283023209401</v>
      </c>
      <c r="O10" s="2">
        <f>VLOOKUP($A10&amp;O$1,Plan2!$A:$V,22,FALSE)</f>
        <v>57.471436723837897</v>
      </c>
      <c r="P10" s="2">
        <f>VLOOKUP($A10&amp;P$1,Plan2!$A:$V,22,FALSE)</f>
        <v>57.7338313782708</v>
      </c>
      <c r="Q10" s="2">
        <f>VLOOKUP($A10&amp;Q$1,Plan2!$A:$V,22,FALSE)</f>
        <v>56.728894601793201</v>
      </c>
      <c r="R10" s="13" t="str">
        <f>VLOOKUP(A10,ratings!A:E,3,FALSE)</f>
        <v>AAA</v>
      </c>
      <c r="S10" s="13" t="str">
        <f>VLOOKUP(A10,ratings!A:E,4,FALSE)</f>
        <v>Aaa</v>
      </c>
    </row>
    <row r="11" spans="1:19" x14ac:dyDescent="0.25">
      <c r="A11" t="s">
        <v>156</v>
      </c>
      <c r="B11" s="2">
        <f>VLOOKUP($A11&amp;B$1,Plan2!$A:$V,22,FALSE)</f>
        <v>55.265667549785</v>
      </c>
      <c r="C11" s="2">
        <f>VLOOKUP($A11&amp;C$1,Plan2!$A:$V,22,FALSE)</f>
        <v>55.675276296496001</v>
      </c>
      <c r="D11" s="2">
        <f>VLOOKUP($A11&amp;D$1,Plan2!$A:$V,22,FALSE)</f>
        <v>56.264128200598201</v>
      </c>
      <c r="E11" s="2">
        <f>VLOOKUP($A11&amp;E$1,Plan2!$A:$V,22,FALSE)</f>
        <v>58.285867378879203</v>
      </c>
      <c r="F11" s="2">
        <f>VLOOKUP($A11&amp;F$1,Plan2!$A:$V,22,FALSE)</f>
        <v>60.647568762722202</v>
      </c>
      <c r="G11" s="2">
        <f>VLOOKUP($A11&amp;G$1,Plan2!$A:$V,22,FALSE)</f>
        <v>61.088923278822001</v>
      </c>
      <c r="H11" s="2">
        <f>VLOOKUP($A11&amp;H$1,Plan2!$A:$V,22,FALSE)</f>
        <v>62.111125967999797</v>
      </c>
      <c r="I11" s="2">
        <f>VLOOKUP($A11&amp;I$1,Plan2!$A:$V,22,FALSE)</f>
        <v>69.194339631933602</v>
      </c>
      <c r="J11" s="2">
        <f>VLOOKUP($A11&amp;J$1,Plan2!$A:$V,22,FALSE)</f>
        <v>67.556360012115704</v>
      </c>
      <c r="K11" s="2">
        <f>VLOOKUP($A11&amp;K$1,Plan2!$A:$V,22,FALSE)</f>
        <v>65.246127552302397</v>
      </c>
      <c r="L11" s="2">
        <f>VLOOKUP($A11&amp;L$1,Plan2!$A:$V,22,FALSE)</f>
        <v>55.173846452204998</v>
      </c>
      <c r="M11" s="2">
        <f>VLOOKUP($A11&amp;M$1,Plan2!$A:$V,22,FALSE)</f>
        <v>60.088402533495803</v>
      </c>
      <c r="N11" s="2">
        <f>VLOOKUP($A11&amp;N$1,Plan2!$A:$V,22,FALSE)</f>
        <v>59.436170143134298</v>
      </c>
      <c r="O11" s="2">
        <f>VLOOKUP($A11&amp;O$1,Plan2!$A:$V,22,FALSE)</f>
        <v>62.202928757959597</v>
      </c>
      <c r="P11" s="2">
        <f>VLOOKUP($A11&amp;P$1,Plan2!$A:$V,22,FALSE)</f>
        <v>64.115191209380697</v>
      </c>
      <c r="Q11" s="2">
        <f>VLOOKUP($A11&amp;Q$1,Plan2!$A:$V,22,FALSE)</f>
        <v>62.196433384217698</v>
      </c>
      <c r="R11" s="13" t="str">
        <f>VLOOKUP(A11,ratings!A:E,3,FALSE)</f>
        <v>A-</v>
      </c>
      <c r="S11" s="13" t="str">
        <f>VLOOKUP(A11,ratings!A:E,4,FALSE)</f>
        <v>A2</v>
      </c>
    </row>
    <row r="12" spans="1:19" x14ac:dyDescent="0.25">
      <c r="A12" t="s">
        <v>72</v>
      </c>
      <c r="B12" s="2">
        <f>VLOOKUP($A12&amp;B$1,Plan2!$A:$V,22,FALSE)</f>
        <v>48.327286347725803</v>
      </c>
      <c r="C12" s="2">
        <f>VLOOKUP($A12&amp;C$1,Plan2!$A:$V,22,FALSE)</f>
        <v>48.260788073403702</v>
      </c>
      <c r="D12" s="2">
        <f>VLOOKUP($A12&amp;D$1,Plan2!$A:$V,22,FALSE)</f>
        <v>46.350722172207803</v>
      </c>
      <c r="E12" s="2">
        <f>VLOOKUP($A12&amp;E$1,Plan2!$A:$V,22,FALSE)</f>
        <v>43.473898244509101</v>
      </c>
      <c r="F12" s="2">
        <f>VLOOKUP($A12&amp;F$1,Plan2!$A:$V,22,FALSE)</f>
        <v>42.2064261853536</v>
      </c>
      <c r="G12" s="2">
        <f>VLOOKUP($A12&amp;G$1,Plan2!$A:$V,22,FALSE)</f>
        <v>49.441152230579497</v>
      </c>
      <c r="H12" s="2">
        <f>VLOOKUP($A12&amp;H$1,Plan2!$A:$V,22,FALSE)</f>
        <v>50.649865711087898</v>
      </c>
      <c r="I12" s="2">
        <f>VLOOKUP($A12&amp;I$1,Plan2!$A:$V,22,FALSE)</f>
        <v>53.277722656567697</v>
      </c>
      <c r="J12" s="2">
        <f>VLOOKUP($A12&amp;J$1,Plan2!$A:$V,22,FALSE)</f>
        <v>50.773659581483003</v>
      </c>
      <c r="K12" s="2">
        <f>VLOOKUP($A12&amp;K$1,Plan2!$A:$V,22,FALSE)</f>
        <v>55.242162262805401</v>
      </c>
      <c r="L12" s="2">
        <f>VLOOKUP($A12&amp;L$1,Plan2!$A:$V,22,FALSE)</f>
        <v>46.500748889514199</v>
      </c>
      <c r="M12" s="2">
        <f>VLOOKUP($A12&amp;M$1,Plan2!$A:$V,22,FALSE)</f>
        <v>55.701636159405503</v>
      </c>
      <c r="N12" s="2">
        <f>VLOOKUP($A12&amp;N$1,Plan2!$A:$V,22,FALSE)</f>
        <v>60.054918397485899</v>
      </c>
      <c r="O12" s="2">
        <f>VLOOKUP($A12&amp;O$1,Plan2!$A:$V,22,FALSE)</f>
        <v>59.285909029202998</v>
      </c>
      <c r="P12" s="2">
        <f>VLOOKUP($A12&amp;P$1,Plan2!$A:$V,22,FALSE)</f>
        <v>63.131743267161802</v>
      </c>
      <c r="Q12" s="2">
        <f>VLOOKUP($A12&amp;Q$1,Plan2!$A:$V,22,FALSE)</f>
        <v>58.776514563757203</v>
      </c>
      <c r="R12" s="13" t="str">
        <f>VLOOKUP(A12,ratings!A:E,3,FALSE)</f>
        <v>A-</v>
      </c>
      <c r="S12" s="13" t="str">
        <f>VLOOKUP(A12,ratings!A:E,4,FALSE)</f>
        <v>A3</v>
      </c>
    </row>
    <row r="13" spans="1:19" x14ac:dyDescent="0.25">
      <c r="A13" t="s">
        <v>44</v>
      </c>
      <c r="B13" s="2">
        <f>VLOOKUP($A13&amp;B$1,Plan2!$A:$V,22,FALSE)</f>
        <v>55.927539660999599</v>
      </c>
      <c r="C13" s="2">
        <f>VLOOKUP($A13&amp;C$1,Plan2!$A:$V,22,FALSE)</f>
        <v>56.457219955918603</v>
      </c>
      <c r="D13" s="2">
        <f>VLOOKUP($A13&amp;D$1,Plan2!$A:$V,22,FALSE)</f>
        <v>56.306206344815401</v>
      </c>
      <c r="E13" s="2">
        <f>VLOOKUP($A13&amp;E$1,Plan2!$A:$V,22,FALSE)</f>
        <v>57.375796891593701</v>
      </c>
      <c r="F13" s="2">
        <f>VLOOKUP($A13&amp;F$1,Plan2!$A:$V,22,FALSE)</f>
        <v>57.567677445319099</v>
      </c>
      <c r="G13" s="2">
        <f>VLOOKUP($A13&amp;G$1,Plan2!$A:$V,22,FALSE)</f>
        <v>55.998634035281803</v>
      </c>
      <c r="H13" s="2">
        <f>VLOOKUP($A13&amp;H$1,Plan2!$A:$V,22,FALSE)</f>
        <v>55.710334699708703</v>
      </c>
      <c r="I13" s="2">
        <f>VLOOKUP($A13&amp;I$1,Plan2!$A:$V,22,FALSE)</f>
        <v>58.281291636581301</v>
      </c>
      <c r="J13" s="2">
        <f>VLOOKUP($A13&amp;J$1,Plan2!$A:$V,22,FALSE)</f>
        <v>59.032640332316099</v>
      </c>
      <c r="K13" s="2">
        <f>VLOOKUP($A13&amp;K$1,Plan2!$A:$V,22,FALSE)</f>
        <v>58.370132496234802</v>
      </c>
      <c r="L13" s="2">
        <f>VLOOKUP($A13&amp;L$1,Plan2!$A:$V,22,FALSE)</f>
        <v>50.468920809399798</v>
      </c>
      <c r="M13" s="2">
        <f>VLOOKUP($A13&amp;M$1,Plan2!$A:$V,22,FALSE)</f>
        <v>58.503270767937103</v>
      </c>
      <c r="N13" s="2">
        <f>VLOOKUP($A13&amp;N$1,Plan2!$A:$V,22,FALSE)</f>
        <v>59.253583367321397</v>
      </c>
      <c r="O13" s="2">
        <f>VLOOKUP($A13&amp;O$1,Plan2!$A:$V,22,FALSE)</f>
        <v>59.091962368727799</v>
      </c>
      <c r="P13" s="2">
        <f>VLOOKUP($A13&amp;P$1,Plan2!$A:$V,22,FALSE)</f>
        <v>58.726475475075802</v>
      </c>
      <c r="Q13" s="2">
        <f>VLOOKUP($A13&amp;Q$1,Plan2!$A:$V,22,FALSE)</f>
        <v>56.257727008755403</v>
      </c>
      <c r="R13" s="13" t="str">
        <f>VLOOKUP(A13,ratings!A:E,3,FALSE)</f>
        <v>AA-</v>
      </c>
      <c r="S13" s="13" t="str">
        <f>VLOOKUP(A13,ratings!A:E,4,FALSE)</f>
        <v>A1</v>
      </c>
    </row>
    <row r="14" spans="1:19" x14ac:dyDescent="0.25">
      <c r="A14" t="s">
        <v>206</v>
      </c>
      <c r="B14" s="2">
        <f>VLOOKUP($A14&amp;B$1,Plan2!$A:$V,22,FALSE)</f>
        <v>52.158307138371001</v>
      </c>
      <c r="C14" s="2">
        <f>VLOOKUP($A14&amp;C$1,Plan2!$A:$V,22,FALSE)</f>
        <v>51.220946249330801</v>
      </c>
      <c r="D14" s="2">
        <f>VLOOKUP($A14&amp;D$1,Plan2!$A:$V,22,FALSE)</f>
        <v>52.282227430565698</v>
      </c>
      <c r="E14" s="2">
        <f>VLOOKUP($A14&amp;E$1,Plan2!$A:$V,22,FALSE)</f>
        <v>46.864558898207697</v>
      </c>
      <c r="F14" s="2">
        <f>VLOOKUP($A14&amp;F$1,Plan2!$A:$V,22,FALSE)</f>
        <v>52.578023009171503</v>
      </c>
      <c r="G14" s="2">
        <f>VLOOKUP($A14&amp;G$1,Plan2!$A:$V,22,FALSE)</f>
        <v>53.589312612000001</v>
      </c>
      <c r="H14" s="2">
        <f>VLOOKUP($A14&amp;H$1,Plan2!$A:$V,22,FALSE)</f>
        <v>54.649089770169397</v>
      </c>
      <c r="I14" s="2">
        <f>VLOOKUP($A14&amp;I$1,Plan2!$A:$V,22,FALSE)</f>
        <v>58.126726344284499</v>
      </c>
      <c r="J14" s="2">
        <f>VLOOKUP($A14&amp;J$1,Plan2!$A:$V,22,FALSE)</f>
        <v>59.813327187742502</v>
      </c>
      <c r="K14" s="2">
        <f>VLOOKUP($A14&amp;K$1,Plan2!$A:$V,22,FALSE)</f>
        <v>59.718131971266999</v>
      </c>
      <c r="L14" s="2">
        <f>VLOOKUP($A14&amp;L$1,Plan2!$A:$V,22,FALSE)</f>
        <v>51.001340512657997</v>
      </c>
      <c r="M14" s="2">
        <f>VLOOKUP($A14&amp;M$1,Plan2!$A:$V,22,FALSE)</f>
        <v>56.735481682348897</v>
      </c>
      <c r="N14" s="2">
        <f>VLOOKUP($A14&amp;N$1,Plan2!$A:$V,22,FALSE)</f>
        <v>56.6607138239346</v>
      </c>
      <c r="O14" s="2">
        <f>VLOOKUP($A14&amp;O$1,Plan2!$A:$V,22,FALSE)</f>
        <v>57.953685781056102</v>
      </c>
      <c r="P14" s="2">
        <f>VLOOKUP($A14&amp;P$1,Plan2!$A:$V,22,FALSE)</f>
        <v>60.419003853629199</v>
      </c>
      <c r="Q14" s="2">
        <f>VLOOKUP($A14&amp;Q$1,Plan2!$A:$V,22,FALSE)</f>
        <v>57.313197443453198</v>
      </c>
      <c r="R14" s="13" t="str">
        <f>VLOOKUP(A14,ratings!A:E,3,FALSE)</f>
        <v>AA</v>
      </c>
      <c r="S14" s="13" t="str">
        <f>VLOOKUP(A14,ratings!A:E,4,FALSE)</f>
        <v>A2</v>
      </c>
    </row>
    <row r="15" spans="1:19" x14ac:dyDescent="0.25">
      <c r="A15" t="s">
        <v>118</v>
      </c>
      <c r="B15" s="2">
        <f>VLOOKUP($A15&amp;B$1,Plan2!$A:$V,22,FALSE)</f>
        <v>29.129583662456699</v>
      </c>
      <c r="C15" s="2">
        <f>VLOOKUP($A15&amp;C$1,Plan2!$A:$V,22,FALSE)</f>
        <v>41.637997997266098</v>
      </c>
      <c r="D15" s="2">
        <f>VLOOKUP($A15&amp;D$1,Plan2!$A:$V,22,FALSE)</f>
        <v>43.626933024288299</v>
      </c>
      <c r="E15" s="2">
        <f>VLOOKUP($A15&amp;E$1,Plan2!$A:$V,22,FALSE)</f>
        <v>48.496874648572501</v>
      </c>
      <c r="F15" s="2">
        <f>VLOOKUP($A15&amp;F$1,Plan2!$A:$V,22,FALSE)</f>
        <v>54.365943026695099</v>
      </c>
      <c r="G15" s="2">
        <f>VLOOKUP($A15&amp;G$1,Plan2!$A:$V,22,FALSE)</f>
        <v>60.507209155269599</v>
      </c>
      <c r="H15" s="2">
        <f>VLOOKUP($A15&amp;H$1,Plan2!$A:$V,22,FALSE)</f>
        <v>56.287669872644301</v>
      </c>
      <c r="I15" s="2">
        <f>VLOOKUP($A15&amp;I$1,Plan2!$A:$V,22,FALSE)</f>
        <v>60.400688124902302</v>
      </c>
      <c r="J15" s="2">
        <f>VLOOKUP($A15&amp;J$1,Plan2!$A:$V,22,FALSE)</f>
        <v>62.775724654470501</v>
      </c>
      <c r="K15" s="2">
        <f>VLOOKUP($A15&amp;K$1,Plan2!$A:$V,22,FALSE)</f>
        <v>58.636131722225699</v>
      </c>
      <c r="L15" s="2">
        <f>VLOOKUP($A15&amp;L$1,Plan2!$A:$V,22,FALSE)</f>
        <v>58.0850326888797</v>
      </c>
      <c r="M15" s="2">
        <f>VLOOKUP($A15&amp;M$1,Plan2!$A:$V,22,FALSE)</f>
        <v>69.043677501250798</v>
      </c>
      <c r="N15" s="2">
        <f>VLOOKUP($A15&amp;N$1,Plan2!$A:$V,22,FALSE)</f>
        <v>70.740358253156103</v>
      </c>
      <c r="O15" s="2">
        <f>VLOOKUP($A15&amp;O$1,Plan2!$A:$V,22,FALSE)</f>
        <v>69.662435569287098</v>
      </c>
      <c r="P15" s="2">
        <f>VLOOKUP($A15&amp;P$1,Plan2!$A:$V,22,FALSE)</f>
        <v>77.403258275820903</v>
      </c>
      <c r="Q15" s="2">
        <f>VLOOKUP($A15&amp;Q$1,Plan2!$A:$V,22,FALSE)</f>
        <v>65.713327345625203</v>
      </c>
      <c r="R15" s="13" t="str">
        <f>VLOOKUP(A15,ratings!A:E,3,FALSE)</f>
        <v>AA+</v>
      </c>
      <c r="S15" s="13" t="str">
        <f>VLOOKUP(A15,ratings!A:E,4,FALSE)</f>
        <v>Aa3</v>
      </c>
    </row>
    <row r="16" spans="1:19" x14ac:dyDescent="0.25">
      <c r="A16" t="s">
        <v>122</v>
      </c>
      <c r="B16" s="2">
        <f>VLOOKUP($A16&amp;B$1,Plan2!$A:$V,22,FALSE)</f>
        <v>49.554120122113503</v>
      </c>
      <c r="C16" s="2">
        <f>VLOOKUP($A16&amp;C$1,Plan2!$A:$V,22,FALSE)</f>
        <v>50.334134867296598</v>
      </c>
      <c r="D16" s="2">
        <f>VLOOKUP($A16&amp;D$1,Plan2!$A:$V,22,FALSE)</f>
        <v>49.593957430448597</v>
      </c>
      <c r="E16" s="2">
        <f>VLOOKUP($A16&amp;E$1,Plan2!$A:$V,22,FALSE)</f>
        <v>49.538251226130399</v>
      </c>
      <c r="F16" s="2">
        <f>VLOOKUP($A16&amp;F$1,Plan2!$A:$V,22,FALSE)</f>
        <v>49.743888733935698</v>
      </c>
      <c r="G16" s="2">
        <f>VLOOKUP($A16&amp;G$1,Plan2!$A:$V,22,FALSE)</f>
        <v>49.691122034463199</v>
      </c>
      <c r="H16" s="2">
        <f>VLOOKUP($A16&amp;H$1,Plan2!$A:$V,22,FALSE)</f>
        <v>50.257841692573599</v>
      </c>
      <c r="I16" s="2">
        <f>VLOOKUP($A16&amp;I$1,Plan2!$A:$V,22,FALSE)</f>
        <v>50.683866731848298</v>
      </c>
      <c r="J16" s="2">
        <f>VLOOKUP($A16&amp;J$1,Plan2!$A:$V,22,FALSE)</f>
        <v>51.354390055926899</v>
      </c>
      <c r="K16" s="2">
        <f>VLOOKUP($A16&amp;K$1,Plan2!$A:$V,22,FALSE)</f>
        <v>52.500191517043199</v>
      </c>
      <c r="L16" s="2">
        <f>VLOOKUP($A16&amp;L$1,Plan2!$A:$V,22,FALSE)</f>
        <v>44.457113312323202</v>
      </c>
      <c r="M16" s="2">
        <f>VLOOKUP($A16&amp;M$1,Plan2!$A:$V,22,FALSE)</f>
        <v>49.001926299388998</v>
      </c>
      <c r="N16" s="2">
        <f>VLOOKUP($A16&amp;N$1,Plan2!$A:$V,22,FALSE)</f>
        <v>48.750430202822997</v>
      </c>
      <c r="O16" s="2">
        <f>VLOOKUP($A16&amp;O$1,Plan2!$A:$V,22,FALSE)</f>
        <v>49.889671410653001</v>
      </c>
      <c r="P16" s="2">
        <f>VLOOKUP($A16&amp;P$1,Plan2!$A:$V,22,FALSE)</f>
        <v>53.749564788514498</v>
      </c>
      <c r="Q16" s="2">
        <f>VLOOKUP($A16&amp;Q$1,Plan2!$A:$V,22,FALSE)</f>
        <v>52.2544682059754</v>
      </c>
      <c r="R16" s="13" t="str">
        <f>VLOOKUP(A16,ratings!A:E,3,FALSE)</f>
        <v>BBB+</v>
      </c>
      <c r="S16" s="13" t="str">
        <f>VLOOKUP(A16,ratings!A:E,4,FALSE)</f>
        <v>Baa2</v>
      </c>
    </row>
    <row r="17" spans="1:19" x14ac:dyDescent="0.25">
      <c r="A17" t="s">
        <v>110</v>
      </c>
      <c r="B17" s="2">
        <f>VLOOKUP($A17&amp;B$1,Plan2!$A:$V,22,FALSE)</f>
        <v>52.203269880343903</v>
      </c>
      <c r="C17" s="2">
        <f>VLOOKUP($A17&amp;C$1,Plan2!$A:$V,22,FALSE)</f>
        <v>52.512351326970503</v>
      </c>
      <c r="D17" s="2">
        <f>VLOOKUP($A17&amp;D$1,Plan2!$A:$V,22,FALSE)</f>
        <v>55.181832625028498</v>
      </c>
      <c r="E17" s="2">
        <f>VLOOKUP($A17&amp;E$1,Plan2!$A:$V,22,FALSE)</f>
        <v>54.566684439284302</v>
      </c>
      <c r="F17" s="2">
        <f>VLOOKUP($A17&amp;F$1,Plan2!$A:$V,22,FALSE)</f>
        <v>55.2697556656668</v>
      </c>
      <c r="G17" s="2">
        <f>VLOOKUP($A17&amp;G$1,Plan2!$A:$V,22,FALSE)</f>
        <v>57.9913545450501</v>
      </c>
      <c r="H17" s="2">
        <f>VLOOKUP($A17&amp;H$1,Plan2!$A:$V,22,FALSE)</f>
        <v>59.015353320692697</v>
      </c>
      <c r="I17" s="2">
        <f>VLOOKUP($A17&amp;I$1,Plan2!$A:$V,22,FALSE)</f>
        <v>58.637481518560698</v>
      </c>
      <c r="J17" s="2">
        <f>VLOOKUP($A17&amp;J$1,Plan2!$A:$V,22,FALSE)</f>
        <v>58.678407877957198</v>
      </c>
      <c r="K17" s="2">
        <f>VLOOKUP($A17&amp;K$1,Plan2!$A:$V,22,FALSE)</f>
        <v>58.421697072101999</v>
      </c>
      <c r="L17" s="2">
        <f>VLOOKUP($A17&amp;L$1,Plan2!$A:$V,22,FALSE)</f>
        <v>51.444030093643804</v>
      </c>
      <c r="M17" s="2">
        <f>VLOOKUP($A17&amp;M$1,Plan2!$A:$V,22,FALSE)</f>
        <v>53.267858686998999</v>
      </c>
      <c r="N17" s="2">
        <f>VLOOKUP($A17&amp;N$1,Plan2!$A:$V,22,FALSE)</f>
        <v>54.0708896840964</v>
      </c>
      <c r="O17" s="2">
        <f>VLOOKUP($A17&amp;O$1,Plan2!$A:$V,22,FALSE)</f>
        <v>54.328015253108802</v>
      </c>
      <c r="P17" s="2">
        <f>VLOOKUP($A17&amp;P$1,Plan2!$A:$V,22,FALSE)</f>
        <v>56.135593727271797</v>
      </c>
      <c r="Q17" s="2">
        <f>VLOOKUP($A17&amp;Q$1,Plan2!$A:$V,22,FALSE)</f>
        <v>55.934408891796302</v>
      </c>
      <c r="R17" s="13" t="str">
        <f>VLOOKUP(A17,ratings!A:E,3,FALSE)</f>
        <v>BBB-</v>
      </c>
      <c r="S17" s="13" t="str">
        <f>VLOOKUP(A17,ratings!A:E,4,FALSE)</f>
        <v>Baa2</v>
      </c>
    </row>
    <row r="18" spans="1:19" x14ac:dyDescent="0.25">
      <c r="A18" t="s">
        <v>192</v>
      </c>
      <c r="B18" s="2">
        <f>VLOOKUP($A18&amp;B$1,Plan2!$A:$V,22,FALSE)</f>
        <v>39.001266509099899</v>
      </c>
      <c r="C18" s="2">
        <f>VLOOKUP($A18&amp;C$1,Plan2!$A:$V,22,FALSE)</f>
        <v>41.953544390480502</v>
      </c>
      <c r="D18" s="2">
        <f>VLOOKUP($A18&amp;D$1,Plan2!$A:$V,22,FALSE)</f>
        <v>41.677492228328497</v>
      </c>
      <c r="E18" s="2">
        <f>VLOOKUP($A18&amp;E$1,Plan2!$A:$V,22,FALSE)</f>
        <v>44.265979976540798</v>
      </c>
      <c r="F18" s="2">
        <f>VLOOKUP($A18&amp;F$1,Plan2!$A:$V,22,FALSE)</f>
        <v>43.914002003407397</v>
      </c>
      <c r="G18" s="2">
        <f>VLOOKUP($A18&amp;G$1,Plan2!$A:$V,22,FALSE)</f>
        <v>46.408029736236799</v>
      </c>
      <c r="H18" s="2">
        <f>VLOOKUP($A18&amp;H$1,Plan2!$A:$V,22,FALSE)</f>
        <v>48.9696650628198</v>
      </c>
      <c r="I18" s="2">
        <f>VLOOKUP($A18&amp;I$1,Plan2!$A:$V,22,FALSE)</f>
        <v>49.967593724096197</v>
      </c>
      <c r="J18" s="2">
        <f>VLOOKUP($A18&amp;J$1,Plan2!$A:$V,22,FALSE)</f>
        <v>53.075829078417797</v>
      </c>
      <c r="K18" s="2">
        <f>VLOOKUP($A18&amp;K$1,Plan2!$A:$V,22,FALSE)</f>
        <v>53.886059848740302</v>
      </c>
      <c r="L18" s="2">
        <f>VLOOKUP($A18&amp;L$1,Plan2!$A:$V,22,FALSE)</f>
        <v>45.925849771067497</v>
      </c>
      <c r="M18" s="2">
        <f>VLOOKUP($A18&amp;M$1,Plan2!$A:$V,22,FALSE)</f>
        <v>52.0771232472243</v>
      </c>
      <c r="N18" s="2">
        <f>VLOOKUP($A18&amp;N$1,Plan2!$A:$V,22,FALSE)</f>
        <v>55.353165825429699</v>
      </c>
      <c r="O18" s="2">
        <f>VLOOKUP($A18&amp;O$1,Plan2!$A:$V,22,FALSE)</f>
        <v>56.862609308103202</v>
      </c>
      <c r="P18" s="2">
        <f>VLOOKUP($A18&amp;P$1,Plan2!$A:$V,22,FALSE)</f>
        <v>57.4873792886372</v>
      </c>
      <c r="Q18" s="2">
        <f>VLOOKUP($A18&amp;Q$1,Plan2!$A:$V,22,FALSE)</f>
        <v>55.250220107032398</v>
      </c>
      <c r="R18" s="13" t="str">
        <f>VLOOKUP(A18,ratings!A:E,3,FALSE)</f>
        <v>A+</v>
      </c>
      <c r="S18" s="13" t="str">
        <f>VLOOKUP(A18,ratings!A:E,4,FALSE)</f>
        <v>A3</v>
      </c>
    </row>
    <row r="19" spans="1:19" x14ac:dyDescent="0.25">
      <c r="A19" t="s">
        <v>104</v>
      </c>
      <c r="B19" s="2">
        <f>VLOOKUP($A19&amp;B$1,Plan2!$A:$V,22,FALSE)</f>
        <v>34.257535301431197</v>
      </c>
      <c r="C19" s="2">
        <f>VLOOKUP($A19&amp;C$1,Plan2!$A:$V,22,FALSE)</f>
        <v>32.565729715058801</v>
      </c>
      <c r="D19" s="2">
        <f>VLOOKUP($A19&amp;D$1,Plan2!$A:$V,22,FALSE)</f>
        <v>35.591464533521702</v>
      </c>
      <c r="E19" s="2">
        <f>VLOOKUP($A19&amp;E$1,Plan2!$A:$V,22,FALSE)</f>
        <v>38.1692924992782</v>
      </c>
      <c r="F19" s="2">
        <f>VLOOKUP($A19&amp;F$1,Plan2!$A:$V,22,FALSE)</f>
        <v>37.443539309845001</v>
      </c>
      <c r="G19" s="2">
        <f>VLOOKUP($A19&amp;G$1,Plan2!$A:$V,22,FALSE)</f>
        <v>39.2862548071123</v>
      </c>
      <c r="H19" s="2">
        <f>VLOOKUP($A19&amp;H$1,Plan2!$A:$V,22,FALSE)</f>
        <v>42.383641188426097</v>
      </c>
      <c r="I19" s="2">
        <f>VLOOKUP($A19&amp;I$1,Plan2!$A:$V,22,FALSE)</f>
        <v>44.310408093097401</v>
      </c>
      <c r="J19" s="2">
        <f>VLOOKUP($A19&amp;J$1,Plan2!$A:$V,22,FALSE)</f>
        <v>45.059252399830399</v>
      </c>
      <c r="K19" s="2">
        <f>VLOOKUP($A19&amp;K$1,Plan2!$A:$V,22,FALSE)</f>
        <v>45.253729183726598</v>
      </c>
      <c r="L19" s="2">
        <f>VLOOKUP($A19&amp;L$1,Plan2!$A:$V,22,FALSE)</f>
        <v>33.284868328238403</v>
      </c>
      <c r="M19" s="2">
        <f>VLOOKUP($A19&amp;M$1,Plan2!$A:$V,22,FALSE)</f>
        <v>40.749777188028702</v>
      </c>
      <c r="N19" s="2">
        <f>VLOOKUP($A19&amp;N$1,Plan2!$A:$V,22,FALSE)</f>
        <v>46.2450795402791</v>
      </c>
      <c r="O19" s="2">
        <f>VLOOKUP($A19&amp;O$1,Plan2!$A:$V,22,FALSE)</f>
        <v>47.662970157886399</v>
      </c>
      <c r="P19" s="2">
        <f>VLOOKUP($A19&amp;P$1,Plan2!$A:$V,22,FALSE)</f>
        <v>51.704234932968802</v>
      </c>
      <c r="Q19" s="2">
        <f>VLOOKUP($A19&amp;Q$1,Plan2!$A:$V,22,FALSE)</f>
        <v>51.152528831545602</v>
      </c>
      <c r="R19" s="13" t="str">
        <f>VLOOKUP(A19,ratings!A:E,3,FALSE)</f>
        <v>BBB</v>
      </c>
      <c r="S19" s="13" t="str">
        <f>VLOOKUP(A19,ratings!A:E,4,FALSE)</f>
        <v>Baa3</v>
      </c>
    </row>
    <row r="20" spans="1:19" x14ac:dyDescent="0.25">
      <c r="A20" t="s">
        <v>216</v>
      </c>
      <c r="B20" s="2">
        <f>VLOOKUP($A20&amp;B$1,Plan2!$A:$V,22,FALSE)</f>
        <v>56.532456280744803</v>
      </c>
      <c r="C20" s="2">
        <f>VLOOKUP($A20&amp;C$1,Plan2!$A:$V,22,FALSE)</f>
        <v>56.942231828147698</v>
      </c>
      <c r="D20" s="2">
        <f>VLOOKUP($A20&amp;D$1,Plan2!$A:$V,22,FALSE)</f>
        <v>55.013461434853198</v>
      </c>
      <c r="E20" s="2">
        <f>VLOOKUP($A20&amp;E$1,Plan2!$A:$V,22,FALSE)</f>
        <v>55.209399127462497</v>
      </c>
      <c r="F20" s="2">
        <f>VLOOKUP($A20&amp;F$1,Plan2!$A:$V,22,FALSE)</f>
        <v>54.473863786916702</v>
      </c>
      <c r="G20" s="2">
        <f>VLOOKUP($A20&amp;G$1,Plan2!$A:$V,22,FALSE)</f>
        <v>54.953517955717203</v>
      </c>
      <c r="H20" s="2">
        <f>VLOOKUP($A20&amp;H$1,Plan2!$A:$V,22,FALSE)</f>
        <v>55.686976285268102</v>
      </c>
      <c r="I20" s="2">
        <f>VLOOKUP($A20&amp;I$1,Plan2!$A:$V,22,FALSE)</f>
        <v>56.417048136799004</v>
      </c>
      <c r="J20" s="2">
        <f>VLOOKUP($A20&amp;J$1,Plan2!$A:$V,22,FALSE)</f>
        <v>56.272366059908599</v>
      </c>
      <c r="K20" s="2">
        <f>VLOOKUP($A20&amp;K$1,Plan2!$A:$V,22,FALSE)</f>
        <v>57.356783469778399</v>
      </c>
      <c r="L20" s="2">
        <f>VLOOKUP($A20&amp;L$1,Plan2!$A:$V,22,FALSE)</f>
        <v>52.927177532384697</v>
      </c>
      <c r="M20" s="2">
        <f>VLOOKUP($A20&amp;M$1,Plan2!$A:$V,22,FALSE)</f>
        <v>58.349075356780503</v>
      </c>
      <c r="N20" s="2">
        <f>VLOOKUP($A20&amp;N$1,Plan2!$A:$V,22,FALSE)</f>
        <v>58.579097331475801</v>
      </c>
      <c r="O20" s="2">
        <f>VLOOKUP($A20&amp;O$1,Plan2!$A:$V,22,FALSE)</f>
        <v>57.094298255531797</v>
      </c>
      <c r="P20" s="2">
        <f>VLOOKUP($A20&amp;P$1,Plan2!$A:$V,22,FALSE)</f>
        <v>56.574674724337399</v>
      </c>
      <c r="Q20" s="2">
        <f>VLOOKUP($A20&amp;Q$1,Plan2!$A:$V,22,FALSE)</f>
        <v>55.206112086608002</v>
      </c>
      <c r="R20" s="13" t="str">
        <f>VLOOKUP(A20,ratings!A:E,3,FALSE)</f>
        <v>AAA</v>
      </c>
      <c r="S20" s="13" t="str">
        <f>VLOOKUP(A20,ratings!A:E,4,FALSE)</f>
        <v>Aaa</v>
      </c>
    </row>
    <row r="21" spans="1:19" x14ac:dyDescent="0.25">
      <c r="A21" t="s">
        <v>92</v>
      </c>
      <c r="B21" s="2">
        <f>VLOOKUP($A21&amp;B$1,Plan2!$A:$V,22,FALSE)</f>
        <v>52.0185621334304</v>
      </c>
      <c r="C21" s="2">
        <f>VLOOKUP($A21&amp;C$1,Plan2!$A:$V,22,FALSE)</f>
        <v>53.9659080801068</v>
      </c>
      <c r="D21" s="2">
        <f>VLOOKUP($A21&amp;D$1,Plan2!$A:$V,22,FALSE)</f>
        <v>51.663254543336699</v>
      </c>
      <c r="E21" s="2">
        <f>VLOOKUP($A21&amp;E$1,Plan2!$A:$V,22,FALSE)</f>
        <v>51.766136749272498</v>
      </c>
      <c r="F21" s="2">
        <f>VLOOKUP($A21&amp;F$1,Plan2!$A:$V,22,FALSE)</f>
        <v>51.254331202183998</v>
      </c>
      <c r="G21" s="2">
        <f>VLOOKUP($A21&amp;G$1,Plan2!$A:$V,22,FALSE)</f>
        <v>50.271165747858902</v>
      </c>
      <c r="H21" s="2">
        <f>VLOOKUP($A21&amp;H$1,Plan2!$A:$V,22,FALSE)</f>
        <v>52.441816080117199</v>
      </c>
      <c r="I21" s="2">
        <f>VLOOKUP($A21&amp;I$1,Plan2!$A:$V,22,FALSE)</f>
        <v>54.059158640057603</v>
      </c>
      <c r="J21" s="2">
        <f>VLOOKUP($A21&amp;J$1,Plan2!$A:$V,22,FALSE)</f>
        <v>54.434025949164003</v>
      </c>
      <c r="K21" s="2">
        <f>VLOOKUP($A21&amp;K$1,Plan2!$A:$V,22,FALSE)</f>
        <v>54.886816675528202</v>
      </c>
      <c r="L21" s="2">
        <f>VLOOKUP($A21&amp;L$1,Plan2!$A:$V,22,FALSE)</f>
        <v>49.49546636689</v>
      </c>
      <c r="M21" s="2">
        <f>VLOOKUP($A21&amp;M$1,Plan2!$A:$V,22,FALSE)</f>
        <v>54.359534483930702</v>
      </c>
      <c r="N21" s="2">
        <f>VLOOKUP($A21&amp;N$1,Plan2!$A:$V,22,FALSE)</f>
        <v>57.8141221088256</v>
      </c>
      <c r="O21" s="2">
        <f>VLOOKUP($A21&amp;O$1,Plan2!$A:$V,22,FALSE)</f>
        <v>57.751597178401603</v>
      </c>
      <c r="P21" s="2">
        <f>VLOOKUP($A21&amp;P$1,Plan2!$A:$V,22,FALSE)</f>
        <v>55.400651845309802</v>
      </c>
      <c r="Q21" s="2">
        <f>VLOOKUP($A21&amp;Q$1,Plan2!$A:$V,22,FALSE)</f>
        <v>52.332902956446802</v>
      </c>
      <c r="R21" s="13" t="str">
        <f>VLOOKUP(A21,ratings!A:E,3,FALSE)</f>
        <v>AA+</v>
      </c>
      <c r="S21" s="13" t="str">
        <f>VLOOKUP(A21,ratings!A:E,4,FALSE)</f>
        <v>Aa1</v>
      </c>
    </row>
    <row r="22" spans="1:19" x14ac:dyDescent="0.25">
      <c r="A22" t="s">
        <v>112</v>
      </c>
      <c r="B22" s="2">
        <f>VLOOKUP($A22&amp;B$1,Plan2!$A:$V,22,FALSE)</f>
        <v>42.905252942252098</v>
      </c>
      <c r="C22" s="2">
        <f>VLOOKUP($A22&amp;C$1,Plan2!$A:$V,22,FALSE)</f>
        <v>45.641531364262399</v>
      </c>
      <c r="D22" s="2">
        <f>VLOOKUP($A22&amp;D$1,Plan2!$A:$V,22,FALSE)</f>
        <v>48.5689819073934</v>
      </c>
      <c r="E22" s="2">
        <f>VLOOKUP($A22&amp;E$1,Plan2!$A:$V,22,FALSE)</f>
        <v>53.223304878306799</v>
      </c>
      <c r="F22" s="2">
        <f>VLOOKUP($A22&amp;F$1,Plan2!$A:$V,22,FALSE)</f>
        <v>55.175704268719798</v>
      </c>
      <c r="G22" s="2">
        <f>VLOOKUP($A22&amp;G$1,Plan2!$A:$V,22,FALSE)</f>
        <v>55.453349729610999</v>
      </c>
      <c r="H22" s="2">
        <f>VLOOKUP($A22&amp;H$1,Plan2!$A:$V,22,FALSE)</f>
        <v>74.369562139056399</v>
      </c>
      <c r="I22" s="2">
        <f>VLOOKUP($A22&amp;I$1,Plan2!$A:$V,22,FALSE)</f>
        <v>61.1284308395932</v>
      </c>
      <c r="J22" s="2">
        <f>VLOOKUP($A22&amp;J$1,Plan2!$A:$V,22,FALSE)</f>
        <v>61.708307024621497</v>
      </c>
      <c r="K22" s="2">
        <f>VLOOKUP($A22&amp;K$1,Plan2!$A:$V,22,FALSE)</f>
        <v>57.668687168586402</v>
      </c>
      <c r="L22" s="2">
        <f>VLOOKUP($A22&amp;L$1,Plan2!$A:$V,22,FALSE)</f>
        <v>46.155913799518302</v>
      </c>
      <c r="M22" s="2">
        <f>VLOOKUP($A22&amp;M$1,Plan2!$A:$V,22,FALSE)</f>
        <v>49.536316087458196</v>
      </c>
      <c r="N22" s="2">
        <f>VLOOKUP($A22&amp;N$1,Plan2!$A:$V,22,FALSE)</f>
        <v>56.695616070142599</v>
      </c>
      <c r="O22" s="2">
        <f>VLOOKUP($A22&amp;O$1,Plan2!$A:$V,22,FALSE)</f>
        <v>59.094171009639901</v>
      </c>
      <c r="P22" s="2">
        <f>VLOOKUP($A22&amp;P$1,Plan2!$A:$V,22,FALSE)</f>
        <v>57.392842023486402</v>
      </c>
      <c r="Q22" s="2">
        <f>VLOOKUP($A22&amp;Q$1,Plan2!$A:$V,22,FALSE)</f>
        <v>56.205308251381702</v>
      </c>
      <c r="R22" s="13" t="str">
        <f>VLOOKUP(A22,ratings!A:E,3,FALSE)</f>
        <v>A+</v>
      </c>
      <c r="S22" s="13" t="str">
        <f>VLOOKUP(A22,ratings!A:E,4,FALSE)</f>
        <v>A1</v>
      </c>
    </row>
    <row r="23" spans="1:19" x14ac:dyDescent="0.25">
      <c r="A23" t="s">
        <v>74</v>
      </c>
      <c r="B23" s="2">
        <f>VLOOKUP($A23&amp;B$1,Plan2!$A:$V,22,FALSE)</f>
        <v>48.783780146314797</v>
      </c>
      <c r="C23" s="2">
        <f>VLOOKUP($A23&amp;C$1,Plan2!$A:$V,22,FALSE)</f>
        <v>50.872504776588102</v>
      </c>
      <c r="D23" s="2">
        <f>VLOOKUP($A23&amp;D$1,Plan2!$A:$V,22,FALSE)</f>
        <v>49.993038417094901</v>
      </c>
      <c r="E23" s="2">
        <f>VLOOKUP($A23&amp;E$1,Plan2!$A:$V,22,FALSE)</f>
        <v>52.721833061196001</v>
      </c>
      <c r="F23" s="2">
        <f>VLOOKUP($A23&amp;F$1,Plan2!$A:$V,22,FALSE)</f>
        <v>53.051110328824201</v>
      </c>
      <c r="G23" s="2">
        <f>VLOOKUP($A23&amp;G$1,Plan2!$A:$V,22,FALSE)</f>
        <v>54.802396286198501</v>
      </c>
      <c r="H23" s="2">
        <f>VLOOKUP($A23&amp;H$1,Plan2!$A:$V,22,FALSE)</f>
        <v>56.631400895220303</v>
      </c>
      <c r="I23" s="2">
        <f>VLOOKUP($A23&amp;I$1,Plan2!$A:$V,22,FALSE)</f>
        <v>60.2163614611542</v>
      </c>
      <c r="J23" s="2">
        <f>VLOOKUP($A23&amp;J$1,Plan2!$A:$V,22,FALSE)</f>
        <v>59.700165678456401</v>
      </c>
      <c r="K23" s="2">
        <f>VLOOKUP($A23&amp;K$1,Plan2!$A:$V,22,FALSE)</f>
        <v>59.2553476263191</v>
      </c>
      <c r="L23" s="2">
        <f>VLOOKUP($A23&amp;L$1,Plan2!$A:$V,22,FALSE)</f>
        <v>52.880262761698397</v>
      </c>
      <c r="M23" s="2">
        <f>VLOOKUP($A23&amp;M$1,Plan2!$A:$V,22,FALSE)</f>
        <v>55.082121298675098</v>
      </c>
      <c r="N23" s="2">
        <f>VLOOKUP($A23&amp;N$1,Plan2!$A:$V,22,FALSE)</f>
        <v>55.151942378956399</v>
      </c>
      <c r="O23" s="2">
        <f>VLOOKUP($A23&amp;O$1,Plan2!$A:$V,22,FALSE)</f>
        <v>55.107240512620599</v>
      </c>
      <c r="P23" s="2">
        <f>VLOOKUP($A23&amp;P$1,Plan2!$A:$V,22,FALSE)</f>
        <v>57.530783564637296</v>
      </c>
      <c r="Q23" s="2">
        <f>VLOOKUP($A23&amp;Q$1,Plan2!$A:$V,22,FALSE)</f>
        <v>55.573985684431499</v>
      </c>
      <c r="R23" s="13" t="str">
        <f>VLOOKUP(A23,ratings!A:E,3,FALSE)</f>
        <v>AA-</v>
      </c>
      <c r="S23" s="13" t="str">
        <f>VLOOKUP(A23,ratings!A:E,4,FALSE)</f>
        <v>Aa3</v>
      </c>
    </row>
    <row r="24" spans="1:19" x14ac:dyDescent="0.25">
      <c r="A24" t="s">
        <v>94</v>
      </c>
      <c r="B24" s="2">
        <f>VLOOKUP($A24&amp;B$1,Plan2!$A:$V,22,FALSE)</f>
        <v>47.822763791772601</v>
      </c>
      <c r="C24" s="2">
        <f>VLOOKUP($A24&amp;C$1,Plan2!$A:$V,22,FALSE)</f>
        <v>49.608838866811197</v>
      </c>
      <c r="D24" s="2">
        <f>VLOOKUP($A24&amp;D$1,Plan2!$A:$V,22,FALSE)</f>
        <v>48.875145737077297</v>
      </c>
      <c r="E24" s="2">
        <f>VLOOKUP($A24&amp;E$1,Plan2!$A:$V,22,FALSE)</f>
        <v>49.647081723767201</v>
      </c>
      <c r="F24" s="2">
        <f>VLOOKUP($A24&amp;F$1,Plan2!$A:$V,22,FALSE)</f>
        <v>49.904596095047602</v>
      </c>
      <c r="G24" s="2">
        <f>VLOOKUP($A24&amp;G$1,Plan2!$A:$V,22,FALSE)</f>
        <v>49.506474899328403</v>
      </c>
      <c r="H24" s="2">
        <f>VLOOKUP($A24&amp;H$1,Plan2!$A:$V,22,FALSE)</f>
        <v>49.633296527299102</v>
      </c>
      <c r="I24" s="2">
        <f>VLOOKUP($A24&amp;I$1,Plan2!$A:$V,22,FALSE)</f>
        <v>50.996832443043701</v>
      </c>
      <c r="J24" s="2">
        <f>VLOOKUP($A24&amp;J$1,Plan2!$A:$V,22,FALSE)</f>
        <v>52.174263082966498</v>
      </c>
      <c r="K24" s="2">
        <f>VLOOKUP($A24&amp;K$1,Plan2!$A:$V,22,FALSE)</f>
        <v>52.078493467646403</v>
      </c>
      <c r="L24" s="2">
        <f>VLOOKUP($A24&amp;L$1,Plan2!$A:$V,22,FALSE)</f>
        <v>47.076057615497099</v>
      </c>
      <c r="M24" s="2">
        <f>VLOOKUP($A24&amp;M$1,Plan2!$A:$V,22,FALSE)</f>
        <v>52.962706354849203</v>
      </c>
      <c r="N24" s="2">
        <f>VLOOKUP($A24&amp;N$1,Plan2!$A:$V,22,FALSE)</f>
        <v>53.804560393151498</v>
      </c>
      <c r="O24" s="2">
        <f>VLOOKUP($A24&amp;O$1,Plan2!$A:$V,22,FALSE)</f>
        <v>52.931375673465404</v>
      </c>
      <c r="P24" s="2">
        <f>VLOOKUP($A24&amp;P$1,Plan2!$A:$V,22,FALSE)</f>
        <v>53.281069223479399</v>
      </c>
      <c r="Q24" s="2">
        <f>VLOOKUP($A24&amp;Q$1,Plan2!$A:$V,22,FALSE)</f>
        <v>52.230119830848999</v>
      </c>
      <c r="R24" s="13" t="str">
        <f>VLOOKUP(A24,ratings!A:E,3,FALSE)</f>
        <v>A+</v>
      </c>
      <c r="S24" s="13" t="str">
        <f>VLOOKUP(A24,ratings!A:E,4,FALSE)</f>
        <v>Aa3</v>
      </c>
    </row>
    <row r="25" spans="1:19" x14ac:dyDescent="0.25">
      <c r="A25" t="s">
        <v>34</v>
      </c>
      <c r="B25" s="2">
        <f>VLOOKUP($A25&amp;B$1,Plan2!$A:$V,22,FALSE)</f>
        <v>66.956673075044407</v>
      </c>
      <c r="C25" s="2">
        <f>VLOOKUP($A25&amp;C$1,Plan2!$A:$V,22,FALSE)</f>
        <v>62.985617582352901</v>
      </c>
      <c r="D25" s="2">
        <f>VLOOKUP($A25&amp;D$1,Plan2!$A:$V,22,FALSE)</f>
        <v>56.076929062532997</v>
      </c>
      <c r="E25" s="2">
        <f>VLOOKUP($A25&amp;E$1,Plan2!$A:$V,22,FALSE)</f>
        <v>53.661267606277796</v>
      </c>
      <c r="F25" s="2">
        <f>VLOOKUP($A25&amp;F$1,Plan2!$A:$V,22,FALSE)</f>
        <v>52.7598605753454</v>
      </c>
      <c r="G25" s="2">
        <f>VLOOKUP($A25&amp;G$1,Plan2!$A:$V,22,FALSE)</f>
        <v>40.600317151996897</v>
      </c>
      <c r="H25" s="2">
        <f>VLOOKUP($A25&amp;H$1,Plan2!$A:$V,22,FALSE)</f>
        <v>43.222292476712497</v>
      </c>
      <c r="I25" s="2">
        <f>VLOOKUP($A25&amp;I$1,Plan2!$A:$V,22,FALSE)</f>
        <v>45.257159020077601</v>
      </c>
      <c r="J25" s="2">
        <f>VLOOKUP($A25&amp;J$1,Plan2!$A:$V,22,FALSE)</f>
        <v>53.675513578846299</v>
      </c>
      <c r="K25" s="2">
        <f>VLOOKUP($A25&amp;K$1,Plan2!$A:$V,22,FALSE)</f>
        <v>57.2313555743889</v>
      </c>
      <c r="L25" s="2">
        <f>VLOOKUP($A25&amp;L$1,Plan2!$A:$V,22,FALSE)</f>
        <v>38.710581909348598</v>
      </c>
      <c r="M25" s="2">
        <f>VLOOKUP($A25&amp;M$1,Plan2!$A:$V,22,FALSE)</f>
        <v>53.318772980441302</v>
      </c>
      <c r="N25" s="2">
        <f>VLOOKUP($A25&amp;N$1,Plan2!$A:$V,22,FALSE)</f>
        <v>59.265899180298597</v>
      </c>
      <c r="O25" s="2">
        <f>VLOOKUP($A25&amp;O$1,Plan2!$A:$V,22,FALSE)</f>
        <v>56.486803298821997</v>
      </c>
      <c r="P25" s="2">
        <f>VLOOKUP($A25&amp;P$1,Plan2!$A:$V,22,FALSE)</f>
        <v>52.6831617089342</v>
      </c>
      <c r="Q25" s="2">
        <f>VLOOKUP($A25&amp;Q$1,Plan2!$A:$V,22,FALSE)</f>
        <v>51.039695079446503</v>
      </c>
      <c r="R25" s="13" t="str">
        <f>VLOOKUP(A25,ratings!A:E,3,FALSE)</f>
        <v>-</v>
      </c>
      <c r="S25" s="13" t="str">
        <f>VLOOKUP(A25,ratings!A:E,4,FALSE)</f>
        <v>Baa3</v>
      </c>
    </row>
    <row r="26" spans="1:19" x14ac:dyDescent="0.25">
      <c r="A26" t="s">
        <v>86</v>
      </c>
      <c r="B26" s="2">
        <f>VLOOKUP($A26&amp;B$1,Plan2!$A:$V,22,FALSE)</f>
        <v>50.726548765276902</v>
      </c>
      <c r="C26" s="2">
        <f>VLOOKUP($A26&amp;C$1,Plan2!$A:$V,22,FALSE)</f>
        <v>54.214945835316698</v>
      </c>
      <c r="D26" s="2">
        <f>VLOOKUP($A26&amp;D$1,Plan2!$A:$V,22,FALSE)</f>
        <v>52.7272962276801</v>
      </c>
      <c r="E26" s="2">
        <f>VLOOKUP($A26&amp;E$1,Plan2!$A:$V,22,FALSE)</f>
        <v>53.429229343893397</v>
      </c>
      <c r="F26" s="2">
        <f>VLOOKUP($A26&amp;F$1,Plan2!$A:$V,22,FALSE)</f>
        <v>55.361383575103197</v>
      </c>
      <c r="G26" s="2">
        <f>VLOOKUP($A26&amp;G$1,Plan2!$A:$V,22,FALSE)</f>
        <v>54.828232177587303</v>
      </c>
      <c r="H26" s="2">
        <f>VLOOKUP($A26&amp;H$1,Plan2!$A:$V,22,FALSE)</f>
        <v>54.5577886386858</v>
      </c>
      <c r="I26" s="2">
        <f>VLOOKUP($A26&amp;I$1,Plan2!$A:$V,22,FALSE)</f>
        <v>55.101221002688902</v>
      </c>
      <c r="J26" s="2">
        <f>VLOOKUP($A26&amp;J$1,Plan2!$A:$V,22,FALSE)</f>
        <v>54.828325121468502</v>
      </c>
      <c r="K26" s="2">
        <f>VLOOKUP($A26&amp;K$1,Plan2!$A:$V,22,FALSE)</f>
        <v>56.6267709792535</v>
      </c>
      <c r="L26" s="2">
        <f>VLOOKUP($A26&amp;L$1,Plan2!$A:$V,22,FALSE)</f>
        <v>48.971341871495703</v>
      </c>
      <c r="M26" s="2">
        <f>VLOOKUP($A26&amp;M$1,Plan2!$A:$V,22,FALSE)</f>
        <v>55.038168972542302</v>
      </c>
      <c r="N26" s="2">
        <f>VLOOKUP($A26&amp;N$1,Plan2!$A:$V,22,FALSE)</f>
        <v>55.170555762100797</v>
      </c>
      <c r="O26" s="2">
        <f>VLOOKUP($A26&amp;O$1,Plan2!$A:$V,22,FALSE)</f>
        <v>53.310338032206197</v>
      </c>
      <c r="P26" s="2">
        <f>VLOOKUP($A26&amp;P$1,Plan2!$A:$V,22,FALSE)</f>
        <v>55.0480461083649</v>
      </c>
      <c r="Q26" s="2">
        <f>VLOOKUP($A26&amp;Q$1,Plan2!$A:$V,22,FALSE)</f>
        <v>52.833360691650803</v>
      </c>
      <c r="R26" s="13" t="str">
        <f>VLOOKUP(A26,ratings!A:E,3,FALSE)</f>
        <v>NR</v>
      </c>
      <c r="S26" s="13" t="str">
        <f>VLOOKUP(A26,ratings!A:E,4,FALSE)</f>
        <v>A1</v>
      </c>
    </row>
    <row r="27" spans="1:19" x14ac:dyDescent="0.25">
      <c r="A27" t="s">
        <v>42</v>
      </c>
      <c r="B27" s="2">
        <f>VLOOKUP($A27&amp;B$1,Plan2!$A:$V,22,FALSE)</f>
        <v>42.613132799253002</v>
      </c>
      <c r="C27" s="2">
        <f>VLOOKUP($A27&amp;C$1,Plan2!$A:$V,22,FALSE)</f>
        <v>44.852427578653298</v>
      </c>
      <c r="D27" s="2">
        <f>VLOOKUP($A27&amp;D$1,Plan2!$A:$V,22,FALSE)</f>
        <v>48.514605878872104</v>
      </c>
      <c r="E27" s="2">
        <f>VLOOKUP($A27&amp;E$1,Plan2!$A:$V,22,FALSE)</f>
        <v>44.5601990967631</v>
      </c>
      <c r="F27" s="2">
        <f>VLOOKUP($A27&amp;F$1,Plan2!$A:$V,22,FALSE)</f>
        <v>45.458121407817401</v>
      </c>
      <c r="G27" s="2">
        <f>VLOOKUP($A27&amp;G$1,Plan2!$A:$V,22,FALSE)</f>
        <v>42.896975755588301</v>
      </c>
      <c r="H27" s="2">
        <f>VLOOKUP($A27&amp;H$1,Plan2!$A:$V,22,FALSE)</f>
        <v>44.558448443323698</v>
      </c>
      <c r="I27" s="2">
        <f>VLOOKUP($A27&amp;I$1,Plan2!$A:$V,22,FALSE)</f>
        <v>47.392964164895403</v>
      </c>
      <c r="J27" s="2">
        <f>VLOOKUP($A27&amp;J$1,Plan2!$A:$V,22,FALSE)</f>
        <v>50.652008439946499</v>
      </c>
      <c r="K27" s="2">
        <f>VLOOKUP($A27&amp;K$1,Plan2!$A:$V,22,FALSE)</f>
        <v>49.1239752731449</v>
      </c>
      <c r="L27" s="2">
        <f>VLOOKUP($A27&amp;L$1,Plan2!$A:$V,22,FALSE)</f>
        <v>44.899612557448698</v>
      </c>
      <c r="M27" s="2">
        <f>VLOOKUP($A27&amp;M$1,Plan2!$A:$V,22,FALSE)</f>
        <v>49.487861057184602</v>
      </c>
      <c r="N27" s="2">
        <f>VLOOKUP($A27&amp;N$1,Plan2!$A:$V,22,FALSE)</f>
        <v>48.0063578667611</v>
      </c>
      <c r="O27" s="2">
        <f>VLOOKUP($A27&amp;O$1,Plan2!$A:$V,22,FALSE)</f>
        <v>52.437875447804601</v>
      </c>
      <c r="P27" s="2">
        <f>VLOOKUP($A27&amp;P$1,Plan2!$A:$V,22,FALSE)</f>
        <v>52.090084666046799</v>
      </c>
      <c r="Q27" s="2">
        <f>VLOOKUP($A27&amp;Q$1,Plan2!$A:$V,22,FALSE)</f>
        <v>51.1603336216073</v>
      </c>
      <c r="R27" s="13" t="str">
        <f>VLOOKUP(A27,ratings!A:E,3,FALSE)</f>
        <v>NR</v>
      </c>
      <c r="S27" s="13" t="str">
        <f>VLOOKUP(A27,ratings!A:E,4,FALSE)</f>
        <v>C</v>
      </c>
    </row>
    <row r="28" spans="1:19" x14ac:dyDescent="0.25">
      <c r="A28" t="s">
        <v>204</v>
      </c>
      <c r="B28" s="2">
        <f>VLOOKUP($A28&amp;B$1,Plan2!$A:$V,22,FALSE)</f>
        <v>44.222672528557602</v>
      </c>
      <c r="C28" s="2">
        <f>VLOOKUP($A28&amp;C$1,Plan2!$A:$V,22,FALSE)</f>
        <v>47.494367986895497</v>
      </c>
      <c r="D28" s="2">
        <f>VLOOKUP($A28&amp;D$1,Plan2!$A:$V,22,FALSE)</f>
        <v>48.142746597023901</v>
      </c>
      <c r="E28" s="2">
        <f>VLOOKUP($A28&amp;E$1,Plan2!$A:$V,22,FALSE)</f>
        <v>50.270211476033701</v>
      </c>
      <c r="F28" s="2">
        <f>VLOOKUP($A28&amp;F$1,Plan2!$A:$V,22,FALSE)</f>
        <v>51.3949540842722</v>
      </c>
      <c r="G28" s="2">
        <f>VLOOKUP($A28&amp;G$1,Plan2!$A:$V,22,FALSE)</f>
        <v>52.1206926223946</v>
      </c>
      <c r="H28" s="2">
        <f>VLOOKUP($A28&amp;H$1,Plan2!$A:$V,22,FALSE)</f>
        <v>51.734916329659498</v>
      </c>
      <c r="I28" s="2">
        <f>VLOOKUP($A28&amp;I$1,Plan2!$A:$V,22,FALSE)</f>
        <v>54.071115032756303</v>
      </c>
      <c r="J28" s="2">
        <f>VLOOKUP($A28&amp;J$1,Plan2!$A:$V,22,FALSE)</f>
        <v>55.383607375370602</v>
      </c>
      <c r="K28" s="2">
        <f>VLOOKUP($A28&amp;K$1,Plan2!$A:$V,22,FALSE)</f>
        <v>55.086006205622098</v>
      </c>
      <c r="L28" s="2">
        <f>VLOOKUP($A28&amp;L$1,Plan2!$A:$V,22,FALSE)</f>
        <v>50.384659344623202</v>
      </c>
      <c r="M28" s="2">
        <f>VLOOKUP($A28&amp;M$1,Plan2!$A:$V,22,FALSE)</f>
        <v>53.454604316902099</v>
      </c>
      <c r="N28" s="2">
        <f>VLOOKUP($A28&amp;N$1,Plan2!$A:$V,22,FALSE)</f>
        <v>55.583120947467599</v>
      </c>
      <c r="O28" s="2">
        <f>VLOOKUP($A28&amp;O$1,Plan2!$A:$V,22,FALSE)</f>
        <v>54.419516911629501</v>
      </c>
      <c r="P28" s="2">
        <f>VLOOKUP($A28&amp;P$1,Plan2!$A:$V,22,FALSE)</f>
        <v>53.626482778516703</v>
      </c>
      <c r="Q28" s="2">
        <f>VLOOKUP($A28&amp;Q$1,Plan2!$A:$V,22,FALSE)</f>
        <v>52.487553044891598</v>
      </c>
      <c r="R28" s="13" t="str">
        <f>VLOOKUP(A28,ratings!A:E,3,FALSE)</f>
        <v>A</v>
      </c>
      <c r="S28" s="13" t="str">
        <f>VLOOKUP(A28,ratings!A:E,4,FALSE)</f>
        <v>A3</v>
      </c>
    </row>
    <row r="29" spans="1:19" x14ac:dyDescent="0.25">
      <c r="A29" t="s">
        <v>70</v>
      </c>
      <c r="B29" s="2">
        <f>VLOOKUP($A29&amp;B$1,Plan2!$A:$V,22,FALSE)</f>
        <v>41.046716807755402</v>
      </c>
      <c r="C29" s="2">
        <f>VLOOKUP($A29&amp;C$1,Plan2!$A:$V,22,FALSE)</f>
        <v>39.7830396326802</v>
      </c>
      <c r="D29" s="2">
        <f>VLOOKUP($A29&amp;D$1,Plan2!$A:$V,22,FALSE)</f>
        <v>39.7633746664672</v>
      </c>
      <c r="E29" s="2">
        <f>VLOOKUP($A29&amp;E$1,Plan2!$A:$V,22,FALSE)</f>
        <v>39.936333712536602</v>
      </c>
      <c r="F29" s="2">
        <f>VLOOKUP($A29&amp;F$1,Plan2!$A:$V,22,FALSE)</f>
        <v>40.888558740721201</v>
      </c>
      <c r="G29" s="2">
        <f>VLOOKUP($A29&amp;G$1,Plan2!$A:$V,22,FALSE)</f>
        <v>43.998963443222699</v>
      </c>
      <c r="H29" s="2">
        <f>VLOOKUP($A29&amp;H$1,Plan2!$A:$V,22,FALSE)</f>
        <v>47.722049726436502</v>
      </c>
      <c r="I29" s="2">
        <f>VLOOKUP($A29&amp;I$1,Plan2!$A:$V,22,FALSE)</f>
        <v>50.785611760781201</v>
      </c>
      <c r="J29" s="2">
        <f>VLOOKUP($A29&amp;J$1,Plan2!$A:$V,22,FALSE)</f>
        <v>50.9182599169675</v>
      </c>
      <c r="K29" s="2">
        <f>VLOOKUP($A29&amp;K$1,Plan2!$A:$V,22,FALSE)</f>
        <v>54.2920217068285</v>
      </c>
      <c r="L29" s="2">
        <f>VLOOKUP($A29&amp;L$1,Plan2!$A:$V,22,FALSE)</f>
        <v>42.6793372503966</v>
      </c>
      <c r="M29" s="2">
        <f>VLOOKUP($A29&amp;M$1,Plan2!$A:$V,22,FALSE)</f>
        <v>51.937745345094797</v>
      </c>
      <c r="N29" s="2">
        <f>VLOOKUP($A29&amp;N$1,Plan2!$A:$V,22,FALSE)</f>
        <v>53.177309975049901</v>
      </c>
      <c r="O29" s="2">
        <f>VLOOKUP($A29&amp;O$1,Plan2!$A:$V,22,FALSE)</f>
        <v>51.143388097665401</v>
      </c>
      <c r="P29" s="2">
        <f>VLOOKUP($A29&amp;P$1,Plan2!$A:$V,22,FALSE)</f>
        <v>51.571155205586599</v>
      </c>
      <c r="Q29" s="2">
        <f>VLOOKUP($A29&amp;Q$1,Plan2!$A:$V,22,FALSE)</f>
        <v>50.371469633036497</v>
      </c>
      <c r="R29" s="13" t="str">
        <f>VLOOKUP(A29,ratings!A:E,3,FALSE)</f>
        <v>A</v>
      </c>
      <c r="S29" s="13" t="str">
        <f>VLOOKUP(A29,ratings!A:E,4,FALSE)</f>
        <v>A3</v>
      </c>
    </row>
    <row r="30" spans="1:19" x14ac:dyDescent="0.25">
      <c r="A30" t="s">
        <v>142</v>
      </c>
      <c r="B30" s="2">
        <f>VLOOKUP($A30&amp;B$1,Plan2!$A:$V,22,FALSE)</f>
        <v>42.442213288520598</v>
      </c>
      <c r="C30" s="2">
        <f>VLOOKUP($A30&amp;C$1,Plan2!$A:$V,22,FALSE)</f>
        <v>44.893267034550497</v>
      </c>
      <c r="D30" s="2">
        <f>VLOOKUP($A30&amp;D$1,Plan2!$A:$V,22,FALSE)</f>
        <v>48.082494598520803</v>
      </c>
      <c r="E30" s="2">
        <f>VLOOKUP($A30&amp;E$1,Plan2!$A:$V,22,FALSE)</f>
        <v>49.663270038481102</v>
      </c>
      <c r="F30" s="2">
        <f>VLOOKUP($A30&amp;F$1,Plan2!$A:$V,22,FALSE)</f>
        <v>50.799498864063601</v>
      </c>
      <c r="G30" s="2">
        <f>VLOOKUP($A30&amp;G$1,Plan2!$A:$V,22,FALSE)</f>
        <v>50.199240943381398</v>
      </c>
      <c r="H30" s="2">
        <f>VLOOKUP($A30&amp;H$1,Plan2!$A:$V,22,FALSE)</f>
        <v>52.089934258598802</v>
      </c>
      <c r="I30" s="2">
        <f>VLOOKUP($A30&amp;I$1,Plan2!$A:$V,22,FALSE)</f>
        <v>54.879909035087699</v>
      </c>
      <c r="J30" s="2">
        <f>VLOOKUP($A30&amp;J$1,Plan2!$A:$V,22,FALSE)</f>
        <v>56.184730351726103</v>
      </c>
      <c r="K30" s="2">
        <f>VLOOKUP($A30&amp;K$1,Plan2!$A:$V,22,FALSE)</f>
        <v>56.927254059173798</v>
      </c>
      <c r="L30" s="2">
        <f>VLOOKUP($A30&amp;L$1,Plan2!$A:$V,22,FALSE)</f>
        <v>50.396705547094697</v>
      </c>
      <c r="M30" s="2">
        <f>VLOOKUP($A30&amp;M$1,Plan2!$A:$V,22,FALSE)</f>
        <v>56.434264859571996</v>
      </c>
      <c r="N30" s="2">
        <f>VLOOKUP($A30&amp;N$1,Plan2!$A:$V,22,FALSE)</f>
        <v>55.643092463022199</v>
      </c>
      <c r="O30" s="2">
        <f>VLOOKUP($A30&amp;O$1,Plan2!$A:$V,22,FALSE)</f>
        <v>56.520901179986303</v>
      </c>
      <c r="P30" s="2">
        <f>VLOOKUP($A30&amp;P$1,Plan2!$A:$V,22,FALSE)</f>
        <v>57.270903759600998</v>
      </c>
      <c r="Q30" s="2">
        <f>VLOOKUP($A30&amp;Q$1,Plan2!$A:$V,22,FALSE)</f>
        <v>53.252862938588798</v>
      </c>
      <c r="R30" s="13" t="str">
        <f>VLOOKUP(A30,ratings!A:E,3,FALSE)</f>
        <v>A</v>
      </c>
      <c r="S30" s="13" t="str">
        <f>VLOOKUP(A30,ratings!A:E,4,FALSE)</f>
        <v>A2</v>
      </c>
    </row>
    <row r="31" spans="1:19" x14ac:dyDescent="0.25">
      <c r="A31" t="s">
        <v>210</v>
      </c>
      <c r="B31" s="2">
        <f>VLOOKUP($A31&amp;B$1,Plan2!$A:$V,22,FALSE)</f>
        <v>34.491243977216399</v>
      </c>
      <c r="C31" s="2">
        <f>VLOOKUP($A31&amp;C$1,Plan2!$A:$V,22,FALSE)</f>
        <v>33.685039841333101</v>
      </c>
      <c r="D31" s="2">
        <f>VLOOKUP($A31&amp;D$1,Plan2!$A:$V,22,FALSE)</f>
        <v>30.515721948476202</v>
      </c>
      <c r="E31" s="2">
        <f>VLOOKUP($A31&amp;E$1,Plan2!$A:$V,22,FALSE)</f>
        <v>33.9586986656645</v>
      </c>
      <c r="F31" s="2">
        <f>VLOOKUP($A31&amp;F$1,Plan2!$A:$V,22,FALSE)</f>
        <v>36.270921315773897</v>
      </c>
      <c r="G31" s="2">
        <f>VLOOKUP($A31&amp;G$1,Plan2!$A:$V,22,FALSE)</f>
        <v>37.5495348728168</v>
      </c>
      <c r="H31" s="2">
        <f>VLOOKUP($A31&amp;H$1,Plan2!$A:$V,22,FALSE)</f>
        <v>39.4239085707217</v>
      </c>
      <c r="I31" s="2">
        <f>VLOOKUP($A31&amp;I$1,Plan2!$A:$V,22,FALSE)</f>
        <v>41.5521350158525</v>
      </c>
      <c r="J31" s="2">
        <f>VLOOKUP($A31&amp;J$1,Plan2!$A:$V,22,FALSE)</f>
        <v>43.174847514312503</v>
      </c>
      <c r="K31" s="2">
        <f>VLOOKUP($A31&amp;K$1,Plan2!$A:$V,22,FALSE)</f>
        <v>43.337893357465198</v>
      </c>
      <c r="L31" s="2">
        <f>VLOOKUP($A31&amp;L$1,Plan2!$A:$V,22,FALSE)</f>
        <v>33.981060610846598</v>
      </c>
      <c r="M31" s="2">
        <f>VLOOKUP($A31&amp;M$1,Plan2!$A:$V,22,FALSE)</f>
        <v>41.558804304000802</v>
      </c>
      <c r="N31" s="2">
        <f>VLOOKUP($A31&amp;N$1,Plan2!$A:$V,22,FALSE)</f>
        <v>44.1757119302072</v>
      </c>
      <c r="O31" s="2">
        <f>VLOOKUP($A31&amp;O$1,Plan2!$A:$V,22,FALSE)</f>
        <v>45.7786836467616</v>
      </c>
      <c r="P31" s="2">
        <f>VLOOKUP($A31&amp;P$1,Plan2!$A:$V,22,FALSE)</f>
        <v>46.913525129830902</v>
      </c>
      <c r="Q31" s="2">
        <f>VLOOKUP($A31&amp;Q$1,Plan2!$A:$V,22,FALSE)</f>
        <v>45.052900172399703</v>
      </c>
      <c r="R31" s="13" t="str">
        <f>VLOOKUP(A31,ratings!A:E,3,FALSE)</f>
        <v>A+</v>
      </c>
      <c r="S31" s="13" t="str">
        <f>VLOOKUP(A31,ratings!A:E,4,FALSE)</f>
        <v>A3</v>
      </c>
    </row>
    <row r="32" spans="1:19" x14ac:dyDescent="0.25">
      <c r="A32" t="s">
        <v>52</v>
      </c>
      <c r="B32" s="2">
        <f>VLOOKUP($A32&amp;B$1,Plan2!$A:$V,22,FALSE)</f>
        <v>45.962815794529597</v>
      </c>
      <c r="C32" s="2">
        <f>VLOOKUP($A32&amp;C$1,Plan2!$A:$V,22,FALSE)</f>
        <v>48.876469841569602</v>
      </c>
      <c r="D32" s="2">
        <f>VLOOKUP($A32&amp;D$1,Plan2!$A:$V,22,FALSE)</f>
        <v>49.970142826372502</v>
      </c>
      <c r="E32" s="2">
        <f>VLOOKUP($A32&amp;E$1,Plan2!$A:$V,22,FALSE)</f>
        <v>49.800426232125297</v>
      </c>
      <c r="F32" s="2">
        <f>VLOOKUP($A32&amp;F$1,Plan2!$A:$V,22,FALSE)</f>
        <v>49.387745113581502</v>
      </c>
      <c r="G32" s="2">
        <f>VLOOKUP($A32&amp;G$1,Plan2!$A:$V,22,FALSE)</f>
        <v>51.108090022962799</v>
      </c>
      <c r="H32" s="2">
        <f>VLOOKUP($A32&amp;H$1,Plan2!$A:$V,22,FALSE)</f>
        <v>55.620227704023698</v>
      </c>
      <c r="I32" s="2">
        <f>VLOOKUP($A32&amp;I$1,Plan2!$A:$V,22,FALSE)</f>
        <v>57.134842769542203</v>
      </c>
      <c r="J32" s="2">
        <f>VLOOKUP($A32&amp;J$1,Plan2!$A:$V,22,FALSE)</f>
        <v>57.018549228431901</v>
      </c>
      <c r="K32" s="2">
        <f>VLOOKUP($A32&amp;K$1,Plan2!$A:$V,22,FALSE)</f>
        <v>57.249899043275001</v>
      </c>
      <c r="L32" s="2">
        <f>VLOOKUP($A32&amp;L$1,Plan2!$A:$V,22,FALSE)</f>
        <v>53.044048622295797</v>
      </c>
      <c r="M32" s="2">
        <f>VLOOKUP($A32&amp;M$1,Plan2!$A:$V,22,FALSE)</f>
        <v>56.729524021119502</v>
      </c>
      <c r="N32" s="2">
        <f>VLOOKUP($A32&amp;N$1,Plan2!$A:$V,22,FALSE)</f>
        <v>59.138730040737101</v>
      </c>
      <c r="O32" s="2">
        <f>VLOOKUP($A32&amp;O$1,Plan2!$A:$V,22,FALSE)</f>
        <v>56.2206167811486</v>
      </c>
      <c r="P32" s="2">
        <f>VLOOKUP($A32&amp;P$1,Plan2!$A:$V,22,FALSE)</f>
        <v>55.523210956158401</v>
      </c>
      <c r="Q32" s="2">
        <f>VLOOKUP($A32&amp;Q$1,Plan2!$A:$V,22,FALSE)</f>
        <v>54.827199312599198</v>
      </c>
      <c r="R32" s="13" t="str">
        <f>VLOOKUP(A32,ratings!A:E,3,FALSE)</f>
        <v>BBB+</v>
      </c>
      <c r="S32" s="13" t="str">
        <f>VLOOKUP(A32,ratings!A:E,4,FALSE)</f>
        <v>Baa1</v>
      </c>
    </row>
    <row r="33" spans="1:19" x14ac:dyDescent="0.25">
      <c r="A33" t="s">
        <v>130</v>
      </c>
      <c r="B33" s="2">
        <f>VLOOKUP($A33&amp;B$1,Plan2!$A:$V,22,FALSE)</f>
        <v>49.481778929241699</v>
      </c>
      <c r="C33" s="2">
        <f>VLOOKUP($A33&amp;C$1,Plan2!$A:$V,22,FALSE)</f>
        <v>49.743259291039102</v>
      </c>
      <c r="D33" s="2">
        <f>VLOOKUP($A33&amp;D$1,Plan2!$A:$V,22,FALSE)</f>
        <v>52.565565492601102</v>
      </c>
      <c r="E33" s="2">
        <f>VLOOKUP($A33&amp;E$1,Plan2!$A:$V,22,FALSE)</f>
        <v>52.201446798548403</v>
      </c>
      <c r="F33" s="2">
        <f>VLOOKUP($A33&amp;F$1,Plan2!$A:$V,22,FALSE)</f>
        <v>51.9138175370637</v>
      </c>
      <c r="G33" s="2">
        <f>VLOOKUP($A33&amp;G$1,Plan2!$A:$V,22,FALSE)</f>
        <v>51.759482168901698</v>
      </c>
      <c r="H33" s="2">
        <f>VLOOKUP($A33&amp;H$1,Plan2!$A:$V,22,FALSE)</f>
        <v>52.930961345034</v>
      </c>
      <c r="I33" s="2">
        <f>VLOOKUP($A33&amp;I$1,Plan2!$A:$V,22,FALSE)</f>
        <v>53.7205135798688</v>
      </c>
      <c r="J33" s="2">
        <f>VLOOKUP($A33&amp;J$1,Plan2!$A:$V,22,FALSE)</f>
        <v>54.739882119906802</v>
      </c>
      <c r="K33" s="2">
        <f>VLOOKUP($A33&amp;K$1,Plan2!$A:$V,22,FALSE)</f>
        <v>52.8411157110434</v>
      </c>
      <c r="L33" s="2">
        <f>VLOOKUP($A33&amp;L$1,Plan2!$A:$V,22,FALSE)</f>
        <v>50.514787926096503</v>
      </c>
      <c r="M33" s="2">
        <f>VLOOKUP($A33&amp;M$1,Plan2!$A:$V,22,FALSE)</f>
        <v>54.658139083840801</v>
      </c>
      <c r="N33" s="2">
        <f>VLOOKUP($A33&amp;N$1,Plan2!$A:$V,22,FALSE)</f>
        <v>53.5166999097965</v>
      </c>
      <c r="O33" s="2">
        <f>VLOOKUP($A33&amp;O$1,Plan2!$A:$V,22,FALSE)</f>
        <v>53.259128405551103</v>
      </c>
      <c r="P33" s="2">
        <f>VLOOKUP($A33&amp;P$1,Plan2!$A:$V,22,FALSE)</f>
        <v>53.231853724531902</v>
      </c>
      <c r="Q33" s="2">
        <f>VLOOKUP($A33&amp;Q$1,Plan2!$A:$V,22,FALSE)</f>
        <v>50.410657476801099</v>
      </c>
      <c r="R33" s="13" t="str">
        <f>VLOOKUP(A33,ratings!A:E,3,FALSE)</f>
        <v>AA</v>
      </c>
      <c r="S33" s="13" t="str">
        <f>VLOOKUP(A33,ratings!A:E,4,FALSE)</f>
        <v>Aa2</v>
      </c>
    </row>
    <row r="34" spans="1:19" x14ac:dyDescent="0.25">
      <c r="A34" t="s">
        <v>136</v>
      </c>
      <c r="B34" s="2">
        <f>VLOOKUP($A34&amp;B$1,Plan2!$A:$V,22,FALSE)</f>
        <v>40.913854669363502</v>
      </c>
      <c r="C34" s="2">
        <f>VLOOKUP($A34&amp;C$1,Plan2!$A:$V,22,FALSE)</f>
        <v>45.363112459065299</v>
      </c>
      <c r="D34" s="2">
        <f>VLOOKUP($A34&amp;D$1,Plan2!$A:$V,22,FALSE)</f>
        <v>49.6209334093328</v>
      </c>
      <c r="E34" s="2">
        <f>VLOOKUP($A34&amp;E$1,Plan2!$A:$V,22,FALSE)</f>
        <v>49.648477209788602</v>
      </c>
      <c r="F34" s="2">
        <f>VLOOKUP($A34&amp;F$1,Plan2!$A:$V,22,FALSE)</f>
        <v>48.936699871570603</v>
      </c>
      <c r="G34" s="2">
        <f>VLOOKUP($A34&amp;G$1,Plan2!$A:$V,22,FALSE)</f>
        <v>49.716640748036902</v>
      </c>
      <c r="H34" s="2">
        <f>VLOOKUP($A34&amp;H$1,Plan2!$A:$V,22,FALSE)</f>
        <v>50.918726602442497</v>
      </c>
      <c r="I34" s="2">
        <f>VLOOKUP($A34&amp;I$1,Plan2!$A:$V,22,FALSE)</f>
        <v>51.307766035481798</v>
      </c>
      <c r="J34" s="2">
        <f>VLOOKUP($A34&amp;J$1,Plan2!$A:$V,22,FALSE)</f>
        <v>52.017096564368003</v>
      </c>
      <c r="K34" s="2">
        <f>VLOOKUP($A34&amp;K$1,Plan2!$A:$V,22,FALSE)</f>
        <v>52.188375828014301</v>
      </c>
      <c r="L34" s="2">
        <f>VLOOKUP($A34&amp;L$1,Plan2!$A:$V,22,FALSE)</f>
        <v>49.195422414132103</v>
      </c>
      <c r="M34" s="2">
        <f>VLOOKUP($A34&amp;M$1,Plan2!$A:$V,22,FALSE)</f>
        <v>49.368922670337902</v>
      </c>
      <c r="N34" s="2">
        <f>VLOOKUP($A34&amp;N$1,Plan2!$A:$V,22,FALSE)</f>
        <v>50.472693763012501</v>
      </c>
      <c r="O34" s="2">
        <f>VLOOKUP($A34&amp;O$1,Plan2!$A:$V,22,FALSE)</f>
        <v>50.423354804532302</v>
      </c>
      <c r="P34" s="2">
        <f>VLOOKUP($A34&amp;P$1,Plan2!$A:$V,22,FALSE)</f>
        <v>52.751713183728597</v>
      </c>
      <c r="Q34" s="2">
        <f>VLOOKUP($A34&amp;Q$1,Plan2!$A:$V,22,FALSE)</f>
        <v>48.552738401039498</v>
      </c>
      <c r="R34" s="13" t="str">
        <f>VLOOKUP(A34,ratings!A:E,3,FALSE)</f>
        <v>A</v>
      </c>
      <c r="S34" s="13" t="str">
        <f>VLOOKUP(A34,ratings!A:E,4,FALSE)</f>
        <v>A3</v>
      </c>
    </row>
    <row r="35" spans="1:19" x14ac:dyDescent="0.25">
      <c r="A35" t="s">
        <v>196</v>
      </c>
      <c r="B35" s="2">
        <f>VLOOKUP($A35&amp;B$1,Plan2!$A:$V,22,FALSE)</f>
        <v>46.5664102170634</v>
      </c>
      <c r="C35" s="2">
        <f>VLOOKUP($A35&amp;C$1,Plan2!$A:$V,22,FALSE)</f>
        <v>51.036365838381201</v>
      </c>
      <c r="D35" s="2">
        <f>VLOOKUP($A35&amp;D$1,Plan2!$A:$V,22,FALSE)</f>
        <v>49.747120835538603</v>
      </c>
      <c r="E35" s="2">
        <f>VLOOKUP($A35&amp;E$1,Plan2!$A:$V,22,FALSE)</f>
        <v>49.270253840439203</v>
      </c>
      <c r="F35" s="2">
        <f>VLOOKUP($A35&amp;F$1,Plan2!$A:$V,22,FALSE)</f>
        <v>49.1131812969058</v>
      </c>
      <c r="G35" s="2">
        <f>VLOOKUP($A35&amp;G$1,Plan2!$A:$V,22,FALSE)</f>
        <v>46.604100944138501</v>
      </c>
      <c r="H35" s="2">
        <f>VLOOKUP($A35&amp;H$1,Plan2!$A:$V,22,FALSE)</f>
        <v>46.219261397779498</v>
      </c>
      <c r="I35" s="2">
        <f>VLOOKUP($A35&amp;I$1,Plan2!$A:$V,22,FALSE)</f>
        <v>48.763177907508698</v>
      </c>
      <c r="J35" s="2">
        <f>VLOOKUP($A35&amp;J$1,Plan2!$A:$V,22,FALSE)</f>
        <v>54.821120128785999</v>
      </c>
      <c r="K35" s="2">
        <f>VLOOKUP($A35&amp;K$1,Plan2!$A:$V,22,FALSE)</f>
        <v>53.681633322190997</v>
      </c>
      <c r="L35" s="2">
        <f>VLOOKUP($A35&amp;L$1,Plan2!$A:$V,22,FALSE)</f>
        <v>47.897251146670399</v>
      </c>
      <c r="M35" s="2">
        <f>VLOOKUP($A35&amp;M$1,Plan2!$A:$V,22,FALSE)</f>
        <v>54.029022650807597</v>
      </c>
      <c r="N35" s="2">
        <f>VLOOKUP($A35&amp;N$1,Plan2!$A:$V,22,FALSE)</f>
        <v>52.294750128929003</v>
      </c>
      <c r="O35" s="2">
        <f>VLOOKUP($A35&amp;O$1,Plan2!$A:$V,22,FALSE)</f>
        <v>51.636516771864201</v>
      </c>
      <c r="P35" s="2">
        <f>VLOOKUP($A35&amp;P$1,Plan2!$A:$V,22,FALSE)</f>
        <v>52.661670940306699</v>
      </c>
      <c r="Q35" s="2">
        <f>VLOOKUP($A35&amp;Q$1,Plan2!$A:$V,22,FALSE)</f>
        <v>49.120033958675499</v>
      </c>
      <c r="R35" s="13" t="str">
        <f>VLOOKUP(A35,ratings!A:E,3,FALSE)</f>
        <v>NR</v>
      </c>
      <c r="S35" s="13" t="str">
        <f>VLOOKUP(A35,ratings!A:E,4,FALSE)</f>
        <v>NR</v>
      </c>
    </row>
    <row r="36" spans="1:19" x14ac:dyDescent="0.25">
      <c r="A36" t="s">
        <v>202</v>
      </c>
      <c r="B36" s="2">
        <f>VLOOKUP($A36&amp;B$1,Plan2!$A:$V,22,FALSE)</f>
        <v>39.5269927309566</v>
      </c>
      <c r="C36" s="2">
        <f>VLOOKUP($A36&amp;C$1,Plan2!$A:$V,22,FALSE)</f>
        <v>36.191551899608001</v>
      </c>
      <c r="D36" s="2">
        <f>VLOOKUP($A36&amp;D$1,Plan2!$A:$V,22,FALSE)</f>
        <v>33.299159939164703</v>
      </c>
      <c r="E36" s="2">
        <f>VLOOKUP($A36&amp;E$1,Plan2!$A:$V,22,FALSE)</f>
        <v>38.049765439846297</v>
      </c>
      <c r="F36" s="2">
        <f>VLOOKUP($A36&amp;F$1,Plan2!$A:$V,22,FALSE)</f>
        <v>38.495955688192502</v>
      </c>
      <c r="G36" s="2">
        <f>VLOOKUP($A36&amp;G$1,Plan2!$A:$V,22,FALSE)</f>
        <v>41.616667716980302</v>
      </c>
      <c r="H36" s="2">
        <f>VLOOKUP($A36&amp;H$1,Plan2!$A:$V,22,FALSE)</f>
        <v>45.177477609180499</v>
      </c>
      <c r="I36" s="2">
        <f>VLOOKUP($A36&amp;I$1,Plan2!$A:$V,22,FALSE)</f>
        <v>48.013620859084</v>
      </c>
      <c r="J36" s="2">
        <f>VLOOKUP($A36&amp;J$1,Plan2!$A:$V,22,FALSE)</f>
        <v>48.4185312995914</v>
      </c>
      <c r="K36" s="2">
        <f>VLOOKUP($A36&amp;K$1,Plan2!$A:$V,22,FALSE)</f>
        <v>48.656660990943799</v>
      </c>
      <c r="L36" s="2">
        <f>VLOOKUP($A36&amp;L$1,Plan2!$A:$V,22,FALSE)</f>
        <v>43.459007032536498</v>
      </c>
      <c r="M36" s="2">
        <f>VLOOKUP($A36&amp;M$1,Plan2!$A:$V,22,FALSE)</f>
        <v>46.778003164469297</v>
      </c>
      <c r="N36" s="2">
        <f>VLOOKUP($A36&amp;N$1,Plan2!$A:$V,22,FALSE)</f>
        <v>49.915241757828099</v>
      </c>
      <c r="O36" s="2">
        <f>VLOOKUP($A36&amp;O$1,Plan2!$A:$V,22,FALSE)</f>
        <v>50.154326369987203</v>
      </c>
      <c r="P36" s="2">
        <f>VLOOKUP($A36&amp;P$1,Plan2!$A:$V,22,FALSE)</f>
        <v>50.009069279980501</v>
      </c>
      <c r="Q36" s="2">
        <f>VLOOKUP($A36&amp;Q$1,Plan2!$A:$V,22,FALSE)</f>
        <v>47.950657272840402</v>
      </c>
      <c r="R36" s="13" t="str">
        <f>VLOOKUP(A36,ratings!A:E,3,FALSE)</f>
        <v>BBB-</v>
      </c>
      <c r="S36" s="13" t="str">
        <f>VLOOKUP(A36,ratings!A:E,4,FALSE)</f>
        <v>Ba2</v>
      </c>
    </row>
    <row r="37" spans="1:19" x14ac:dyDescent="0.25">
      <c r="A37" t="s">
        <v>48</v>
      </c>
      <c r="B37" s="2">
        <f>VLOOKUP($A37&amp;B$1,Plan2!$A:$V,22,FALSE)</f>
        <v>35.184080048366098</v>
      </c>
      <c r="C37" s="2">
        <f>VLOOKUP($A37&amp;C$1,Plan2!$A:$V,22,FALSE)</f>
        <v>36.050222841879197</v>
      </c>
      <c r="D37" s="2">
        <f>VLOOKUP($A37&amp;D$1,Plan2!$A:$V,22,FALSE)</f>
        <v>34.806103779642001</v>
      </c>
      <c r="E37" s="2">
        <f>VLOOKUP($A37&amp;E$1,Plan2!$A:$V,22,FALSE)</f>
        <v>37.453551452086899</v>
      </c>
      <c r="F37" s="2">
        <f>VLOOKUP($A37&amp;F$1,Plan2!$A:$V,22,FALSE)</f>
        <v>36.976565390036598</v>
      </c>
      <c r="G37" s="2">
        <f>VLOOKUP($A37&amp;G$1,Plan2!$A:$V,22,FALSE)</f>
        <v>39.928431029566902</v>
      </c>
      <c r="H37" s="2">
        <f>VLOOKUP($A37&amp;H$1,Plan2!$A:$V,22,FALSE)</f>
        <v>41.258494280060901</v>
      </c>
      <c r="I37" s="2">
        <f>VLOOKUP($A37&amp;I$1,Plan2!$A:$V,22,FALSE)</f>
        <v>45.300356011675703</v>
      </c>
      <c r="J37" s="2">
        <f>VLOOKUP($A37&amp;J$1,Plan2!$A:$V,22,FALSE)</f>
        <v>47.251095720104701</v>
      </c>
      <c r="K37" s="2">
        <f>VLOOKUP($A37&amp;K$1,Plan2!$A:$V,22,FALSE)</f>
        <v>48.090266463457198</v>
      </c>
      <c r="L37" s="2">
        <f>VLOOKUP($A37&amp;L$1,Plan2!$A:$V,22,FALSE)</f>
        <v>42.3021878276788</v>
      </c>
      <c r="M37" s="2">
        <f>VLOOKUP($A37&amp;M$1,Plan2!$A:$V,22,FALSE)</f>
        <v>48.509437824699901</v>
      </c>
      <c r="N37" s="2">
        <f>VLOOKUP($A37&amp;N$1,Plan2!$A:$V,22,FALSE)</f>
        <v>48.841160488425302</v>
      </c>
      <c r="O37" s="2">
        <f>VLOOKUP($A37&amp;O$1,Plan2!$A:$V,22,FALSE)</f>
        <v>48.2134861792725</v>
      </c>
      <c r="P37" s="2">
        <f>VLOOKUP($A37&amp;P$1,Plan2!$A:$V,22,FALSE)</f>
        <v>48.437039779673398</v>
      </c>
      <c r="Q37" s="2">
        <f>VLOOKUP($A37&amp;Q$1,Plan2!$A:$V,22,FALSE)</f>
        <v>45.941830709604503</v>
      </c>
      <c r="R37" s="13" t="str">
        <f>VLOOKUP(A37,ratings!A:E,3,FALSE)</f>
        <v>B+</v>
      </c>
      <c r="S37" s="13" t="str">
        <f>VLOOKUP(A37,ratings!A:E,4,FALSE)</f>
        <v>B3</v>
      </c>
    </row>
    <row r="38" spans="1:19" x14ac:dyDescent="0.25">
      <c r="A38" t="s">
        <v>178</v>
      </c>
      <c r="B38" s="2">
        <f>VLOOKUP($A38&amp;B$1,Plan2!$A:$V,22,FALSE)</f>
        <v>37.363526715074102</v>
      </c>
      <c r="C38" s="2">
        <f>VLOOKUP($A38&amp;C$1,Plan2!$A:$V,22,FALSE)</f>
        <v>37.8660575191847</v>
      </c>
      <c r="D38" s="2">
        <f>VLOOKUP($A38&amp;D$1,Plan2!$A:$V,22,FALSE)</f>
        <v>35.741538676138099</v>
      </c>
      <c r="E38" s="2">
        <f>VLOOKUP($A38&amp;E$1,Plan2!$A:$V,22,FALSE)</f>
        <v>36.744248385227301</v>
      </c>
      <c r="F38" s="2">
        <f>VLOOKUP($A38&amp;F$1,Plan2!$A:$V,22,FALSE)</f>
        <v>37.2881066829448</v>
      </c>
      <c r="G38" s="2">
        <f>VLOOKUP($A38&amp;G$1,Plan2!$A:$V,22,FALSE)</f>
        <v>38.8048532857363</v>
      </c>
      <c r="H38" s="2">
        <f>VLOOKUP($A38&amp;H$1,Plan2!$A:$V,22,FALSE)</f>
        <v>39.926500725672398</v>
      </c>
      <c r="I38" s="2">
        <f>VLOOKUP($A38&amp;I$1,Plan2!$A:$V,22,FALSE)</f>
        <v>40.963539452256398</v>
      </c>
      <c r="J38" s="2">
        <f>VLOOKUP($A38&amp;J$1,Plan2!$A:$V,22,FALSE)</f>
        <v>43.614365486060699</v>
      </c>
      <c r="K38" s="2">
        <f>VLOOKUP($A38&amp;K$1,Plan2!$A:$V,22,FALSE)</f>
        <v>45.559145629667</v>
      </c>
      <c r="L38" s="2">
        <f>VLOOKUP($A38&amp;L$1,Plan2!$A:$V,22,FALSE)</f>
        <v>39.031244434378998</v>
      </c>
      <c r="M38" s="2">
        <f>VLOOKUP($A38&amp;M$1,Plan2!$A:$V,22,FALSE)</f>
        <v>43.912887927083297</v>
      </c>
      <c r="N38" s="2">
        <f>VLOOKUP($A38&amp;N$1,Plan2!$A:$V,22,FALSE)</f>
        <v>44.015434932161902</v>
      </c>
      <c r="O38" s="2">
        <f>VLOOKUP($A38&amp;O$1,Plan2!$A:$V,22,FALSE)</f>
        <v>46.529050798986603</v>
      </c>
      <c r="P38" s="2">
        <f>VLOOKUP($A38&amp;P$1,Plan2!$A:$V,22,FALSE)</f>
        <v>45.4470976735929</v>
      </c>
      <c r="Q38" s="2">
        <f>VLOOKUP($A38&amp;Q$1,Plan2!$A:$V,22,FALSE)</f>
        <v>44.272719159970997</v>
      </c>
      <c r="R38" s="13" t="str">
        <f>VLOOKUP(A38,ratings!A:E,3,FALSE)</f>
        <v>BB-</v>
      </c>
      <c r="S38" s="13">
        <f>VLOOKUP(A38,ratings!A:E,4,FALSE)</f>
        <v>0</v>
      </c>
    </row>
    <row r="39" spans="1:19" x14ac:dyDescent="0.25">
      <c r="A39" t="s">
        <v>58</v>
      </c>
      <c r="B39" s="2">
        <f>VLOOKUP($A39&amp;B$1,Plan2!$A:$V,22,FALSE)</f>
        <v>40.489894564174897</v>
      </c>
      <c r="C39" s="2">
        <f>VLOOKUP($A39&amp;C$1,Plan2!$A:$V,22,FALSE)</f>
        <v>42.801356870556504</v>
      </c>
      <c r="D39" s="2">
        <f>VLOOKUP($A39&amp;D$1,Plan2!$A:$V,22,FALSE)</f>
        <v>43.096526151254999</v>
      </c>
      <c r="E39" s="2">
        <f>VLOOKUP($A39&amp;E$1,Plan2!$A:$V,22,FALSE)</f>
        <v>44.263376088544</v>
      </c>
      <c r="F39" s="2">
        <f>VLOOKUP($A39&amp;F$1,Plan2!$A:$V,22,FALSE)</f>
        <v>45.834032137580699</v>
      </c>
      <c r="G39" s="2">
        <f>VLOOKUP($A39&amp;G$1,Plan2!$A:$V,22,FALSE)</f>
        <v>43.945465032756601</v>
      </c>
      <c r="H39" s="2">
        <f>VLOOKUP($A39&amp;H$1,Plan2!$A:$V,22,FALSE)</f>
        <v>43.676300919855201</v>
      </c>
      <c r="I39" s="2">
        <f>VLOOKUP($A39&amp;I$1,Plan2!$A:$V,22,FALSE)</f>
        <v>45.163922278880598</v>
      </c>
      <c r="J39" s="2">
        <f>VLOOKUP($A39&amp;J$1,Plan2!$A:$V,22,FALSE)</f>
        <v>46.185849262313198</v>
      </c>
      <c r="K39" s="2">
        <f>VLOOKUP($A39&amp;K$1,Plan2!$A:$V,22,FALSE)</f>
        <v>46.015518967131101</v>
      </c>
      <c r="L39" s="2">
        <f>VLOOKUP($A39&amp;L$1,Plan2!$A:$V,22,FALSE)</f>
        <v>33.462098742480698</v>
      </c>
      <c r="M39" s="2">
        <f>VLOOKUP($A39&amp;M$1,Plan2!$A:$V,22,FALSE)</f>
        <v>44.822816037963101</v>
      </c>
      <c r="N39" s="2">
        <f>VLOOKUP($A39&amp;N$1,Plan2!$A:$V,22,FALSE)</f>
        <v>48.865000133998699</v>
      </c>
      <c r="O39" s="2">
        <f>VLOOKUP($A39&amp;O$1,Plan2!$A:$V,22,FALSE)</f>
        <v>47.565135028740499</v>
      </c>
      <c r="P39" s="2">
        <f>VLOOKUP($A39&amp;P$1,Plan2!$A:$V,22,FALSE)</f>
        <v>45.312045872206802</v>
      </c>
      <c r="Q39" s="2">
        <f>VLOOKUP($A39&amp;Q$1,Plan2!$A:$V,22,FALSE)</f>
        <v>43.37545738539</v>
      </c>
      <c r="R39" s="13" t="str">
        <f>VLOOKUP(A39,ratings!A:E,3,FALSE)</f>
        <v>AAA</v>
      </c>
      <c r="S39" s="13" t="str">
        <f>VLOOKUP(A39,ratings!A:E,4,FALSE)</f>
        <v>Aaa</v>
      </c>
    </row>
    <row r="40" spans="1:19" x14ac:dyDescent="0.25">
      <c r="A40" t="s">
        <v>190</v>
      </c>
      <c r="B40" s="2">
        <f>VLOOKUP($A40&amp;B$1,Plan2!$A:$V,22,FALSE)</f>
        <v>41.820688902955901</v>
      </c>
      <c r="C40" s="2">
        <f>VLOOKUP($A40&amp;C$1,Plan2!$A:$V,22,FALSE)</f>
        <v>44.408446861110299</v>
      </c>
      <c r="D40" s="2">
        <f>VLOOKUP($A40&amp;D$1,Plan2!$A:$V,22,FALSE)</f>
        <v>45.001420589922802</v>
      </c>
      <c r="E40" s="2">
        <f>VLOOKUP($A40&amp;E$1,Plan2!$A:$V,22,FALSE)</f>
        <v>44.917427183526001</v>
      </c>
      <c r="F40" s="2">
        <f>VLOOKUP($A40&amp;F$1,Plan2!$A:$V,22,FALSE)</f>
        <v>46.578766011522397</v>
      </c>
      <c r="G40" s="2">
        <f>VLOOKUP($A40&amp;G$1,Plan2!$A:$V,22,FALSE)</f>
        <v>48.305056088286698</v>
      </c>
      <c r="H40" s="2">
        <f>VLOOKUP($A40&amp;H$1,Plan2!$A:$V,22,FALSE)</f>
        <v>49.207798373021497</v>
      </c>
      <c r="I40" s="2">
        <f>VLOOKUP($A40&amp;I$1,Plan2!$A:$V,22,FALSE)</f>
        <v>51.412996122976999</v>
      </c>
      <c r="J40" s="2">
        <f>VLOOKUP($A40&amp;J$1,Plan2!$A:$V,22,FALSE)</f>
        <v>53.243557898539798</v>
      </c>
      <c r="K40" s="2">
        <f>VLOOKUP($A40&amp;K$1,Plan2!$A:$V,22,FALSE)</f>
        <v>53.438021260930803</v>
      </c>
      <c r="L40" s="2">
        <f>VLOOKUP($A40&amp;L$1,Plan2!$A:$V,22,FALSE)</f>
        <v>47.214937807340299</v>
      </c>
      <c r="M40" s="2">
        <f>VLOOKUP($A40&amp;M$1,Plan2!$A:$V,22,FALSE)</f>
        <v>53.235540858428003</v>
      </c>
      <c r="N40" s="2">
        <f>VLOOKUP($A40&amp;N$1,Plan2!$A:$V,22,FALSE)</f>
        <v>51.405450373951602</v>
      </c>
      <c r="O40" s="2">
        <f>VLOOKUP($A40&amp;O$1,Plan2!$A:$V,22,FALSE)</f>
        <v>51.015553035504801</v>
      </c>
      <c r="P40" s="2">
        <f>VLOOKUP($A40&amp;P$1,Plan2!$A:$V,22,FALSE)</f>
        <v>49.047119566064303</v>
      </c>
      <c r="Q40" s="2">
        <f>VLOOKUP($A40&amp;Q$1,Plan2!$A:$V,22,FALSE)</f>
        <v>45.791398239116901</v>
      </c>
      <c r="R40" s="13" t="str">
        <f>VLOOKUP(A40,ratings!A:E,3,FALSE)</f>
        <v>A-</v>
      </c>
      <c r="S40" s="13" t="str">
        <f>VLOOKUP(A40,ratings!A:E,4,FALSE)</f>
        <v>A2</v>
      </c>
    </row>
    <row r="41" spans="1:19" x14ac:dyDescent="0.25">
      <c r="A41" t="s">
        <v>30</v>
      </c>
      <c r="B41" s="2">
        <f>VLOOKUP($A41&amp;B$1,Plan2!$A:$V,22,FALSE)</f>
        <v>46.753490097991403</v>
      </c>
      <c r="C41" s="2">
        <f>VLOOKUP($A41&amp;C$1,Plan2!$A:$V,22,FALSE)</f>
        <v>49.049801958231797</v>
      </c>
      <c r="D41" s="2">
        <f>VLOOKUP($A41&amp;D$1,Plan2!$A:$V,22,FALSE)</f>
        <v>51.037894618473501</v>
      </c>
      <c r="E41" s="2">
        <f>VLOOKUP($A41&amp;E$1,Plan2!$A:$V,22,FALSE)</f>
        <v>51.141829894776798</v>
      </c>
      <c r="F41" s="2">
        <f>VLOOKUP($A41&amp;F$1,Plan2!$A:$V,22,FALSE)</f>
        <v>50.148290651520597</v>
      </c>
      <c r="G41" s="2">
        <f>VLOOKUP($A41&amp;G$1,Plan2!$A:$V,22,FALSE)</f>
        <v>49.052535733001299</v>
      </c>
      <c r="H41" s="2">
        <f>VLOOKUP($A41&amp;H$1,Plan2!$A:$V,22,FALSE)</f>
        <v>48.361713090153103</v>
      </c>
      <c r="I41" s="2">
        <f>VLOOKUP($A41&amp;I$1,Plan2!$A:$V,22,FALSE)</f>
        <v>50.126621897045901</v>
      </c>
      <c r="J41" s="2">
        <f>VLOOKUP($A41&amp;J$1,Plan2!$A:$V,22,FALSE)</f>
        <v>51.308405361668001</v>
      </c>
      <c r="K41" s="2">
        <f>VLOOKUP($A41&amp;K$1,Plan2!$A:$V,22,FALSE)</f>
        <v>48.694099141413702</v>
      </c>
      <c r="L41" s="2">
        <f>VLOOKUP($A41&amp;L$1,Plan2!$A:$V,22,FALSE)</f>
        <v>43.822255851291601</v>
      </c>
      <c r="M41" s="2">
        <f>VLOOKUP($A41&amp;M$1,Plan2!$A:$V,22,FALSE)</f>
        <v>48.805337603184903</v>
      </c>
      <c r="N41" s="2">
        <f>VLOOKUP($A41&amp;N$1,Plan2!$A:$V,22,FALSE)</f>
        <v>53.768682786777902</v>
      </c>
      <c r="O41" s="2">
        <f>VLOOKUP($A41&amp;O$1,Plan2!$A:$V,22,FALSE)</f>
        <v>53.976567476103</v>
      </c>
      <c r="P41" s="2">
        <f>VLOOKUP($A41&amp;P$1,Plan2!$A:$V,22,FALSE)</f>
        <v>52.151712039466403</v>
      </c>
      <c r="Q41" s="2">
        <f>VLOOKUP($A41&amp;Q$1,Plan2!$A:$V,22,FALSE)</f>
        <v>50.475682674733498</v>
      </c>
      <c r="R41" s="13" t="str">
        <f>VLOOKUP(A41,ratings!A:E,3,FALSE)</f>
        <v>AAA</v>
      </c>
      <c r="S41" s="13" t="str">
        <f>VLOOKUP(A41,ratings!A:E,4,FALSE)</f>
        <v>Aaa</v>
      </c>
    </row>
    <row r="42" spans="1:19" x14ac:dyDescent="0.25">
      <c r="A42" t="s">
        <v>120</v>
      </c>
      <c r="B42" s="2">
        <f>VLOOKUP($A42&amp;B$1,Plan2!$A:$V,22,FALSE)</f>
        <v>47.7039815581821</v>
      </c>
      <c r="C42" s="2">
        <f>VLOOKUP($A42&amp;C$1,Plan2!$A:$V,22,FALSE)</f>
        <v>48.444636860146197</v>
      </c>
      <c r="D42" s="2">
        <f>VLOOKUP($A42&amp;D$1,Plan2!$A:$V,22,FALSE)</f>
        <v>46.567623478748999</v>
      </c>
      <c r="E42" s="2">
        <f>VLOOKUP($A42&amp;E$1,Plan2!$A:$V,22,FALSE)</f>
        <v>48.669281880107398</v>
      </c>
      <c r="F42" s="2">
        <f>VLOOKUP($A42&amp;F$1,Plan2!$A:$V,22,FALSE)</f>
        <v>50.549238726278297</v>
      </c>
      <c r="G42" s="2">
        <f>VLOOKUP($A42&amp;G$1,Plan2!$A:$V,22,FALSE)</f>
        <v>51.628976169347801</v>
      </c>
      <c r="H42" s="2">
        <f>VLOOKUP($A42&amp;H$1,Plan2!$A:$V,22,FALSE)</f>
        <v>53.644379448969303</v>
      </c>
      <c r="I42" s="2">
        <f>VLOOKUP($A42&amp;I$1,Plan2!$A:$V,22,FALSE)</f>
        <v>55.661627466495702</v>
      </c>
      <c r="J42" s="2">
        <f>VLOOKUP($A42&amp;J$1,Plan2!$A:$V,22,FALSE)</f>
        <v>53.194688193025797</v>
      </c>
      <c r="K42" s="2">
        <f>VLOOKUP($A42&amp;K$1,Plan2!$A:$V,22,FALSE)</f>
        <v>53.357512665063901</v>
      </c>
      <c r="L42" s="2">
        <f>VLOOKUP($A42&amp;L$1,Plan2!$A:$V,22,FALSE)</f>
        <v>47.721228220806402</v>
      </c>
      <c r="M42" s="2">
        <f>VLOOKUP($A42&amp;M$1,Plan2!$A:$V,22,FALSE)</f>
        <v>57.086826768371701</v>
      </c>
      <c r="N42" s="2">
        <f>VLOOKUP($A42&amp;N$1,Plan2!$A:$V,22,FALSE)</f>
        <v>59.990792771296</v>
      </c>
      <c r="O42" s="2">
        <f>VLOOKUP($A42&amp;O$1,Plan2!$A:$V,22,FALSE)</f>
        <v>53.9207591894939</v>
      </c>
      <c r="P42" s="2">
        <f>VLOOKUP($A42&amp;P$1,Plan2!$A:$V,22,FALSE)</f>
        <v>51.613143205832003</v>
      </c>
      <c r="Q42" s="2">
        <f>VLOOKUP($A42&amp;Q$1,Plan2!$A:$V,22,FALSE)</f>
        <v>51.535958168723802</v>
      </c>
      <c r="R42" s="13" t="str">
        <f>VLOOKUP(A42,ratings!A:E,3,FALSE)</f>
        <v>A</v>
      </c>
      <c r="S42" s="13" t="str">
        <f>VLOOKUP(A42,ratings!A:E,4,FALSE)</f>
        <v>Baa1</v>
      </c>
    </row>
    <row r="43" spans="1:19" x14ac:dyDescent="0.25">
      <c r="A43" t="s">
        <v>238</v>
      </c>
      <c r="B43" s="2">
        <f>VLOOKUP($A43&amp;B$1,Plan2!$A:$V,22,FALSE)</f>
        <v>45.841287865230797</v>
      </c>
      <c r="C43" s="2">
        <f>VLOOKUP($A43&amp;C$1,Plan2!$A:$V,22,FALSE)</f>
        <v>46.120417770675999</v>
      </c>
      <c r="D43" s="2">
        <f>VLOOKUP($A43&amp;D$1,Plan2!$A:$V,22,FALSE)</f>
        <v>45.343321269682498</v>
      </c>
      <c r="E43" s="2">
        <f>VLOOKUP($A43&amp;E$1,Plan2!$A:$V,22,FALSE)</f>
        <v>47.495071000696399</v>
      </c>
      <c r="F43" s="2">
        <f>VLOOKUP($A43&amp;F$1,Plan2!$A:$V,22,FALSE)</f>
        <v>48.163868561845497</v>
      </c>
      <c r="G43" s="2">
        <f>VLOOKUP($A43&amp;G$1,Plan2!$A:$V,22,FALSE)</f>
        <v>48.600019323202702</v>
      </c>
      <c r="H43" s="2">
        <f>VLOOKUP($A43&amp;H$1,Plan2!$A:$V,22,FALSE)</f>
        <v>49.248017868872097</v>
      </c>
      <c r="I43" s="2">
        <f>VLOOKUP($A43&amp;I$1,Plan2!$A:$V,22,FALSE)</f>
        <v>50.738774497598499</v>
      </c>
      <c r="J43" s="2">
        <f>VLOOKUP($A43&amp;J$1,Plan2!$A:$V,22,FALSE)</f>
        <v>51.322528272939302</v>
      </c>
      <c r="K43" s="2">
        <f>VLOOKUP($A43&amp;K$1,Plan2!$A:$V,22,FALSE)</f>
        <v>51.296351707469903</v>
      </c>
      <c r="L43" s="2">
        <f>VLOOKUP($A43&amp;L$1,Plan2!$A:$V,22,FALSE)</f>
        <v>39.958624334792297</v>
      </c>
      <c r="M43" s="2">
        <f>VLOOKUP($A43&amp;M$1,Plan2!$A:$V,22,FALSE)</f>
        <v>49.121557701722097</v>
      </c>
      <c r="N43" s="2">
        <f>VLOOKUP($A43&amp;N$1,Plan2!$A:$V,22,FALSE)</f>
        <v>51.775065411144297</v>
      </c>
      <c r="O43" s="2">
        <f>VLOOKUP($A43&amp;O$1,Plan2!$A:$V,22,FALSE)</f>
        <v>49.450467248918102</v>
      </c>
      <c r="P43" s="2">
        <f>VLOOKUP($A43&amp;P$1,Plan2!$A:$V,22,FALSE)</f>
        <v>49.965830486049803</v>
      </c>
      <c r="Q43" s="2">
        <f>VLOOKUP($A43&amp;Q$1,Plan2!$A:$V,22,FALSE)</f>
        <v>47.923695682720002</v>
      </c>
      <c r="R43" s="13" t="str">
        <f>VLOOKUP(A43,ratings!A:E,3,FALSE)</f>
        <v>AA</v>
      </c>
      <c r="S43" s="13" t="str">
        <f>VLOOKUP(A43,ratings!A:E,4,FALSE)</f>
        <v>Aa3</v>
      </c>
    </row>
    <row r="44" spans="1:19" x14ac:dyDescent="0.25">
      <c r="A44" t="s">
        <v>174</v>
      </c>
      <c r="B44" s="2">
        <f>VLOOKUP($A44&amp;B$1,Plan2!$A:$V,22,FALSE)</f>
        <v>46.007914473043897</v>
      </c>
      <c r="C44" s="2">
        <f>VLOOKUP($A44&amp;C$1,Plan2!$A:$V,22,FALSE)</f>
        <v>48.158660288461697</v>
      </c>
      <c r="D44" s="2">
        <f>VLOOKUP($A44&amp;D$1,Plan2!$A:$V,22,FALSE)</f>
        <v>49.570600295214497</v>
      </c>
      <c r="E44" s="2">
        <f>VLOOKUP($A44&amp;E$1,Plan2!$A:$V,22,FALSE)</f>
        <v>51.107949898011498</v>
      </c>
      <c r="F44" s="2">
        <f>VLOOKUP($A44&amp;F$1,Plan2!$A:$V,22,FALSE)</f>
        <v>52.353649311347397</v>
      </c>
      <c r="G44" s="2">
        <f>VLOOKUP($A44&amp;G$1,Plan2!$A:$V,22,FALSE)</f>
        <v>52.1955007854257</v>
      </c>
      <c r="H44" s="2">
        <f>VLOOKUP($A44&amp;H$1,Plan2!$A:$V,22,FALSE)</f>
        <v>52.986915768222097</v>
      </c>
      <c r="I44" s="2">
        <f>VLOOKUP($A44&amp;I$1,Plan2!$A:$V,22,FALSE)</f>
        <v>53.8728158562677</v>
      </c>
      <c r="J44" s="2">
        <f>VLOOKUP($A44&amp;J$1,Plan2!$A:$V,22,FALSE)</f>
        <v>53.914780548216001</v>
      </c>
      <c r="K44" s="2">
        <f>VLOOKUP($A44&amp;K$1,Plan2!$A:$V,22,FALSE)</f>
        <v>50.926551390441396</v>
      </c>
      <c r="L44" s="2">
        <f>VLOOKUP($A44&amp;L$1,Plan2!$A:$V,22,FALSE)</f>
        <v>48.0714245196978</v>
      </c>
      <c r="M44" s="2">
        <f>VLOOKUP($A44&amp;M$1,Plan2!$A:$V,22,FALSE)</f>
        <v>50.430774560562</v>
      </c>
      <c r="N44" s="2">
        <f>VLOOKUP($A44&amp;N$1,Plan2!$A:$V,22,FALSE)</f>
        <v>49.855534891869603</v>
      </c>
      <c r="O44" s="2">
        <f>VLOOKUP($A44&amp;O$1,Plan2!$A:$V,22,FALSE)</f>
        <v>49.927743091998401</v>
      </c>
      <c r="P44" s="2">
        <f>VLOOKUP($A44&amp;P$1,Plan2!$A:$V,22,FALSE)</f>
        <v>50.643039705243801</v>
      </c>
      <c r="Q44" s="2">
        <f>VLOOKUP($A44&amp;Q$1,Plan2!$A:$V,22,FALSE)</f>
        <v>48.338103337936602</v>
      </c>
      <c r="R44" s="13" t="str">
        <f>VLOOKUP(A44,ratings!A:E,3,FALSE)</f>
        <v>AA+</v>
      </c>
      <c r="S44" s="13" t="str">
        <f>VLOOKUP(A44,ratings!A:E,4,FALSE)</f>
        <v>Aaa</v>
      </c>
    </row>
    <row r="45" spans="1:19" x14ac:dyDescent="0.25">
      <c r="A45" t="s">
        <v>224</v>
      </c>
      <c r="B45" s="2">
        <f>VLOOKUP($A45&amp;B$1,Plan2!$A:$V,22,FALSE)</f>
        <v>46.211192176437599</v>
      </c>
      <c r="C45" s="2">
        <f>VLOOKUP($A45&amp;C$1,Plan2!$A:$V,22,FALSE)</f>
        <v>46.712719815258602</v>
      </c>
      <c r="D45" s="2">
        <f>VLOOKUP($A45&amp;D$1,Plan2!$A:$V,22,FALSE)</f>
        <v>46.092206747826999</v>
      </c>
      <c r="E45" s="2">
        <f>VLOOKUP($A45&amp;E$1,Plan2!$A:$V,22,FALSE)</f>
        <v>47.097182380363499</v>
      </c>
      <c r="F45" s="2">
        <f>VLOOKUP($A45&amp;F$1,Plan2!$A:$V,22,FALSE)</f>
        <v>46.247140772967398</v>
      </c>
      <c r="G45" s="2">
        <f>VLOOKUP($A45&amp;G$1,Plan2!$A:$V,22,FALSE)</f>
        <v>48.2284751080592</v>
      </c>
      <c r="H45" s="2">
        <f>VLOOKUP($A45&amp;H$1,Plan2!$A:$V,22,FALSE)</f>
        <v>49.231144166706301</v>
      </c>
      <c r="I45" s="2">
        <f>VLOOKUP($A45&amp;I$1,Plan2!$A:$V,22,FALSE)</f>
        <v>48.546418296446397</v>
      </c>
      <c r="J45" s="2">
        <f>VLOOKUP($A45&amp;J$1,Plan2!$A:$V,22,FALSE)</f>
        <v>48.699091491865502</v>
      </c>
      <c r="K45" s="2">
        <f>VLOOKUP($A45&amp;K$1,Plan2!$A:$V,22,FALSE)</f>
        <v>48.724194256093099</v>
      </c>
      <c r="L45" s="2">
        <f>VLOOKUP($A45&amp;L$1,Plan2!$A:$V,22,FALSE)</f>
        <v>42.491134289956001</v>
      </c>
      <c r="M45" s="2">
        <f>VLOOKUP($A45&amp;M$1,Plan2!$A:$V,22,FALSE)</f>
        <v>40.825128409447302</v>
      </c>
      <c r="N45" s="2">
        <f>VLOOKUP($A45&amp;N$1,Plan2!$A:$V,22,FALSE)</f>
        <v>42.748371271361201</v>
      </c>
      <c r="O45" s="2">
        <f>VLOOKUP($A45&amp;O$1,Plan2!$A:$V,22,FALSE)</f>
        <v>46.126266588349999</v>
      </c>
      <c r="P45" s="2">
        <f>VLOOKUP($A45&amp;P$1,Plan2!$A:$V,22,FALSE)</f>
        <v>47.1896724623723</v>
      </c>
      <c r="Q45" s="2">
        <f>VLOOKUP($A45&amp;Q$1,Plan2!$A:$V,22,FALSE)</f>
        <v>45.007686890582903</v>
      </c>
      <c r="R45" s="13" t="str">
        <f>VLOOKUP(A45,ratings!A:E,3,FALSE)</f>
        <v>BBB+</v>
      </c>
      <c r="S45" s="13" t="str">
        <f>VLOOKUP(A45,ratings!A:E,4,FALSE)</f>
        <v>Baa1</v>
      </c>
    </row>
    <row r="46" spans="1:19" x14ac:dyDescent="0.25">
      <c r="A46" t="s">
        <v>242</v>
      </c>
      <c r="B46" s="2">
        <f>VLOOKUP($A46&amp;B$1,Plan2!$A:$V,22,FALSE)</f>
        <v>49.776084878063898</v>
      </c>
      <c r="C46" s="2">
        <f>VLOOKUP($A46&amp;C$1,Plan2!$A:$V,22,FALSE)</f>
        <v>49.928151070201899</v>
      </c>
      <c r="D46" s="2">
        <f>VLOOKUP($A46&amp;D$1,Plan2!$A:$V,22,FALSE)</f>
        <v>46.5873572451803</v>
      </c>
      <c r="E46" s="2">
        <f>VLOOKUP($A46&amp;E$1,Plan2!$A:$V,22,FALSE)</f>
        <v>48.293787048208102</v>
      </c>
      <c r="F46" s="2">
        <f>VLOOKUP($A46&amp;F$1,Plan2!$A:$V,22,FALSE)</f>
        <v>47.394544092988298</v>
      </c>
      <c r="G46" s="2">
        <f>VLOOKUP($A46&amp;G$1,Plan2!$A:$V,22,FALSE)</f>
        <v>47.166358500778699</v>
      </c>
      <c r="H46" s="2">
        <f>VLOOKUP($A46&amp;H$1,Plan2!$A:$V,22,FALSE)</f>
        <v>49.964591927719397</v>
      </c>
      <c r="I46" s="2">
        <f>VLOOKUP($A46&amp;I$1,Plan2!$A:$V,22,FALSE)</f>
        <v>49.083671963386799</v>
      </c>
      <c r="J46" s="2">
        <f>VLOOKUP($A46&amp;J$1,Plan2!$A:$V,22,FALSE)</f>
        <v>49.521897040400702</v>
      </c>
      <c r="K46" s="2">
        <f>VLOOKUP($A46&amp;K$1,Plan2!$A:$V,22,FALSE)</f>
        <v>48.908570618348001</v>
      </c>
      <c r="L46" s="2">
        <f>VLOOKUP($A46&amp;L$1,Plan2!$A:$V,22,FALSE)</f>
        <v>44.833028988120397</v>
      </c>
      <c r="M46" s="2">
        <f>VLOOKUP($A46&amp;M$1,Plan2!$A:$V,22,FALSE)</f>
        <v>48.938813365709599</v>
      </c>
      <c r="N46" s="2">
        <f>VLOOKUP($A46&amp;N$1,Plan2!$A:$V,22,FALSE)</f>
        <v>50.278075711458499</v>
      </c>
      <c r="O46" s="2">
        <f>VLOOKUP($A46&amp;O$1,Plan2!$A:$V,22,FALSE)</f>
        <v>49.354428748398</v>
      </c>
      <c r="P46" s="2">
        <f>VLOOKUP($A46&amp;P$1,Plan2!$A:$V,22,FALSE)</f>
        <v>49.856872882420902</v>
      </c>
      <c r="Q46" s="2">
        <f>VLOOKUP($A46&amp;Q$1,Plan2!$A:$V,22,FALSE)</f>
        <v>47.3915580686661</v>
      </c>
      <c r="R46" s="13" t="str">
        <f>VLOOKUP(A46,ratings!A:E,3,FALSE)</f>
        <v>BBB+</v>
      </c>
      <c r="S46" s="13" t="str">
        <f>VLOOKUP(A46,ratings!A:E,4,FALSE)</f>
        <v>Baa1</v>
      </c>
    </row>
    <row r="47" spans="1:19" x14ac:dyDescent="0.25">
      <c r="A47" s="3" t="s">
        <v>50</v>
      </c>
      <c r="B47" s="2">
        <f>VLOOKUP($A47&amp;B$1,Plan2!$A:$V,22,FALSE)</f>
        <v>35.896249103712996</v>
      </c>
      <c r="C47" s="2">
        <f>VLOOKUP($A47&amp;C$1,Plan2!$A:$V,22,FALSE)</f>
        <v>37.1210136134452</v>
      </c>
      <c r="D47" s="2">
        <f>VLOOKUP($A47&amp;D$1,Plan2!$A:$V,22,FALSE)</f>
        <v>37.378735317331397</v>
      </c>
      <c r="E47" s="2">
        <f>VLOOKUP($A47&amp;E$1,Plan2!$A:$V,22,FALSE)</f>
        <v>42.814107544183202</v>
      </c>
      <c r="F47" s="2">
        <f>VLOOKUP($A47&amp;F$1,Plan2!$A:$V,22,FALSE)</f>
        <v>39.7402334188086</v>
      </c>
      <c r="G47" s="2">
        <f>VLOOKUP($A47&amp;G$1,Plan2!$A:$V,22,FALSE)</f>
        <v>37.053289842309901</v>
      </c>
      <c r="H47" s="2">
        <f>VLOOKUP($A47&amp;H$1,Plan2!$A:$V,22,FALSE)</f>
        <v>37.540093921468497</v>
      </c>
      <c r="I47" s="2">
        <f>VLOOKUP($A47&amp;I$1,Plan2!$A:$V,22,FALSE)</f>
        <v>37.271083668724302</v>
      </c>
      <c r="J47" s="2">
        <f>VLOOKUP($A47&amp;J$1,Plan2!$A:$V,22,FALSE)</f>
        <v>38.140663296664201</v>
      </c>
      <c r="K47" s="2">
        <f>VLOOKUP($A47&amp;K$1,Plan2!$A:$V,22,FALSE)</f>
        <v>39.516343851319498</v>
      </c>
      <c r="L47" s="2">
        <f>VLOOKUP($A47&amp;L$1,Plan2!$A:$V,22,FALSE)</f>
        <v>32.217072305281697</v>
      </c>
      <c r="M47" s="2">
        <f>VLOOKUP($A47&amp;M$1,Plan2!$A:$V,22,FALSE)</f>
        <v>41.3533601112985</v>
      </c>
      <c r="N47" s="2">
        <f>VLOOKUP($A47&amp;N$1,Plan2!$A:$V,22,FALSE)</f>
        <v>42.444397261543202</v>
      </c>
      <c r="O47" s="2">
        <f>VLOOKUP($A47&amp;O$1,Plan2!$A:$V,22,FALSE)</f>
        <v>40.240061160444498</v>
      </c>
      <c r="P47" s="2">
        <f>VLOOKUP($A47&amp;P$1,Plan2!$A:$V,22,FALSE)</f>
        <v>41.481026804317899</v>
      </c>
      <c r="Q47" s="2">
        <f>VLOOKUP($A47&amp;Q$1,Plan2!$A:$V,22,FALSE)</f>
        <v>38.635422858376302</v>
      </c>
      <c r="R47" s="13" t="str">
        <f>VLOOKUP(A47,ratings!A:E,3,FALSE)</f>
        <v>BB</v>
      </c>
      <c r="S47" s="13" t="str">
        <f>VLOOKUP(A47,ratings!A:E,4,FALSE)</f>
        <v>Ba1</v>
      </c>
    </row>
    <row r="48" spans="1:19" x14ac:dyDescent="0.25">
      <c r="A48" t="s">
        <v>200</v>
      </c>
      <c r="B48" s="2">
        <f>VLOOKUP($A48&amp;B$1,Plan2!$A:$V,22,FALSE)</f>
        <v>59.2791811802878</v>
      </c>
      <c r="C48" s="2">
        <f>VLOOKUP($A48&amp;C$1,Plan2!$A:$V,22,FALSE)</f>
        <v>71.7293321519426</v>
      </c>
      <c r="D48" s="2">
        <f>VLOOKUP($A48&amp;D$1,Plan2!$A:$V,22,FALSE)</f>
        <v>72.198636395411498</v>
      </c>
      <c r="E48" s="2">
        <f>VLOOKUP($A48&amp;E$1,Plan2!$A:$V,22,FALSE)</f>
        <v>64.556992222784103</v>
      </c>
      <c r="F48" s="2">
        <f>VLOOKUP($A48&amp;F$1,Plan2!$A:$V,22,FALSE)</f>
        <v>53.819900605318999</v>
      </c>
      <c r="G48" s="2">
        <f>VLOOKUP($A48&amp;G$1,Plan2!$A:$V,22,FALSE)</f>
        <v>35.884092247138803</v>
      </c>
      <c r="H48" s="2">
        <f>VLOOKUP($A48&amp;H$1,Plan2!$A:$V,22,FALSE)</f>
        <v>36.026493451524502</v>
      </c>
      <c r="I48" s="2">
        <f>VLOOKUP($A48&amp;I$1,Plan2!$A:$V,22,FALSE)</f>
        <v>41.542022593525203</v>
      </c>
      <c r="J48" s="2">
        <f>VLOOKUP($A48&amp;J$1,Plan2!$A:$V,22,FALSE)</f>
        <v>47.282997280340901</v>
      </c>
      <c r="K48" s="2">
        <f>VLOOKUP($A48&amp;K$1,Plan2!$A:$V,22,FALSE)</f>
        <v>46.802292959233597</v>
      </c>
      <c r="L48" s="2">
        <f>VLOOKUP($A48&amp;L$1,Plan2!$A:$V,22,FALSE)</f>
        <v>37.517379978410801</v>
      </c>
      <c r="M48" s="2">
        <f>VLOOKUP($A48&amp;M$1,Plan2!$A:$V,22,FALSE)</f>
        <v>48.339344599015099</v>
      </c>
      <c r="N48" s="2">
        <f>VLOOKUP($A48&amp;N$1,Plan2!$A:$V,22,FALSE)</f>
        <v>55.568208553404297</v>
      </c>
      <c r="O48" s="2">
        <f>VLOOKUP($A48&amp;O$1,Plan2!$A:$V,22,FALSE)</f>
        <v>47.579300217478298</v>
      </c>
      <c r="P48" s="2">
        <f>VLOOKUP($A48&amp;P$1,Plan2!$A:$V,22,FALSE)</f>
        <v>46.710519548899399</v>
      </c>
      <c r="Q48" s="2">
        <f>VLOOKUP($A48&amp;Q$1,Plan2!$A:$V,22,FALSE)</f>
        <v>46.1102019759076</v>
      </c>
      <c r="R48" s="13" t="str">
        <f>VLOOKUP(A48,ratings!A:E,3,FALSE)</f>
        <v>A+</v>
      </c>
      <c r="S48" s="13" t="str">
        <f>VLOOKUP(A48,ratings!A:E,4,FALSE)</f>
        <v>Aa3</v>
      </c>
    </row>
    <row r="49" spans="1:19" x14ac:dyDescent="0.25">
      <c r="A49" t="s">
        <v>158</v>
      </c>
      <c r="B49" s="2">
        <f>VLOOKUP($A49&amp;B$1,Plan2!$A:$V,22,FALSE)</f>
        <v>38.805544759647098</v>
      </c>
      <c r="C49" s="2">
        <f>VLOOKUP($A49&amp;C$1,Plan2!$A:$V,22,FALSE)</f>
        <v>39.538281405986801</v>
      </c>
      <c r="D49" s="2">
        <f>VLOOKUP($A49&amp;D$1,Plan2!$A:$V,22,FALSE)</f>
        <v>41.712536479912202</v>
      </c>
      <c r="E49" s="2">
        <f>VLOOKUP($A49&amp;E$1,Plan2!$A:$V,22,FALSE)</f>
        <v>41.692329140951799</v>
      </c>
      <c r="F49" s="2">
        <f>VLOOKUP($A49&amp;F$1,Plan2!$A:$V,22,FALSE)</f>
        <v>42.4657616764027</v>
      </c>
      <c r="G49" s="2">
        <f>VLOOKUP($A49&amp;G$1,Plan2!$A:$V,22,FALSE)</f>
        <v>38.273458204671201</v>
      </c>
      <c r="H49" s="2">
        <f>VLOOKUP($A49&amp;H$1,Plan2!$A:$V,22,FALSE)</f>
        <v>43.728041661901599</v>
      </c>
      <c r="I49" s="2">
        <f>VLOOKUP($A49&amp;I$1,Plan2!$A:$V,22,FALSE)</f>
        <v>44.933018051812603</v>
      </c>
      <c r="J49" s="2">
        <f>VLOOKUP($A49&amp;J$1,Plan2!$A:$V,22,FALSE)</f>
        <v>44.6645685203192</v>
      </c>
      <c r="K49" s="2">
        <f>VLOOKUP($A49&amp;K$1,Plan2!$A:$V,22,FALSE)</f>
        <v>38.750466947285503</v>
      </c>
      <c r="L49" s="2">
        <f>VLOOKUP($A49&amp;L$1,Plan2!$A:$V,22,FALSE)</f>
        <v>33.1199913068602</v>
      </c>
      <c r="M49" s="2">
        <f>VLOOKUP($A49&amp;M$1,Plan2!$A:$V,22,FALSE)</f>
        <v>42.344458815232102</v>
      </c>
      <c r="N49" s="2">
        <f>VLOOKUP($A49&amp;N$1,Plan2!$A:$V,22,FALSE)</f>
        <v>47.048881240567603</v>
      </c>
      <c r="O49" s="2">
        <f>VLOOKUP($A49&amp;O$1,Plan2!$A:$V,22,FALSE)</f>
        <v>46.919139631643098</v>
      </c>
      <c r="P49" s="2">
        <f>VLOOKUP($A49&amp;P$1,Plan2!$A:$V,22,FALSE)</f>
        <v>43.986276538684301</v>
      </c>
      <c r="Q49" s="2">
        <f>VLOOKUP($A49&amp;Q$1,Plan2!$A:$V,22,FALSE)</f>
        <v>42.817718702489003</v>
      </c>
      <c r="R49" s="13" t="str">
        <f>VLOOKUP(A49,ratings!A:E,3,FALSE)</f>
        <v>-</v>
      </c>
      <c r="S49" s="13" t="str">
        <f>VLOOKUP(A49,ratings!A:E,4,FALSE)</f>
        <v>Baa3</v>
      </c>
    </row>
    <row r="50" spans="1:19" x14ac:dyDescent="0.25">
      <c r="A50" t="s">
        <v>230</v>
      </c>
      <c r="B50" s="2">
        <f>VLOOKUP($A50&amp;B$1,Plan2!$A:$V,22,FALSE)</f>
        <v>37.466462579713202</v>
      </c>
      <c r="C50" s="2">
        <f>VLOOKUP($A50&amp;C$1,Plan2!$A:$V,22,FALSE)</f>
        <v>40.300943522788501</v>
      </c>
      <c r="D50" s="2">
        <f>VLOOKUP($A50&amp;D$1,Plan2!$A:$V,22,FALSE)</f>
        <v>43.4985129971719</v>
      </c>
      <c r="E50" s="2">
        <f>VLOOKUP($A50&amp;E$1,Plan2!$A:$V,22,FALSE)</f>
        <v>44.572007681330199</v>
      </c>
      <c r="F50" s="2">
        <f>VLOOKUP($A50&amp;F$1,Plan2!$A:$V,22,FALSE)</f>
        <v>44.4381583387758</v>
      </c>
      <c r="G50" s="2">
        <f>VLOOKUP($A50&amp;G$1,Plan2!$A:$V,22,FALSE)</f>
        <v>45.046133951728201</v>
      </c>
      <c r="H50" s="2">
        <f>VLOOKUP($A50&amp;H$1,Plan2!$A:$V,22,FALSE)</f>
        <v>43.594183679813099</v>
      </c>
      <c r="I50" s="2">
        <f>VLOOKUP($A50&amp;I$1,Plan2!$A:$V,22,FALSE)</f>
        <v>43.878769225967098</v>
      </c>
      <c r="J50" s="2">
        <f>VLOOKUP($A50&amp;J$1,Plan2!$A:$V,22,FALSE)</f>
        <v>43.065145330798899</v>
      </c>
      <c r="K50" s="2">
        <f>VLOOKUP($A50&amp;K$1,Plan2!$A:$V,22,FALSE)</f>
        <v>40.9936070867277</v>
      </c>
      <c r="L50" s="2">
        <f>VLOOKUP($A50&amp;L$1,Plan2!$A:$V,22,FALSE)</f>
        <v>39.239300147942899</v>
      </c>
      <c r="M50" s="2">
        <f>VLOOKUP($A50&amp;M$1,Plan2!$A:$V,22,FALSE)</f>
        <v>43.953930033966003</v>
      </c>
      <c r="N50" s="2">
        <f>VLOOKUP($A50&amp;N$1,Plan2!$A:$V,22,FALSE)</f>
        <v>44.011670587065602</v>
      </c>
      <c r="O50" s="2">
        <f>VLOOKUP($A50&amp;O$1,Plan2!$A:$V,22,FALSE)</f>
        <v>43.567691878397298</v>
      </c>
      <c r="P50" s="2">
        <f>VLOOKUP($A50&amp;P$1,Plan2!$A:$V,22,FALSE)</f>
        <v>44.241325222607202</v>
      </c>
      <c r="Q50" s="2">
        <f>VLOOKUP($A50&amp;Q$1,Plan2!$A:$V,22,FALSE)</f>
        <v>43.912847432154301</v>
      </c>
      <c r="R50" s="13" t="str">
        <f>VLOOKUP(A50,ratings!A:E,3,FALSE)</f>
        <v>BB-</v>
      </c>
      <c r="S50" s="13" t="str">
        <f>VLOOKUP(A50,ratings!A:E,4,FALSE)</f>
        <v>Ba3</v>
      </c>
    </row>
    <row r="51" spans="1:19" x14ac:dyDescent="0.25">
      <c r="A51" t="s">
        <v>226</v>
      </c>
      <c r="B51" s="2">
        <f>VLOOKUP($A51&amp;B$1,Plan2!$A:$V,22,FALSE)</f>
        <v>28.648652884306198</v>
      </c>
      <c r="C51" s="2">
        <f>VLOOKUP($A51&amp;C$1,Plan2!$A:$V,22,FALSE)</f>
        <v>25.468695706761501</v>
      </c>
      <c r="D51" s="2">
        <f>VLOOKUP($A51&amp;D$1,Plan2!$A:$V,22,FALSE)</f>
        <v>30.215814537669299</v>
      </c>
      <c r="E51" s="2">
        <f>VLOOKUP($A51&amp;E$1,Plan2!$A:$V,22,FALSE)</f>
        <v>31.805256519193001</v>
      </c>
      <c r="F51" s="2">
        <f>VLOOKUP($A51&amp;F$1,Plan2!$A:$V,22,FALSE)</f>
        <v>45.638010973280899</v>
      </c>
      <c r="G51" s="2">
        <f>VLOOKUP($A51&amp;G$1,Plan2!$A:$V,22,FALSE)</f>
        <v>36.637642710935502</v>
      </c>
      <c r="H51" s="2">
        <f>VLOOKUP($A51&amp;H$1,Plan2!$A:$V,22,FALSE)</f>
        <v>43.736647904603501</v>
      </c>
      <c r="I51" s="2">
        <f>VLOOKUP($A51&amp;I$1,Plan2!$A:$V,22,FALSE)</f>
        <v>45.297224178460503</v>
      </c>
      <c r="J51" s="2">
        <f>VLOOKUP($A51&amp;J$1,Plan2!$A:$V,22,FALSE)</f>
        <v>44.688225916476</v>
      </c>
      <c r="K51" s="2">
        <f>VLOOKUP($A51&amp;K$1,Plan2!$A:$V,22,FALSE)</f>
        <v>44.4951528382893</v>
      </c>
      <c r="L51" s="2">
        <f>VLOOKUP($A51&amp;L$1,Plan2!$A:$V,22,FALSE)</f>
        <v>47.749296825833298</v>
      </c>
      <c r="M51" s="2">
        <f>VLOOKUP($A51&amp;M$1,Plan2!$A:$V,22,FALSE)</f>
        <v>41.855025295285401</v>
      </c>
      <c r="N51" s="2">
        <f>VLOOKUP($A51&amp;N$1,Plan2!$A:$V,22,FALSE)</f>
        <v>43.812384371929298</v>
      </c>
      <c r="O51" s="2">
        <f>VLOOKUP($A51&amp;O$1,Plan2!$A:$V,22,FALSE)</f>
        <v>48.078020797920601</v>
      </c>
      <c r="P51" s="2">
        <f>VLOOKUP($A51&amp;P$1,Plan2!$A:$V,22,FALSE)</f>
        <v>46.134989978593097</v>
      </c>
      <c r="Q51" s="2">
        <f>VLOOKUP($A51&amp;Q$1,Plan2!$A:$V,22,FALSE)</f>
        <v>46.344395581096101</v>
      </c>
      <c r="R51" s="13" t="e">
        <f>VLOOKUP(A51,ratings!A:E,3,FALSE)</f>
        <v>#N/A</v>
      </c>
      <c r="S51" s="13" t="e">
        <f>VLOOKUP(A51,ratings!A:E,4,FALSE)</f>
        <v>#N/A</v>
      </c>
    </row>
    <row r="52" spans="1:19" x14ac:dyDescent="0.25">
      <c r="A52" t="s">
        <v>80</v>
      </c>
      <c r="B52" s="2">
        <f>VLOOKUP($A52&amp;B$1,Plan2!$A:$V,22,FALSE)</f>
        <v>46.989919733503299</v>
      </c>
      <c r="C52" s="2">
        <f>VLOOKUP($A52&amp;C$1,Plan2!$A:$V,22,FALSE)</f>
        <v>50.154795261558696</v>
      </c>
      <c r="D52" s="2">
        <f>VLOOKUP($A52&amp;D$1,Plan2!$A:$V,22,FALSE)</f>
        <v>47.480521809960699</v>
      </c>
      <c r="E52" s="2">
        <f>VLOOKUP($A52&amp;E$1,Plan2!$A:$V,22,FALSE)</f>
        <v>43.228995121093398</v>
      </c>
      <c r="F52" s="2">
        <f>VLOOKUP($A52&amp;F$1,Plan2!$A:$V,22,FALSE)</f>
        <v>41.8758969067745</v>
      </c>
      <c r="G52" s="2">
        <f>VLOOKUP($A52&amp;G$1,Plan2!$A:$V,22,FALSE)</f>
        <v>41.066653180020701</v>
      </c>
      <c r="H52" s="2">
        <f>VLOOKUP($A52&amp;H$1,Plan2!$A:$V,22,FALSE)</f>
        <v>37.576487996254997</v>
      </c>
      <c r="I52" s="2">
        <f>VLOOKUP($A52&amp;I$1,Plan2!$A:$V,22,FALSE)</f>
        <v>42.111521483651799</v>
      </c>
      <c r="J52" s="2">
        <f>VLOOKUP($A52&amp;J$1,Plan2!$A:$V,22,FALSE)</f>
        <v>45.021966106791602</v>
      </c>
      <c r="K52" s="2">
        <f>VLOOKUP($A52&amp;K$1,Plan2!$A:$V,22,FALSE)</f>
        <v>44.089961363755798</v>
      </c>
      <c r="L52" s="2">
        <f>VLOOKUP($A52&amp;L$1,Plan2!$A:$V,22,FALSE)</f>
        <v>37.903563502032398</v>
      </c>
      <c r="M52" s="2">
        <f>VLOOKUP($A52&amp;M$1,Plan2!$A:$V,22,FALSE)</f>
        <v>48.072783304107098</v>
      </c>
      <c r="N52" s="2">
        <f>VLOOKUP($A52&amp;N$1,Plan2!$A:$V,22,FALSE)</f>
        <v>49.643632252253802</v>
      </c>
      <c r="O52" s="2">
        <f>VLOOKUP($A52&amp;O$1,Plan2!$A:$V,22,FALSE)</f>
        <v>46.017161897816898</v>
      </c>
      <c r="P52" s="2">
        <f>VLOOKUP($A52&amp;P$1,Plan2!$A:$V,22,FALSE)</f>
        <v>48.336042232477098</v>
      </c>
      <c r="Q52" s="2">
        <f>VLOOKUP($A52&amp;Q$1,Plan2!$A:$V,22,FALSE)</f>
        <v>45.600448584259098</v>
      </c>
      <c r="R52" s="13" t="str">
        <f>VLOOKUP(A52,ratings!A:E,3,FALSE)</f>
        <v>B-</v>
      </c>
      <c r="S52" s="13" t="str">
        <f>VLOOKUP(A52,ratings!A:E,4,FALSE)</f>
        <v>Caa1</v>
      </c>
    </row>
    <row r="53" spans="1:19" x14ac:dyDescent="0.25">
      <c r="A53" t="s">
        <v>36</v>
      </c>
      <c r="B53" s="2">
        <f>VLOOKUP($A53&amp;B$1,Plan2!$A:$V,22,FALSE)</f>
        <v>37.1087143386954</v>
      </c>
      <c r="C53" s="2">
        <f>VLOOKUP($A53&amp;C$1,Plan2!$A:$V,22,FALSE)</f>
        <v>36.532338748632597</v>
      </c>
      <c r="D53" s="2">
        <f>VLOOKUP($A53&amp;D$1,Plan2!$A:$V,22,FALSE)</f>
        <v>37.1049283827412</v>
      </c>
      <c r="E53" s="2">
        <f>VLOOKUP($A53&amp;E$1,Plan2!$A:$V,22,FALSE)</f>
        <v>33.237942352674999</v>
      </c>
      <c r="F53" s="2">
        <f>VLOOKUP($A53&amp;F$1,Plan2!$A:$V,22,FALSE)</f>
        <v>35.126517652253703</v>
      </c>
      <c r="G53" s="2">
        <f>VLOOKUP($A53&amp;G$1,Plan2!$A:$V,22,FALSE)</f>
        <v>38.608548259727101</v>
      </c>
      <c r="H53" s="2">
        <f>VLOOKUP($A53&amp;H$1,Plan2!$A:$V,22,FALSE)</f>
        <v>39.232311604856598</v>
      </c>
      <c r="I53" s="2">
        <f>VLOOKUP($A53&amp;I$1,Plan2!$A:$V,22,FALSE)</f>
        <v>37.497065976123302</v>
      </c>
      <c r="J53" s="2">
        <f>VLOOKUP($A53&amp;J$1,Plan2!$A:$V,22,FALSE)</f>
        <v>39.363747918668402</v>
      </c>
      <c r="K53" s="2">
        <f>VLOOKUP($A53&amp;K$1,Plan2!$A:$V,22,FALSE)</f>
        <v>42.666242934650597</v>
      </c>
      <c r="L53" s="2">
        <f>VLOOKUP($A53&amp;L$1,Plan2!$A:$V,22,FALSE)</f>
        <v>31.140477082733899</v>
      </c>
      <c r="M53" s="2">
        <f>VLOOKUP($A53&amp;M$1,Plan2!$A:$V,22,FALSE)</f>
        <v>33.339628879004202</v>
      </c>
      <c r="N53" s="2">
        <f>VLOOKUP($A53&amp;N$1,Plan2!$A:$V,22,FALSE)</f>
        <v>42.152202966990203</v>
      </c>
      <c r="O53" s="2">
        <f>VLOOKUP($A53&amp;O$1,Plan2!$A:$V,22,FALSE)</f>
        <v>43.180018360674197</v>
      </c>
      <c r="P53" s="2">
        <f>VLOOKUP($A53&amp;P$1,Plan2!$A:$V,22,FALSE)</f>
        <v>44.782848195282597</v>
      </c>
      <c r="Q53" s="2">
        <f>VLOOKUP($A53&amp;Q$1,Plan2!$A:$V,22,FALSE)</f>
        <v>41.782356000680501</v>
      </c>
      <c r="R53" s="13" t="str">
        <f>VLOOKUP(A53,ratings!A:E,3,FALSE)</f>
        <v>BB-</v>
      </c>
      <c r="S53" s="13" t="str">
        <f>VLOOKUP(A53,ratings!A:E,4,FALSE)</f>
        <v>Ba3</v>
      </c>
    </row>
    <row r="54" spans="1:19" x14ac:dyDescent="0.25">
      <c r="A54" t="s">
        <v>26</v>
      </c>
      <c r="B54" s="2">
        <f>VLOOKUP($A54&amp;B$1,Plan2!$A:$V,22,FALSE)</f>
        <v>42.948525625396101</v>
      </c>
      <c r="C54" s="2">
        <f>VLOOKUP($A54&amp;C$1,Plan2!$A:$V,22,FALSE)</f>
        <v>41.043264016145301</v>
      </c>
      <c r="D54" s="2">
        <f>VLOOKUP($A54&amp;D$1,Plan2!$A:$V,22,FALSE)</f>
        <v>39.711375148189603</v>
      </c>
      <c r="E54" s="2">
        <f>VLOOKUP($A54&amp;E$1,Plan2!$A:$V,22,FALSE)</f>
        <v>39.482805989220402</v>
      </c>
      <c r="F54" s="2">
        <f>VLOOKUP($A54&amp;F$1,Plan2!$A:$V,22,FALSE)</f>
        <v>38.054400585351601</v>
      </c>
      <c r="G54" s="2">
        <f>VLOOKUP($A54&amp;G$1,Plan2!$A:$V,22,FALSE)</f>
        <v>37.757264474787803</v>
      </c>
      <c r="H54" s="2">
        <f>VLOOKUP($A54&amp;H$1,Plan2!$A:$V,22,FALSE)</f>
        <v>36.303453879383198</v>
      </c>
      <c r="I54" s="2">
        <f>VLOOKUP($A54&amp;I$1,Plan2!$A:$V,22,FALSE)</f>
        <v>36.2460025236863</v>
      </c>
      <c r="J54" s="2">
        <f>VLOOKUP($A54&amp;J$1,Plan2!$A:$V,22,FALSE)</f>
        <v>34.2292234245202</v>
      </c>
      <c r="K54" s="2">
        <f>VLOOKUP($A54&amp;K$1,Plan2!$A:$V,22,FALSE)</f>
        <v>35.273882085780997</v>
      </c>
      <c r="L54" s="2">
        <f>VLOOKUP($A54&amp;L$1,Plan2!$A:$V,22,FALSE)</f>
        <v>29.516608787756599</v>
      </c>
      <c r="M54" s="2">
        <f>VLOOKUP($A54&amp;M$1,Plan2!$A:$V,22,FALSE)</f>
        <v>39.496818902294898</v>
      </c>
      <c r="N54" s="2">
        <f>VLOOKUP($A54&amp;N$1,Plan2!$A:$V,22,FALSE)</f>
        <v>39.434649252987299</v>
      </c>
      <c r="O54" s="2">
        <f>VLOOKUP($A54&amp;O$1,Plan2!$A:$V,22,FALSE)</f>
        <v>32.1088973233079</v>
      </c>
      <c r="P54" s="2">
        <f>VLOOKUP($A54&amp;P$1,Plan2!$A:$V,22,FALSE)</f>
        <v>41.074114835675203</v>
      </c>
      <c r="Q54" s="2">
        <f>VLOOKUP($A54&amp;Q$1,Plan2!$A:$V,22,FALSE)</f>
        <v>40.615036833939797</v>
      </c>
      <c r="R54" s="13" t="str">
        <f>VLOOKUP(A54,ratings!A:E,3,FALSE)</f>
        <v>B-</v>
      </c>
      <c r="S54" s="13" t="str">
        <f>VLOOKUP(A54,ratings!A:E,4,FALSE)</f>
        <v>Caa1</v>
      </c>
    </row>
    <row r="55" spans="1:19" x14ac:dyDescent="0.25">
      <c r="A55" t="s">
        <v>140</v>
      </c>
      <c r="B55" s="2">
        <f>VLOOKUP($A55&amp;B$1,Plan2!$A:$V,22,FALSE)</f>
        <v>34.717409293560401</v>
      </c>
      <c r="C55" s="2">
        <f>VLOOKUP($A55&amp;C$1,Plan2!$A:$V,22,FALSE)</f>
        <v>26.029619384509999</v>
      </c>
      <c r="D55" s="2">
        <f>VLOOKUP($A55&amp;D$1,Plan2!$A:$V,22,FALSE)</f>
        <v>38.299645936890897</v>
      </c>
      <c r="E55" s="2">
        <f>VLOOKUP($A55&amp;E$1,Plan2!$A:$V,22,FALSE)</f>
        <v>32.454367094179197</v>
      </c>
      <c r="F55" s="2">
        <f>VLOOKUP($A55&amp;F$1,Plan2!$A:$V,22,FALSE)</f>
        <v>36.776315435306401</v>
      </c>
      <c r="G55" s="2">
        <f>VLOOKUP($A55&amp;G$1,Plan2!$A:$V,22,FALSE)</f>
        <v>33.165740323843103</v>
      </c>
      <c r="H55" s="2">
        <f>VLOOKUP($A55&amp;H$1,Plan2!$A:$V,22,FALSE)</f>
        <v>25.366752466223801</v>
      </c>
      <c r="I55" s="2">
        <f>VLOOKUP($A55&amp;I$1,Plan2!$A:$V,22,FALSE)</f>
        <v>30.429337995165099</v>
      </c>
      <c r="J55" s="2">
        <f>VLOOKUP($A55&amp;J$1,Plan2!$A:$V,22,FALSE)</f>
        <v>29.849477863859899</v>
      </c>
      <c r="K55" s="2">
        <f>VLOOKUP($A55&amp;K$1,Plan2!$A:$V,22,FALSE)</f>
        <v>27.692048279714399</v>
      </c>
      <c r="L55" s="2">
        <f>VLOOKUP($A55&amp;L$1,Plan2!$A:$V,22,FALSE)</f>
        <v>33.632812164494602</v>
      </c>
      <c r="M55" s="2">
        <f>VLOOKUP($A55&amp;M$1,Plan2!$A:$V,22,FALSE)</f>
        <v>28.453356210248</v>
      </c>
      <c r="N55" s="2">
        <f>VLOOKUP($A55&amp;N$1,Plan2!$A:$V,22,FALSE)</f>
        <v>27.035534749382801</v>
      </c>
      <c r="O55" s="2">
        <f>VLOOKUP($A55&amp;O$1,Plan2!$A:$V,22,FALSE)</f>
        <v>42.377231311368199</v>
      </c>
      <c r="P55" s="2">
        <f>VLOOKUP($A55&amp;P$1,Plan2!$A:$V,22,FALSE)</f>
        <v>43.034085949658198</v>
      </c>
      <c r="Q55" s="2">
        <f>VLOOKUP($A55&amp;Q$1,Plan2!$A:$V,22,FALSE)</f>
        <v>35.628005918793598</v>
      </c>
      <c r="R55" s="13">
        <f>VLOOKUP(A55,ratings!A:E,3,FALSE)</f>
        <v>0</v>
      </c>
      <c r="S55" s="13">
        <f>VLOOKUP(A55,ratings!A:E,4,FALSE)</f>
        <v>0</v>
      </c>
    </row>
    <row r="56" spans="1:19" x14ac:dyDescent="0.25">
      <c r="A56" t="s">
        <v>154</v>
      </c>
      <c r="B56" s="2">
        <f>VLOOKUP($A56&amp;B$1,Plan2!$A:$V,22,FALSE)</f>
        <v>23.7578790576415</v>
      </c>
      <c r="C56" s="2">
        <f>VLOOKUP($A56&amp;C$1,Plan2!$A:$V,22,FALSE)</f>
        <v>29.478617812250899</v>
      </c>
      <c r="D56" s="2">
        <f>VLOOKUP($A56&amp;D$1,Plan2!$A:$V,22,FALSE)</f>
        <v>30.8616851029232</v>
      </c>
      <c r="E56" s="2">
        <f>VLOOKUP($A56&amp;E$1,Plan2!$A:$V,22,FALSE)</f>
        <v>35.360717743267401</v>
      </c>
      <c r="F56" s="2">
        <f>VLOOKUP($A56&amp;F$1,Plan2!$A:$V,22,FALSE)</f>
        <v>41.3595797580967</v>
      </c>
      <c r="G56" s="2">
        <f>VLOOKUP($A56&amp;G$1,Plan2!$A:$V,22,FALSE)</f>
        <v>35.551532441060502</v>
      </c>
      <c r="H56" s="2">
        <f>VLOOKUP($A56&amp;H$1,Plan2!$A:$V,22,FALSE)</f>
        <v>29.819347004310799</v>
      </c>
      <c r="I56" s="2">
        <f>VLOOKUP($A56&amp;I$1,Plan2!$A:$V,22,FALSE)</f>
        <v>35.503947607529703</v>
      </c>
      <c r="J56" s="2">
        <f>VLOOKUP($A56&amp;J$1,Plan2!$A:$V,22,FALSE)</f>
        <v>32.546072563320301</v>
      </c>
      <c r="K56" s="2">
        <f>VLOOKUP($A56&amp;K$1,Plan2!$A:$V,22,FALSE)</f>
        <v>31.7499146479682</v>
      </c>
      <c r="L56" s="2">
        <f>VLOOKUP($A56&amp;L$1,Plan2!$A:$V,22,FALSE)</f>
        <v>3.7041083503476901</v>
      </c>
      <c r="M56" s="2">
        <f>VLOOKUP($A56&amp;M$1,Plan2!$A:$V,22,FALSE)</f>
        <v>33.956677006371002</v>
      </c>
      <c r="N56" s="2">
        <f>VLOOKUP($A56&amp;N$1,Plan2!$A:$V,22,FALSE)</f>
        <v>36.548833140896001</v>
      </c>
      <c r="O56" s="2">
        <f>VLOOKUP($A56&amp;O$1,Plan2!$A:$V,22,FALSE)</f>
        <v>31.391635568706299</v>
      </c>
      <c r="P56" s="2">
        <f>VLOOKUP($A56&amp;P$1,Plan2!$A:$V,22,FALSE)</f>
        <v>32.910706351534898</v>
      </c>
      <c r="Q56" s="2">
        <f>VLOOKUP($A56&amp;Q$1,Plan2!$A:$V,22,FALSE)</f>
        <v>39.8210231275864</v>
      </c>
      <c r="R56" s="13">
        <f>VLOOKUP(A56,ratings!A:E,3,FALSE)</f>
        <v>0</v>
      </c>
      <c r="S56" s="13" t="str">
        <f>VLOOKUP(A56,ratings!A:E,4,FALSE)</f>
        <v>Caa2</v>
      </c>
    </row>
    <row r="57" spans="1:19" x14ac:dyDescent="0.25">
      <c r="A57" t="s">
        <v>194</v>
      </c>
      <c r="B57" s="2">
        <f>VLOOKUP($A57&amp;B$1,Plan2!$A:$V,22,FALSE)</f>
        <v>41.747178672697402</v>
      </c>
      <c r="C57" s="2">
        <f>VLOOKUP($A57&amp;C$1,Plan2!$A:$V,22,FALSE)</f>
        <v>45.118610615754399</v>
      </c>
      <c r="D57" s="2">
        <f>VLOOKUP($A57&amp;D$1,Plan2!$A:$V,22,FALSE)</f>
        <v>45.8749662826201</v>
      </c>
      <c r="E57" s="2">
        <f>VLOOKUP($A57&amp;E$1,Plan2!$A:$V,22,FALSE)</f>
        <v>46.426960497948599</v>
      </c>
      <c r="F57" s="2">
        <f>VLOOKUP($A57&amp;F$1,Plan2!$A:$V,22,FALSE)</f>
        <v>48.228614819150501</v>
      </c>
      <c r="G57" s="2">
        <f>VLOOKUP($A57&amp;G$1,Plan2!$A:$V,22,FALSE)</f>
        <v>48.502923516149004</v>
      </c>
      <c r="H57" s="2">
        <f>VLOOKUP($A57&amp;H$1,Plan2!$A:$V,22,FALSE)</f>
        <v>47.187412675838203</v>
      </c>
      <c r="I57" s="2">
        <f>VLOOKUP($A57&amp;I$1,Plan2!$A:$V,22,FALSE)</f>
        <v>48.022736001819297</v>
      </c>
      <c r="J57" s="2">
        <f>VLOOKUP($A57&amp;J$1,Plan2!$A:$V,22,FALSE)</f>
        <v>48.035160647036001</v>
      </c>
      <c r="K57" s="2">
        <f>VLOOKUP($A57&amp;K$1,Plan2!$A:$V,22,FALSE)</f>
        <v>46.284564563052399</v>
      </c>
      <c r="L57" s="2">
        <f>VLOOKUP($A57&amp;L$1,Plan2!$A:$V,22,FALSE)</f>
        <v>39.992166205191502</v>
      </c>
      <c r="M57" s="2">
        <f>VLOOKUP($A57&amp;M$1,Plan2!$A:$V,22,FALSE)</f>
        <v>43.746550806348601</v>
      </c>
      <c r="N57" s="2">
        <f>VLOOKUP($A57&amp;N$1,Plan2!$A:$V,22,FALSE)</f>
        <v>44.408007739061901</v>
      </c>
      <c r="O57" s="2">
        <f>VLOOKUP($A57&amp;O$1,Plan2!$A:$V,22,FALSE)</f>
        <v>44.179931950533998</v>
      </c>
      <c r="P57" s="2">
        <f>VLOOKUP($A57&amp;P$1,Plan2!$A:$V,22,FALSE)</f>
        <v>41.496363664230003</v>
      </c>
      <c r="Q57" s="2">
        <f>VLOOKUP($A57&amp;Q$1,Plan2!$A:$V,22,FALSE)</f>
        <v>41.449450805007601</v>
      </c>
      <c r="R57" s="13" t="str">
        <f>VLOOKUP(A57,ratings!A:E,3,FALSE)</f>
        <v>BBB-</v>
      </c>
      <c r="S57" s="13" t="str">
        <f>VLOOKUP(A57,ratings!A:E,4,FALSE)</f>
        <v>Baa3</v>
      </c>
    </row>
    <row r="58" spans="1:19" x14ac:dyDescent="0.25">
      <c r="A58" t="s">
        <v>240</v>
      </c>
      <c r="B58" s="2">
        <f>VLOOKUP($A58&amp;B$1,Plan2!$A:$V,22,FALSE)</f>
        <v>34.884168343578096</v>
      </c>
      <c r="C58" s="2">
        <f>VLOOKUP($A58&amp;C$1,Plan2!$A:$V,22,FALSE)</f>
        <v>36.198583416103098</v>
      </c>
      <c r="D58" s="2">
        <f>VLOOKUP($A58&amp;D$1,Plan2!$A:$V,22,FALSE)</f>
        <v>38.204092066520701</v>
      </c>
      <c r="E58" s="2">
        <f>VLOOKUP($A58&amp;E$1,Plan2!$A:$V,22,FALSE)</f>
        <v>41.931041981501103</v>
      </c>
      <c r="F58" s="2">
        <f>VLOOKUP($A58&amp;F$1,Plan2!$A:$V,22,FALSE)</f>
        <v>43.332846912330297</v>
      </c>
      <c r="G58" s="2">
        <f>VLOOKUP($A58&amp;G$1,Plan2!$A:$V,22,FALSE)</f>
        <v>44.292682282026902</v>
      </c>
      <c r="H58" s="2">
        <f>VLOOKUP($A58&amp;H$1,Plan2!$A:$V,22,FALSE)</f>
        <v>43.455253489925902</v>
      </c>
      <c r="I58" s="2">
        <f>VLOOKUP($A58&amp;I$1,Plan2!$A:$V,22,FALSE)</f>
        <v>44.0385274492563</v>
      </c>
      <c r="J58" s="2">
        <f>VLOOKUP($A58&amp;J$1,Plan2!$A:$V,22,FALSE)</f>
        <v>43.821220947195997</v>
      </c>
      <c r="K58" s="2">
        <f>VLOOKUP($A58&amp;K$1,Plan2!$A:$V,22,FALSE)</f>
        <v>43.843793785145998</v>
      </c>
      <c r="L58" s="2">
        <f>VLOOKUP($A58&amp;L$1,Plan2!$A:$V,22,FALSE)</f>
        <v>34.162896526522601</v>
      </c>
      <c r="M58" s="2">
        <f>VLOOKUP($A58&amp;M$1,Plan2!$A:$V,22,FALSE)</f>
        <v>40.832513437736402</v>
      </c>
      <c r="N58" s="2">
        <f>VLOOKUP($A58&amp;N$1,Plan2!$A:$V,22,FALSE)</f>
        <v>48.137078152258702</v>
      </c>
      <c r="O58" s="2">
        <f>VLOOKUP($A58&amp;O$1,Plan2!$A:$V,22,FALSE)</f>
        <v>44.754335348119902</v>
      </c>
      <c r="P58" s="2">
        <f>VLOOKUP($A58&amp;P$1,Plan2!$A:$V,22,FALSE)</f>
        <v>45.122974935002297</v>
      </c>
      <c r="Q58" s="2">
        <f>VLOOKUP($A58&amp;Q$1,Plan2!$A:$V,22,FALSE)</f>
        <v>41.305345093355797</v>
      </c>
      <c r="R58" s="13" t="str">
        <f>VLOOKUP(A58,ratings!A:E,3,FALSE)</f>
        <v>AA+</v>
      </c>
      <c r="S58" s="13" t="str">
        <f>VLOOKUP(A58,ratings!A:E,4,FALSE)</f>
        <v>Aa1</v>
      </c>
    </row>
    <row r="59" spans="1:19" x14ac:dyDescent="0.25">
      <c r="A59" t="s">
        <v>60</v>
      </c>
      <c r="B59" s="2">
        <f>VLOOKUP($A59&amp;B$1,Plan2!$A:$V,22,FALSE)</f>
        <v>45.992246418383303</v>
      </c>
      <c r="C59" s="2">
        <f>VLOOKUP($A59&amp;C$1,Plan2!$A:$V,22,FALSE)</f>
        <v>47.612831267267303</v>
      </c>
      <c r="D59" s="2">
        <f>VLOOKUP($A59&amp;D$1,Plan2!$A:$V,22,FALSE)</f>
        <v>46.898418011954597</v>
      </c>
      <c r="E59" s="2">
        <f>VLOOKUP($A59&amp;E$1,Plan2!$A:$V,22,FALSE)</f>
        <v>45.4250182204227</v>
      </c>
      <c r="F59" s="2">
        <f>VLOOKUP($A59&amp;F$1,Plan2!$A:$V,22,FALSE)</f>
        <v>44.333293106361602</v>
      </c>
      <c r="G59" s="2">
        <f>VLOOKUP($A59&amp;G$1,Plan2!$A:$V,22,FALSE)</f>
        <v>43.9456425312245</v>
      </c>
      <c r="H59" s="2">
        <f>VLOOKUP($A59&amp;H$1,Plan2!$A:$V,22,FALSE)</f>
        <v>43.2982311944766</v>
      </c>
      <c r="I59" s="2">
        <f>VLOOKUP($A59&amp;I$1,Plan2!$A:$V,22,FALSE)</f>
        <v>43.330015703450798</v>
      </c>
      <c r="J59" s="2">
        <f>VLOOKUP($A59&amp;J$1,Plan2!$A:$V,22,FALSE)</f>
        <v>44.692071365671801</v>
      </c>
      <c r="K59" s="2">
        <f>VLOOKUP($A59&amp;K$1,Plan2!$A:$V,22,FALSE)</f>
        <v>42.694081824886801</v>
      </c>
      <c r="L59" s="2">
        <f>VLOOKUP($A59&amp;L$1,Plan2!$A:$V,22,FALSE)</f>
        <v>37.0234647352557</v>
      </c>
      <c r="M59" s="2">
        <f>VLOOKUP($A59&amp;M$1,Plan2!$A:$V,22,FALSE)</f>
        <v>41.868388744723802</v>
      </c>
      <c r="N59" s="2">
        <f>VLOOKUP($A59&amp;N$1,Plan2!$A:$V,22,FALSE)</f>
        <v>47.189802935497198</v>
      </c>
      <c r="O59" s="2">
        <f>VLOOKUP($A59&amp;O$1,Plan2!$A:$V,22,FALSE)</f>
        <v>43.939625706755102</v>
      </c>
      <c r="P59" s="2">
        <f>VLOOKUP($A59&amp;P$1,Plan2!$A:$V,22,FALSE)</f>
        <v>43.930708765307102</v>
      </c>
      <c r="Q59" s="2">
        <f>VLOOKUP($A59&amp;Q$1,Plan2!$A:$V,22,FALSE)</f>
        <v>41.940131933600398</v>
      </c>
      <c r="R59" s="13" t="str">
        <f>VLOOKUP(A59,ratings!A:E,3,FALSE)</f>
        <v>A</v>
      </c>
      <c r="S59" s="13" t="str">
        <f>VLOOKUP(A59,ratings!A:E,4,FALSE)</f>
        <v>A2</v>
      </c>
    </row>
    <row r="60" spans="1:19" x14ac:dyDescent="0.25">
      <c r="A60" t="s">
        <v>22</v>
      </c>
      <c r="B60" s="2">
        <f>VLOOKUP($A60&amp;B$1,Plan2!$A:$V,22,FALSE)</f>
        <v>31.258762710123399</v>
      </c>
      <c r="C60" s="2">
        <f>VLOOKUP($A60&amp;C$1,Plan2!$A:$V,22,FALSE)</f>
        <v>30.947512230254599</v>
      </c>
      <c r="D60" s="2">
        <f>VLOOKUP($A60&amp;D$1,Plan2!$A:$V,22,FALSE)</f>
        <v>32.4825157438421</v>
      </c>
      <c r="E60" s="2">
        <f>VLOOKUP($A60&amp;E$1,Plan2!$A:$V,22,FALSE)</f>
        <v>30.1171933232295</v>
      </c>
      <c r="F60" s="2">
        <f>VLOOKUP($A60&amp;F$1,Plan2!$A:$V,22,FALSE)</f>
        <v>29.496300468673201</v>
      </c>
      <c r="G60" s="2">
        <f>VLOOKUP($A60&amp;G$1,Plan2!$A:$V,22,FALSE)</f>
        <v>31.5222973471706</v>
      </c>
      <c r="H60" s="2">
        <f>VLOOKUP($A60&amp;H$1,Plan2!$A:$V,22,FALSE)</f>
        <v>35.190112353213699</v>
      </c>
      <c r="I60" s="2">
        <f>VLOOKUP($A60&amp;I$1,Plan2!$A:$V,22,FALSE)</f>
        <v>36.650346436186403</v>
      </c>
      <c r="J60" s="2">
        <f>VLOOKUP($A60&amp;J$1,Plan2!$A:$V,22,FALSE)</f>
        <v>37.520319406107603</v>
      </c>
      <c r="K60" s="2">
        <f>VLOOKUP($A60&amp;K$1,Plan2!$A:$V,22,FALSE)</f>
        <v>37.272978328321699</v>
      </c>
      <c r="L60" s="2">
        <f>VLOOKUP($A60&amp;L$1,Plan2!$A:$V,22,FALSE)</f>
        <v>31.436485899567401</v>
      </c>
      <c r="M60" s="2">
        <f>VLOOKUP($A60&amp;M$1,Plan2!$A:$V,22,FALSE)</f>
        <v>36.859015620129099</v>
      </c>
      <c r="N60" s="2">
        <f>VLOOKUP($A60&amp;N$1,Plan2!$A:$V,22,FALSE)</f>
        <v>38.590083497283203</v>
      </c>
      <c r="O60" s="2">
        <f>VLOOKUP($A60&amp;O$1,Plan2!$A:$V,22,FALSE)</f>
        <v>42.012660497796801</v>
      </c>
      <c r="P60" s="2">
        <f>VLOOKUP($A60&amp;P$1,Plan2!$A:$V,22,FALSE)</f>
        <v>42.698255433584301</v>
      </c>
      <c r="Q60" s="2">
        <f>VLOOKUP($A60&amp;Q$1,Plan2!$A:$V,22,FALSE)</f>
        <v>37.867738027471603</v>
      </c>
      <c r="R60" s="13" t="str">
        <f>VLOOKUP(A60,ratings!A:E,3,FALSE)</f>
        <v>BB</v>
      </c>
      <c r="S60" s="13" t="str">
        <f>VLOOKUP(A60,ratings!A:E,4,FALSE)</f>
        <v>Ba3</v>
      </c>
    </row>
    <row r="61" spans="1:19" x14ac:dyDescent="0.25">
      <c r="A61" t="s">
        <v>164</v>
      </c>
      <c r="B61" s="2">
        <f>VLOOKUP($A61&amp;B$1,Plan2!$A:$V,22,FALSE)</f>
        <v>42.380726076906498</v>
      </c>
      <c r="C61" s="2">
        <f>VLOOKUP($A61&amp;C$1,Plan2!$A:$V,22,FALSE)</f>
        <v>38.961577550280097</v>
      </c>
      <c r="D61" s="2">
        <f>VLOOKUP($A61&amp;D$1,Plan2!$A:$V,22,FALSE)</f>
        <v>35.065293985854801</v>
      </c>
      <c r="E61" s="2">
        <f>VLOOKUP($A61&amp;E$1,Plan2!$A:$V,22,FALSE)</f>
        <v>38.525411337333203</v>
      </c>
      <c r="F61" s="2">
        <f>VLOOKUP($A61&amp;F$1,Plan2!$A:$V,22,FALSE)</f>
        <v>38.748083263875003</v>
      </c>
      <c r="G61" s="2">
        <f>VLOOKUP($A61&amp;G$1,Plan2!$A:$V,22,FALSE)</f>
        <v>35.772805468839003</v>
      </c>
      <c r="H61" s="2">
        <f>VLOOKUP($A61&amp;H$1,Plan2!$A:$V,22,FALSE)</f>
        <v>25.3834347800031</v>
      </c>
      <c r="I61" s="2">
        <f>VLOOKUP($A61&amp;I$1,Plan2!$A:$V,22,FALSE)</f>
        <v>36.353416287564002</v>
      </c>
      <c r="J61" s="2">
        <f>VLOOKUP($A61&amp;J$1,Plan2!$A:$V,22,FALSE)</f>
        <v>42.072055044551</v>
      </c>
      <c r="K61" s="2">
        <f>VLOOKUP($A61&amp;K$1,Plan2!$A:$V,22,FALSE)</f>
        <v>40.505824675280998</v>
      </c>
      <c r="L61" s="2">
        <f>VLOOKUP($A61&amp;L$1,Plan2!$A:$V,22,FALSE)</f>
        <v>32.568818476809803</v>
      </c>
      <c r="M61" s="2">
        <f>VLOOKUP($A61&amp;M$1,Plan2!$A:$V,22,FALSE)</f>
        <v>36.567847817809799</v>
      </c>
      <c r="N61" s="2">
        <f>VLOOKUP($A61&amp;N$1,Plan2!$A:$V,22,FALSE)</f>
        <v>40.797755771929502</v>
      </c>
      <c r="O61" s="2">
        <f>VLOOKUP($A61&amp;O$1,Plan2!$A:$V,22,FALSE)</f>
        <v>47.956278783751003</v>
      </c>
      <c r="P61" s="2">
        <f>VLOOKUP($A61&amp;P$1,Plan2!$A:$V,22,FALSE)</f>
        <v>45.2849314015752</v>
      </c>
      <c r="Q61" s="2">
        <f>VLOOKUP($A61&amp;Q$1,Plan2!$A:$V,22,FALSE)</f>
        <v>43.585873960909602</v>
      </c>
      <c r="R61" s="13" t="str">
        <f>VLOOKUP(A61,ratings!A:E,3,FALSE)</f>
        <v>BB-</v>
      </c>
      <c r="S61" s="13" t="str">
        <f>VLOOKUP(A61,ratings!A:E,4,FALSE)</f>
        <v>B1</v>
      </c>
    </row>
    <row r="62" spans="1:19" x14ac:dyDescent="0.25">
      <c r="A62" t="s">
        <v>162</v>
      </c>
      <c r="B62" s="2">
        <f>VLOOKUP($A62&amp;B$1,Plan2!$A:$V,22,FALSE)</f>
        <v>43.388717598431903</v>
      </c>
      <c r="C62" s="2">
        <f>VLOOKUP($A62&amp;C$1,Plan2!$A:$V,22,FALSE)</f>
        <v>42.783617519116497</v>
      </c>
      <c r="D62" s="2">
        <f>VLOOKUP($A62&amp;D$1,Plan2!$A:$V,22,FALSE)</f>
        <v>42.2047796698577</v>
      </c>
      <c r="E62" s="2">
        <f>VLOOKUP($A62&amp;E$1,Plan2!$A:$V,22,FALSE)</f>
        <v>44.716515080484498</v>
      </c>
      <c r="F62" s="2">
        <f>VLOOKUP($A62&amp;F$1,Plan2!$A:$V,22,FALSE)</f>
        <v>43.9608515679585</v>
      </c>
      <c r="G62" s="2">
        <f>VLOOKUP($A62&amp;G$1,Plan2!$A:$V,22,FALSE)</f>
        <v>41.949328229471902</v>
      </c>
      <c r="H62" s="2">
        <f>VLOOKUP($A62&amp;H$1,Plan2!$A:$V,22,FALSE)</f>
        <v>43.750031745334702</v>
      </c>
      <c r="I62" s="2">
        <f>VLOOKUP($A62&amp;I$1,Plan2!$A:$V,22,FALSE)</f>
        <v>48.995489812399299</v>
      </c>
      <c r="J62" s="2">
        <f>VLOOKUP($A62&amp;J$1,Plan2!$A:$V,22,FALSE)</f>
        <v>48.145847404601199</v>
      </c>
      <c r="K62" s="2">
        <f>VLOOKUP($A62&amp;K$1,Plan2!$A:$V,22,FALSE)</f>
        <v>47.728094558033099</v>
      </c>
      <c r="L62" s="2">
        <f>VLOOKUP($A62&amp;L$1,Plan2!$A:$V,22,FALSE)</f>
        <v>43.112040850599698</v>
      </c>
      <c r="M62" s="2">
        <f>VLOOKUP($A62&amp;M$1,Plan2!$A:$V,22,FALSE)</f>
        <v>45.833669181792096</v>
      </c>
      <c r="N62" s="2">
        <f>VLOOKUP($A62&amp;N$1,Plan2!$A:$V,22,FALSE)</f>
        <v>41.927767672597803</v>
      </c>
      <c r="O62" s="2">
        <f>VLOOKUP($A62&amp;O$1,Plan2!$A:$V,22,FALSE)</f>
        <v>42.849847028111498</v>
      </c>
      <c r="P62" s="2">
        <f>VLOOKUP($A62&amp;P$1,Plan2!$A:$V,22,FALSE)</f>
        <v>41.001793634971897</v>
      </c>
      <c r="Q62" s="2">
        <f>VLOOKUP($A62&amp;Q$1,Plan2!$A:$V,22,FALSE)</f>
        <v>42.510610310855803</v>
      </c>
      <c r="R62" s="13" t="str">
        <f>VLOOKUP(A62,ratings!A:E,3,FALSE)</f>
        <v>BB-</v>
      </c>
      <c r="S62" s="13" t="str">
        <f>VLOOKUP(A62,ratings!A:E,4,FALSE)</f>
        <v>B2</v>
      </c>
    </row>
    <row r="63" spans="1:19" x14ac:dyDescent="0.25">
      <c r="A63" t="s">
        <v>84</v>
      </c>
      <c r="B63" s="2">
        <f>VLOOKUP($A63&amp;B$1,Plan2!$A:$V,22,FALSE)</f>
        <v>30.721479311244501</v>
      </c>
      <c r="C63" s="2">
        <f>VLOOKUP($A63&amp;C$1,Plan2!$A:$V,22,FALSE)</f>
        <v>32.013589808748797</v>
      </c>
      <c r="D63" s="2">
        <f>VLOOKUP($A63&amp;D$1,Plan2!$A:$V,22,FALSE)</f>
        <v>32.3148251295911</v>
      </c>
      <c r="E63" s="2">
        <f>VLOOKUP($A63&amp;E$1,Plan2!$A:$V,22,FALSE)</f>
        <v>34.493146285376199</v>
      </c>
      <c r="F63" s="2">
        <f>VLOOKUP($A63&amp;F$1,Plan2!$A:$V,22,FALSE)</f>
        <v>37.994480760254</v>
      </c>
      <c r="G63" s="2">
        <f>VLOOKUP($A63&amp;G$1,Plan2!$A:$V,22,FALSE)</f>
        <v>38.979798080631298</v>
      </c>
      <c r="H63" s="2">
        <f>VLOOKUP($A63&amp;H$1,Plan2!$A:$V,22,FALSE)</f>
        <v>40.474416587080299</v>
      </c>
      <c r="I63" s="2">
        <f>VLOOKUP($A63&amp;I$1,Plan2!$A:$V,22,FALSE)</f>
        <v>41.767617600329999</v>
      </c>
      <c r="J63" s="2">
        <f>VLOOKUP($A63&amp;J$1,Plan2!$A:$V,22,FALSE)</f>
        <v>41.646861341045899</v>
      </c>
      <c r="K63" s="2">
        <f>VLOOKUP($A63&amp;K$1,Plan2!$A:$V,22,FALSE)</f>
        <v>41.831087204238699</v>
      </c>
      <c r="L63" s="2">
        <f>VLOOKUP($A63&amp;L$1,Plan2!$A:$V,22,FALSE)</f>
        <v>35.121150498641299</v>
      </c>
      <c r="M63" s="2">
        <f>VLOOKUP($A63&amp;M$1,Plan2!$A:$V,22,FALSE)</f>
        <v>42.001070909023802</v>
      </c>
      <c r="N63" s="2">
        <f>VLOOKUP($A63&amp;N$1,Plan2!$A:$V,22,FALSE)</f>
        <v>43.060550967956097</v>
      </c>
      <c r="O63" s="2">
        <f>VLOOKUP($A63&amp;O$1,Plan2!$A:$V,22,FALSE)</f>
        <v>41.9168601798183</v>
      </c>
      <c r="P63" s="2">
        <f>VLOOKUP($A63&amp;P$1,Plan2!$A:$V,22,FALSE)</f>
        <v>41.727691320007601</v>
      </c>
      <c r="Q63" s="2">
        <f>VLOOKUP($A63&amp;Q$1,Plan2!$A:$V,22,FALSE)</f>
        <v>40.803177115593797</v>
      </c>
      <c r="R63" s="13" t="str">
        <f>VLOOKUP(A63,ratings!A:E,3,FALSE)</f>
        <v>B-</v>
      </c>
      <c r="S63" s="13" t="str">
        <f>VLOOKUP(A63,ratings!A:E,4,FALSE)</f>
        <v>B3</v>
      </c>
    </row>
    <row r="64" spans="1:19" x14ac:dyDescent="0.25">
      <c r="A64" t="s">
        <v>28</v>
      </c>
      <c r="B64" s="2">
        <f>VLOOKUP($A64&amp;B$1,Plan2!$A:$V,22,FALSE)</f>
        <v>27.273399851455402</v>
      </c>
      <c r="C64" s="2">
        <f>VLOOKUP($A64&amp;C$1,Plan2!$A:$V,22,FALSE)</f>
        <v>31.909471303559101</v>
      </c>
      <c r="D64" s="2">
        <f>VLOOKUP($A64&amp;D$1,Plan2!$A:$V,22,FALSE)</f>
        <v>37.252327385727497</v>
      </c>
      <c r="E64" s="2">
        <f>VLOOKUP($A64&amp;E$1,Plan2!$A:$V,22,FALSE)</f>
        <v>38.112825903222799</v>
      </c>
      <c r="F64" s="2">
        <f>VLOOKUP($A64&amp;F$1,Plan2!$A:$V,22,FALSE)</f>
        <v>37.283141090629798</v>
      </c>
      <c r="G64" s="2">
        <f>VLOOKUP($A64&amp;G$1,Plan2!$A:$V,22,FALSE)</f>
        <v>35.172466563969998</v>
      </c>
      <c r="H64" s="2">
        <f>VLOOKUP($A64&amp;H$1,Plan2!$A:$V,22,FALSE)</f>
        <v>34.759597397825502</v>
      </c>
      <c r="I64" s="2">
        <f>VLOOKUP($A64&amp;I$1,Plan2!$A:$V,22,FALSE)</f>
        <v>36.373578804291398</v>
      </c>
      <c r="J64" s="2">
        <f>VLOOKUP($A64&amp;J$1,Plan2!$A:$V,22,FALSE)</f>
        <v>36.960829368535201</v>
      </c>
      <c r="K64" s="2">
        <f>VLOOKUP($A64&amp;K$1,Plan2!$A:$V,22,FALSE)</f>
        <v>39.439996561566801</v>
      </c>
      <c r="L64" s="2">
        <f>VLOOKUP($A64&amp;L$1,Plan2!$A:$V,22,FALSE)</f>
        <v>32.491244312510602</v>
      </c>
      <c r="M64" s="2">
        <f>VLOOKUP($A64&amp;M$1,Plan2!$A:$V,22,FALSE)</f>
        <v>37.163247471211001</v>
      </c>
      <c r="N64" s="2">
        <f>VLOOKUP($A64&amp;N$1,Plan2!$A:$V,22,FALSE)</f>
        <v>43.668719435014602</v>
      </c>
      <c r="O64" s="2">
        <f>VLOOKUP($A64&amp;O$1,Plan2!$A:$V,22,FALSE)</f>
        <v>43.711838108278698</v>
      </c>
      <c r="P64" s="2">
        <f>VLOOKUP($A64&amp;P$1,Plan2!$A:$V,22,FALSE)</f>
        <v>42.998923245967603</v>
      </c>
      <c r="Q64" s="2">
        <f>VLOOKUP($A64&amp;Q$1,Plan2!$A:$V,22,FALSE)</f>
        <v>37.894571272451302</v>
      </c>
      <c r="R64" s="13" t="str">
        <f>VLOOKUP(A64,ratings!A:E,3,FALSE)</f>
        <v>BB-</v>
      </c>
      <c r="S64" s="13" t="str">
        <f>VLOOKUP(A64,ratings!A:E,4,FALSE)</f>
        <v>Ba3</v>
      </c>
    </row>
    <row r="65" spans="1:19" x14ac:dyDescent="0.25">
      <c r="A65" t="s">
        <v>54</v>
      </c>
      <c r="B65" s="2">
        <f>VLOOKUP($A65&amp;B$1,Plan2!$A:$V,22,FALSE)</f>
        <v>21.683426098841899</v>
      </c>
      <c r="C65" s="2">
        <f>VLOOKUP($A65&amp;C$1,Plan2!$A:$V,22,FALSE)</f>
        <v>24.558965055444499</v>
      </c>
      <c r="D65" s="2">
        <f>VLOOKUP($A65&amp;D$1,Plan2!$A:$V,22,FALSE)</f>
        <v>22.846292726255101</v>
      </c>
      <c r="E65" s="2">
        <f>VLOOKUP($A65&amp;E$1,Plan2!$A:$V,22,FALSE)</f>
        <v>24.6262189968465</v>
      </c>
      <c r="F65" s="2">
        <f>VLOOKUP($A65&amp;F$1,Plan2!$A:$V,22,FALSE)</f>
        <v>23.948838066758299</v>
      </c>
      <c r="G65" s="2">
        <f>VLOOKUP($A65&amp;G$1,Plan2!$A:$V,22,FALSE)</f>
        <v>28.902454959896001</v>
      </c>
      <c r="H65" s="2">
        <f>VLOOKUP($A65&amp;H$1,Plan2!$A:$V,22,FALSE)</f>
        <v>30.6447961703972</v>
      </c>
      <c r="I65" s="2">
        <f>VLOOKUP($A65&amp;I$1,Plan2!$A:$V,22,FALSE)</f>
        <v>30.521249879431899</v>
      </c>
      <c r="J65" s="2">
        <f>VLOOKUP($A65&amp;J$1,Plan2!$A:$V,22,FALSE)</f>
        <v>32.334226944507897</v>
      </c>
      <c r="K65" s="2">
        <f>VLOOKUP($A65&amp;K$1,Plan2!$A:$V,22,FALSE)</f>
        <v>34.649194400979397</v>
      </c>
      <c r="L65" s="2">
        <f>VLOOKUP($A65&amp;L$1,Plan2!$A:$V,22,FALSE)</f>
        <v>16.846974979794599</v>
      </c>
      <c r="M65" s="2">
        <f>VLOOKUP($A65&amp;M$1,Plan2!$A:$V,22,FALSE)</f>
        <v>22.353421352388199</v>
      </c>
      <c r="N65" s="2">
        <f>VLOOKUP($A65&amp;N$1,Plan2!$A:$V,22,FALSE)</f>
        <v>31.276384915377601</v>
      </c>
      <c r="O65" s="2">
        <f>VLOOKUP($A65&amp;O$1,Plan2!$A:$V,22,FALSE)</f>
        <v>33.864342367937802</v>
      </c>
      <c r="P65" s="2">
        <f>VLOOKUP($A65&amp;P$1,Plan2!$A:$V,22,FALSE)</f>
        <v>35.402583595497497</v>
      </c>
      <c r="Q65" s="2">
        <f>VLOOKUP($A65&amp;Q$1,Plan2!$A:$V,22,FALSE)</f>
        <v>33.709463862650402</v>
      </c>
      <c r="R65" s="13" t="str">
        <f>VLOOKUP(A65,ratings!A:E,3,FALSE)</f>
        <v>B+</v>
      </c>
      <c r="S65" s="13">
        <f>VLOOKUP(A65,ratings!A:E,4,FALSE)</f>
        <v>0</v>
      </c>
    </row>
    <row r="66" spans="1:19" x14ac:dyDescent="0.25">
      <c r="A66" t="s">
        <v>68</v>
      </c>
      <c r="B66" s="2">
        <f>VLOOKUP($A66&amp;B$1,Plan2!$A:$V,22,FALSE)</f>
        <v>38.570271936641099</v>
      </c>
      <c r="C66" s="2">
        <f>VLOOKUP($A66&amp;C$1,Plan2!$A:$V,22,FALSE)</f>
        <v>40.266824142564197</v>
      </c>
      <c r="D66" s="2">
        <f>VLOOKUP($A66&amp;D$1,Plan2!$A:$V,22,FALSE)</f>
        <v>40.664369850869598</v>
      </c>
      <c r="E66" s="2">
        <f>VLOOKUP($A66&amp;E$1,Plan2!$A:$V,22,FALSE)</f>
        <v>40.014945032404498</v>
      </c>
      <c r="F66" s="2">
        <f>VLOOKUP($A66&amp;F$1,Plan2!$A:$V,22,FALSE)</f>
        <v>39.956591871899199</v>
      </c>
      <c r="G66" s="2">
        <f>VLOOKUP($A66&amp;G$1,Plan2!$A:$V,22,FALSE)</f>
        <v>40.713661331754402</v>
      </c>
      <c r="H66" s="2">
        <f>VLOOKUP($A66&amp;H$1,Plan2!$A:$V,22,FALSE)</f>
        <v>41.524309351780801</v>
      </c>
      <c r="I66" s="2">
        <f>VLOOKUP($A66&amp;I$1,Plan2!$A:$V,22,FALSE)</f>
        <v>40.535797289088997</v>
      </c>
      <c r="J66" s="2">
        <f>VLOOKUP($A66&amp;J$1,Plan2!$A:$V,22,FALSE)</f>
        <v>40.620325242216403</v>
      </c>
      <c r="K66" s="2">
        <f>VLOOKUP($A66&amp;K$1,Plan2!$A:$V,22,FALSE)</f>
        <v>40.473381603020798</v>
      </c>
      <c r="L66" s="2">
        <f>VLOOKUP($A66&amp;L$1,Plan2!$A:$V,22,FALSE)</f>
        <v>35.222743367753203</v>
      </c>
      <c r="M66" s="2">
        <f>VLOOKUP($A66&amp;M$1,Plan2!$A:$V,22,FALSE)</f>
        <v>40.944541493649801</v>
      </c>
      <c r="N66" s="2">
        <f>VLOOKUP($A66&amp;N$1,Plan2!$A:$V,22,FALSE)</f>
        <v>44.741108771805202</v>
      </c>
      <c r="O66" s="2">
        <f>VLOOKUP($A66&amp;O$1,Plan2!$A:$V,22,FALSE)</f>
        <v>47.075537081149697</v>
      </c>
      <c r="P66" s="2">
        <f>VLOOKUP($A66&amp;P$1,Plan2!$A:$V,22,FALSE)</f>
        <v>45.949349593854897</v>
      </c>
      <c r="Q66" s="2">
        <f>VLOOKUP($A66&amp;Q$1,Plan2!$A:$V,22,FALSE)</f>
        <v>42.791806172701698</v>
      </c>
      <c r="R66" s="13" t="str">
        <f>VLOOKUP(A66,ratings!A:E,3,FALSE)</f>
        <v>BB</v>
      </c>
      <c r="S66" s="13" t="str">
        <f>VLOOKUP(A66,ratings!A:E,4,FALSE)</f>
        <v>Ba2</v>
      </c>
    </row>
    <row r="67" spans="1:19" x14ac:dyDescent="0.25">
      <c r="A67" t="s">
        <v>160</v>
      </c>
      <c r="B67" s="2">
        <f>VLOOKUP($A67&amp;B$1,Plan2!$A:$V,22,FALSE)</f>
        <v>35.375879985287803</v>
      </c>
      <c r="C67" s="2">
        <f>VLOOKUP($A67&amp;C$1,Plan2!$A:$V,22,FALSE)</f>
        <v>36.183865779136497</v>
      </c>
      <c r="D67" s="2">
        <f>VLOOKUP($A67&amp;D$1,Plan2!$A:$V,22,FALSE)</f>
        <v>39.266346375041401</v>
      </c>
      <c r="E67" s="2">
        <f>VLOOKUP($A67&amp;E$1,Plan2!$A:$V,22,FALSE)</f>
        <v>38.611491094634403</v>
      </c>
      <c r="F67" s="2">
        <f>VLOOKUP($A67&amp;F$1,Plan2!$A:$V,22,FALSE)</f>
        <v>38.517416211598103</v>
      </c>
      <c r="G67" s="2">
        <f>VLOOKUP($A67&amp;G$1,Plan2!$A:$V,22,FALSE)</f>
        <v>39.236729916936703</v>
      </c>
      <c r="H67" s="2">
        <f>VLOOKUP($A67&amp;H$1,Plan2!$A:$V,22,FALSE)</f>
        <v>40.449459953751202</v>
      </c>
      <c r="I67" s="2">
        <f>VLOOKUP($A67&amp;I$1,Plan2!$A:$V,22,FALSE)</f>
        <v>42.644481271160402</v>
      </c>
      <c r="J67" s="2">
        <f>VLOOKUP($A67&amp;J$1,Plan2!$A:$V,22,FALSE)</f>
        <v>42.027960993663697</v>
      </c>
      <c r="K67" s="2">
        <f>VLOOKUP($A67&amp;K$1,Plan2!$A:$V,22,FALSE)</f>
        <v>41.938851704956498</v>
      </c>
      <c r="L67" s="2">
        <f>VLOOKUP($A67&amp;L$1,Plan2!$A:$V,22,FALSE)</f>
        <v>38.851546632039302</v>
      </c>
      <c r="M67" s="2">
        <f>VLOOKUP($A67&amp;M$1,Plan2!$A:$V,22,FALSE)</f>
        <v>42.138712007315497</v>
      </c>
      <c r="N67" s="2">
        <f>VLOOKUP($A67&amp;N$1,Plan2!$A:$V,22,FALSE)</f>
        <v>41.928668887765099</v>
      </c>
      <c r="O67" s="2">
        <f>VLOOKUP($A67&amp;O$1,Plan2!$A:$V,22,FALSE)</f>
        <v>41.882767163298702</v>
      </c>
      <c r="P67" s="2">
        <f>VLOOKUP($A67&amp;P$1,Plan2!$A:$V,22,FALSE)</f>
        <v>39.922545175773799</v>
      </c>
      <c r="Q67" s="2">
        <f>VLOOKUP($A67&amp;Q$1,Plan2!$A:$V,22,FALSE)</f>
        <v>39.181896611083502</v>
      </c>
      <c r="R67" s="13" t="str">
        <f>VLOOKUP(A67,ratings!A:E,3,FALSE)</f>
        <v>BBB</v>
      </c>
      <c r="S67" s="13" t="str">
        <f>VLOOKUP(A67,ratings!A:E,4,FALSE)</f>
        <v>Baa3</v>
      </c>
    </row>
    <row r="68" spans="1:19" x14ac:dyDescent="0.25">
      <c r="A68" t="s">
        <v>186</v>
      </c>
      <c r="B68" s="2">
        <f>VLOOKUP($A68&amp;B$1,Plan2!$A:$V,22,FALSE)</f>
        <v>43.341243272182098</v>
      </c>
      <c r="C68" s="2">
        <f>VLOOKUP($A68&amp;C$1,Plan2!$A:$V,22,FALSE)</f>
        <v>45.334346284694597</v>
      </c>
      <c r="D68" s="2">
        <f>VLOOKUP($A68&amp;D$1,Plan2!$A:$V,22,FALSE)</f>
        <v>47.942853900280902</v>
      </c>
      <c r="E68" s="2">
        <f>VLOOKUP($A68&amp;E$1,Plan2!$A:$V,22,FALSE)</f>
        <v>46.5683551037529</v>
      </c>
      <c r="F68" s="2">
        <f>VLOOKUP($A68&amp;F$1,Plan2!$A:$V,22,FALSE)</f>
        <v>45.4076036474533</v>
      </c>
      <c r="G68" s="2">
        <f>VLOOKUP($A68&amp;G$1,Plan2!$A:$V,22,FALSE)</f>
        <v>43.444517500395897</v>
      </c>
      <c r="H68" s="2">
        <f>VLOOKUP($A68&amp;H$1,Plan2!$A:$V,22,FALSE)</f>
        <v>43.453096052983298</v>
      </c>
      <c r="I68" s="2">
        <f>VLOOKUP($A68&amp;I$1,Plan2!$A:$V,22,FALSE)</f>
        <v>43.061238600561403</v>
      </c>
      <c r="J68" s="2">
        <f>VLOOKUP($A68&amp;J$1,Plan2!$A:$V,22,FALSE)</f>
        <v>44.2042646482451</v>
      </c>
      <c r="K68" s="2">
        <f>VLOOKUP($A68&amp;K$1,Plan2!$A:$V,22,FALSE)</f>
        <v>45.140774012635099</v>
      </c>
      <c r="L68" s="2">
        <f>VLOOKUP($A68&amp;L$1,Plan2!$A:$V,22,FALSE)</f>
        <v>36.588187375728801</v>
      </c>
      <c r="M68" s="2">
        <f>VLOOKUP($A68&amp;M$1,Plan2!$A:$V,22,FALSE)</f>
        <v>46.069759807413597</v>
      </c>
      <c r="N68" s="2">
        <f>VLOOKUP($A68&amp;N$1,Plan2!$A:$V,22,FALSE)</f>
        <v>44.152152739466302</v>
      </c>
      <c r="O68" s="2">
        <f>VLOOKUP($A68&amp;O$1,Plan2!$A:$V,22,FALSE)</f>
        <v>43.279343677468802</v>
      </c>
      <c r="P68" s="2">
        <f>VLOOKUP($A68&amp;P$1,Plan2!$A:$V,22,FALSE)</f>
        <v>43.976525907921797</v>
      </c>
      <c r="Q68" s="2">
        <f>VLOOKUP($A68&amp;Q$1,Plan2!$A:$V,22,FALSE)</f>
        <v>42.952078073760198</v>
      </c>
      <c r="R68" s="13" t="str">
        <f>VLOOKUP(A68,ratings!A:E,3,FALSE)</f>
        <v>BBB-</v>
      </c>
      <c r="S68" s="13" t="str">
        <f>VLOOKUP(A68,ratings!A:E,4,FALSE)</f>
        <v>Baa1</v>
      </c>
    </row>
    <row r="69" spans="1:19" x14ac:dyDescent="0.25">
      <c r="A69" t="s">
        <v>244</v>
      </c>
      <c r="B69" s="2">
        <f>VLOOKUP($A69&amp;B$1,Plan2!$A:$V,22,FALSE)</f>
        <v>44.463448599221998</v>
      </c>
      <c r="C69" s="2">
        <f>VLOOKUP($A69&amp;C$1,Plan2!$A:$V,22,FALSE)</f>
        <v>48.746669074529997</v>
      </c>
      <c r="D69" s="2">
        <f>VLOOKUP($A69&amp;D$1,Plan2!$A:$V,22,FALSE)</f>
        <v>48.771377613669998</v>
      </c>
      <c r="E69" s="2">
        <f>VLOOKUP($A69&amp;E$1,Plan2!$A:$V,22,FALSE)</f>
        <v>45.3618655991163</v>
      </c>
      <c r="F69" s="2">
        <f>VLOOKUP($A69&amp;F$1,Plan2!$A:$V,22,FALSE)</f>
        <v>45.020615250589401</v>
      </c>
      <c r="G69" s="2">
        <f>VLOOKUP($A69&amp;G$1,Plan2!$A:$V,22,FALSE)</f>
        <v>42.836042966203202</v>
      </c>
      <c r="H69" s="2">
        <f>VLOOKUP($A69&amp;H$1,Plan2!$A:$V,22,FALSE)</f>
        <v>43.020284039996803</v>
      </c>
      <c r="I69" s="2">
        <f>VLOOKUP($A69&amp;I$1,Plan2!$A:$V,22,FALSE)</f>
        <v>41.247698666402897</v>
      </c>
      <c r="J69" s="2">
        <f>VLOOKUP($A69&amp;J$1,Plan2!$A:$V,22,FALSE)</f>
        <v>41.563395396672597</v>
      </c>
      <c r="K69" s="2">
        <f>VLOOKUP($A69&amp;K$1,Plan2!$A:$V,22,FALSE)</f>
        <v>38.687828967837703</v>
      </c>
      <c r="L69" s="2">
        <f>VLOOKUP($A69&amp;L$1,Plan2!$A:$V,22,FALSE)</f>
        <v>36.597279851100403</v>
      </c>
      <c r="M69" s="2">
        <f>VLOOKUP($A69&amp;M$1,Plan2!$A:$V,22,FALSE)</f>
        <v>36.651310063977199</v>
      </c>
      <c r="N69" s="2">
        <f>VLOOKUP($A69&amp;N$1,Plan2!$A:$V,22,FALSE)</f>
        <v>37.808096318024198</v>
      </c>
      <c r="O69" s="2">
        <f>VLOOKUP($A69&amp;O$1,Plan2!$A:$V,22,FALSE)</f>
        <v>36.5164252851418</v>
      </c>
      <c r="P69" s="2">
        <f>VLOOKUP($A69&amp;P$1,Plan2!$A:$V,22,FALSE)</f>
        <v>36.2461769670089</v>
      </c>
      <c r="Q69" s="2">
        <f>VLOOKUP($A69&amp;Q$1,Plan2!$A:$V,22,FALSE)</f>
        <v>39.070237678777602</v>
      </c>
      <c r="R69" s="13" t="str">
        <f>VLOOKUP(A69,ratings!A:E,3,FALSE)</f>
        <v>BB</v>
      </c>
      <c r="S69" s="13" t="str">
        <f>VLOOKUP(A69,ratings!A:E,4,FALSE)</f>
        <v>Ba3</v>
      </c>
    </row>
    <row r="70" spans="1:19" x14ac:dyDescent="0.25">
      <c r="A70" t="s">
        <v>62</v>
      </c>
      <c r="B70" s="2">
        <f>VLOOKUP($A70&amp;B$1,Plan2!$A:$V,22,FALSE)</f>
        <v>34.055506846357197</v>
      </c>
      <c r="C70" s="2">
        <f>VLOOKUP($A70&amp;C$1,Plan2!$A:$V,22,FALSE)</f>
        <v>36.7732519458282</v>
      </c>
      <c r="D70" s="2">
        <f>VLOOKUP($A70&amp;D$1,Plan2!$A:$V,22,FALSE)</f>
        <v>39.432886745276001</v>
      </c>
      <c r="E70" s="2">
        <f>VLOOKUP($A70&amp;E$1,Plan2!$A:$V,22,FALSE)</f>
        <v>39.7091136626211</v>
      </c>
      <c r="F70" s="2">
        <f>VLOOKUP($A70&amp;F$1,Plan2!$A:$V,22,FALSE)</f>
        <v>37.9412643097222</v>
      </c>
      <c r="G70" s="2">
        <f>VLOOKUP($A70&amp;G$1,Plan2!$A:$V,22,FALSE)</f>
        <v>37.640445558541401</v>
      </c>
      <c r="H70" s="2">
        <f>VLOOKUP($A70&amp;H$1,Plan2!$A:$V,22,FALSE)</f>
        <v>39.094903849432697</v>
      </c>
      <c r="I70" s="2">
        <f>VLOOKUP($A70&amp;I$1,Plan2!$A:$V,22,FALSE)</f>
        <v>38.681595724123902</v>
      </c>
      <c r="J70" s="2">
        <f>VLOOKUP($A70&amp;J$1,Plan2!$A:$V,22,FALSE)</f>
        <v>37.581448514443302</v>
      </c>
      <c r="K70" s="2">
        <f>VLOOKUP($A70&amp;K$1,Plan2!$A:$V,22,FALSE)</f>
        <v>39.324277167762297</v>
      </c>
      <c r="L70" s="2">
        <f>VLOOKUP($A70&amp;L$1,Plan2!$A:$V,22,FALSE)</f>
        <v>32.157459691518604</v>
      </c>
      <c r="M70" s="2">
        <f>VLOOKUP($A70&amp;M$1,Plan2!$A:$V,22,FALSE)</f>
        <v>36.270356460335798</v>
      </c>
      <c r="N70" s="2">
        <f>VLOOKUP($A70&amp;N$1,Plan2!$A:$V,22,FALSE)</f>
        <v>37.470334450872102</v>
      </c>
      <c r="O70" s="2">
        <f>VLOOKUP($A70&amp;O$1,Plan2!$A:$V,22,FALSE)</f>
        <v>41.516179369871701</v>
      </c>
      <c r="P70" s="2">
        <f>VLOOKUP($A70&amp;P$1,Plan2!$A:$V,22,FALSE)</f>
        <v>37.998719238548503</v>
      </c>
      <c r="Q70" s="2">
        <f>VLOOKUP($A70&amp;Q$1,Plan2!$A:$V,22,FALSE)</f>
        <v>36.8408084337809</v>
      </c>
      <c r="R70" s="13" t="str">
        <f>VLOOKUP(A70,ratings!A:E,3,FALSE)</f>
        <v>BB-</v>
      </c>
      <c r="S70" s="13" t="str">
        <f>VLOOKUP(A70,ratings!A:E,4,FALSE)</f>
        <v>Baa3</v>
      </c>
    </row>
    <row r="71" spans="1:19" x14ac:dyDescent="0.25">
      <c r="A71" t="s">
        <v>98</v>
      </c>
      <c r="B71" s="2">
        <f>VLOOKUP($A71&amp;B$1,Plan2!$A:$V,22,FALSE)</f>
        <v>32.744570215214203</v>
      </c>
      <c r="C71" s="2">
        <f>VLOOKUP($A71&amp;C$1,Plan2!$A:$V,22,FALSE)</f>
        <v>36.323353740133697</v>
      </c>
      <c r="D71" s="2">
        <f>VLOOKUP($A71&amp;D$1,Plan2!$A:$V,22,FALSE)</f>
        <v>36.623326089384399</v>
      </c>
      <c r="E71" s="2">
        <f>VLOOKUP($A71&amp;E$1,Plan2!$A:$V,22,FALSE)</f>
        <v>37.715609658126702</v>
      </c>
      <c r="F71" s="2">
        <f>VLOOKUP($A71&amp;F$1,Plan2!$A:$V,22,FALSE)</f>
        <v>36.841859872085898</v>
      </c>
      <c r="G71" s="2">
        <f>VLOOKUP($A71&amp;G$1,Plan2!$A:$V,22,FALSE)</f>
        <v>37.478018045891197</v>
      </c>
      <c r="H71" s="2">
        <f>VLOOKUP($A71&amp;H$1,Plan2!$A:$V,22,FALSE)</f>
        <v>37.054913601263799</v>
      </c>
      <c r="I71" s="2">
        <f>VLOOKUP($A71&amp;I$1,Plan2!$A:$V,22,FALSE)</f>
        <v>40.363019083480701</v>
      </c>
      <c r="J71" s="2">
        <f>VLOOKUP($A71&amp;J$1,Plan2!$A:$V,22,FALSE)</f>
        <v>40.027052264177499</v>
      </c>
      <c r="K71" s="2">
        <f>VLOOKUP($A71&amp;K$1,Plan2!$A:$V,22,FALSE)</f>
        <v>40.060356208368603</v>
      </c>
      <c r="L71" s="2">
        <f>VLOOKUP($A71&amp;L$1,Plan2!$A:$V,22,FALSE)</f>
        <v>28.469608665271199</v>
      </c>
      <c r="M71" s="2">
        <f>VLOOKUP($A71&amp;M$1,Plan2!$A:$V,22,FALSE)</f>
        <v>35.764099968086903</v>
      </c>
      <c r="N71" s="2">
        <f>VLOOKUP($A71&amp;N$1,Plan2!$A:$V,22,FALSE)</f>
        <v>41.399055230702899</v>
      </c>
      <c r="O71" s="2">
        <f>VLOOKUP($A71&amp;O$1,Plan2!$A:$V,22,FALSE)</f>
        <v>40.938941128460101</v>
      </c>
      <c r="P71" s="2">
        <f>VLOOKUP($A71&amp;P$1,Plan2!$A:$V,22,FALSE)</f>
        <v>41.826797742135199</v>
      </c>
      <c r="Q71" s="2">
        <f>VLOOKUP($A71&amp;Q$1,Plan2!$A:$V,22,FALSE)</f>
        <v>39.252652195985704</v>
      </c>
      <c r="R71" s="13" t="str">
        <f>VLOOKUP(A71,ratings!A:E,3,FALSE)</f>
        <v>BB</v>
      </c>
      <c r="S71" s="13" t="str">
        <f>VLOOKUP(A71,ratings!A:E,4,FALSE)</f>
        <v>Ba2</v>
      </c>
    </row>
    <row r="72" spans="1:19" x14ac:dyDescent="0.25">
      <c r="A72" t="s">
        <v>152</v>
      </c>
      <c r="B72" s="2">
        <f>VLOOKUP($A72&amp;B$1,Plan2!$A:$V,22,FALSE)</f>
        <v>38.881369500309098</v>
      </c>
      <c r="C72" s="2">
        <f>VLOOKUP($A72&amp;C$1,Plan2!$A:$V,22,FALSE)</f>
        <v>40.097010100119803</v>
      </c>
      <c r="D72" s="2">
        <f>VLOOKUP($A72&amp;D$1,Plan2!$A:$V,22,FALSE)</f>
        <v>39.613269778525201</v>
      </c>
      <c r="E72" s="2">
        <f>VLOOKUP($A72&amp;E$1,Plan2!$A:$V,22,FALSE)</f>
        <v>38.371744284623801</v>
      </c>
      <c r="F72" s="2">
        <f>VLOOKUP($A72&amp;F$1,Plan2!$A:$V,22,FALSE)</f>
        <v>39.1133316663351</v>
      </c>
      <c r="G72" s="2">
        <f>VLOOKUP($A72&amp;G$1,Plan2!$A:$V,22,FALSE)</f>
        <v>37.596438706912103</v>
      </c>
      <c r="H72" s="2">
        <f>VLOOKUP($A72&amp;H$1,Plan2!$A:$V,22,FALSE)</f>
        <v>36.502596001200502</v>
      </c>
      <c r="I72" s="2">
        <f>VLOOKUP($A72&amp;I$1,Plan2!$A:$V,22,FALSE)</f>
        <v>37.141836014168</v>
      </c>
      <c r="J72" s="2">
        <f>VLOOKUP($A72&amp;J$1,Plan2!$A:$V,22,FALSE)</f>
        <v>36.805652676403398</v>
      </c>
      <c r="K72" s="2">
        <f>VLOOKUP($A72&amp;K$1,Plan2!$A:$V,22,FALSE)</f>
        <v>37.995995453592002</v>
      </c>
      <c r="L72" s="2">
        <f>VLOOKUP($A72&amp;L$1,Plan2!$A:$V,22,FALSE)</f>
        <v>32.421094484939999</v>
      </c>
      <c r="M72" s="2">
        <f>VLOOKUP($A72&amp;M$1,Plan2!$A:$V,22,FALSE)</f>
        <v>33.499390239309101</v>
      </c>
      <c r="N72" s="2">
        <f>VLOOKUP($A72&amp;N$1,Plan2!$A:$V,22,FALSE)</f>
        <v>37.2889128203933</v>
      </c>
      <c r="O72" s="2">
        <f>VLOOKUP($A72&amp;O$1,Plan2!$A:$V,22,FALSE)</f>
        <v>35.737380476925701</v>
      </c>
      <c r="P72" s="2">
        <f>VLOOKUP($A72&amp;P$1,Plan2!$A:$V,22,FALSE)</f>
        <v>37.162659929205198</v>
      </c>
      <c r="Q72" s="2">
        <f>VLOOKUP($A72&amp;Q$1,Plan2!$A:$V,22,FALSE)</f>
        <v>36.3173289909912</v>
      </c>
      <c r="R72" s="13" t="str">
        <f>VLOOKUP(A72,ratings!A:E,3,FALSE)</f>
        <v>A-</v>
      </c>
      <c r="S72" s="13" t="str">
        <f>VLOOKUP(A72,ratings!A:E,4,FALSE)</f>
        <v>A3</v>
      </c>
    </row>
    <row r="73" spans="1:19" x14ac:dyDescent="0.25">
      <c r="A73" t="s">
        <v>38</v>
      </c>
      <c r="B73" s="2">
        <f>VLOOKUP($A73&amp;B$1,Plan2!$A:$V,22,FALSE)</f>
        <v>40.105976877072401</v>
      </c>
      <c r="C73" s="2">
        <f>VLOOKUP($A73&amp;C$1,Plan2!$A:$V,22,FALSE)</f>
        <v>47.467847667745801</v>
      </c>
      <c r="D73" s="2">
        <f>VLOOKUP($A73&amp;D$1,Plan2!$A:$V,22,FALSE)</f>
        <v>47.904389347679597</v>
      </c>
      <c r="E73" s="2">
        <f>VLOOKUP($A73&amp;E$1,Plan2!$A:$V,22,FALSE)</f>
        <v>45.531388001235797</v>
      </c>
      <c r="F73" s="2">
        <f>VLOOKUP($A73&amp;F$1,Plan2!$A:$V,22,FALSE)</f>
        <v>48.640738584950299</v>
      </c>
      <c r="G73" s="2">
        <f>VLOOKUP($A73&amp;G$1,Plan2!$A:$V,22,FALSE)</f>
        <v>31.092287193043699</v>
      </c>
      <c r="H73" s="2">
        <f>VLOOKUP($A73&amp;H$1,Plan2!$A:$V,22,FALSE)</f>
        <v>29.723389895772598</v>
      </c>
      <c r="I73" s="2">
        <f>VLOOKUP($A73&amp;I$1,Plan2!$A:$V,22,FALSE)</f>
        <v>32.500774737232099</v>
      </c>
      <c r="J73" s="2">
        <f>VLOOKUP($A73&amp;J$1,Plan2!$A:$V,22,FALSE)</f>
        <v>34.241744468541498</v>
      </c>
      <c r="K73" s="2">
        <f>VLOOKUP($A73&amp;K$1,Plan2!$A:$V,22,FALSE)</f>
        <v>36.890420168140501</v>
      </c>
      <c r="L73" s="2">
        <f>VLOOKUP($A73&amp;L$1,Plan2!$A:$V,22,FALSE)</f>
        <v>24.106025708292101</v>
      </c>
      <c r="M73" s="2">
        <f>VLOOKUP($A73&amp;M$1,Plan2!$A:$V,22,FALSE)</f>
        <v>37.482601492879603</v>
      </c>
      <c r="N73" s="2">
        <f>VLOOKUP($A73&amp;N$1,Plan2!$A:$V,22,FALSE)</f>
        <v>45.051417585076003</v>
      </c>
      <c r="O73" s="2">
        <f>VLOOKUP($A73&amp;O$1,Plan2!$A:$V,22,FALSE)</f>
        <v>38.649387600996597</v>
      </c>
      <c r="P73" s="2">
        <f>VLOOKUP($A73&amp;P$1,Plan2!$A:$V,22,FALSE)</f>
        <v>36.766552150499002</v>
      </c>
      <c r="Q73" s="2">
        <f>VLOOKUP($A73&amp;Q$1,Plan2!$A:$V,22,FALSE)</f>
        <v>33.253761011882602</v>
      </c>
      <c r="R73" s="13" t="str">
        <f>VLOOKUP(A73,ratings!A:E,3,FALSE)</f>
        <v>B</v>
      </c>
      <c r="S73" s="13" t="str">
        <f>VLOOKUP(A73,ratings!A:E,4,FALSE)</f>
        <v>B2</v>
      </c>
    </row>
    <row r="74" spans="1:19" x14ac:dyDescent="0.25">
      <c r="A74" t="s">
        <v>212</v>
      </c>
      <c r="B74" s="2">
        <f>VLOOKUP($A74&amp;B$1,Plan2!$A:$V,22,FALSE)</f>
        <v>28.4872423788721</v>
      </c>
      <c r="C74" s="2">
        <f>VLOOKUP($A74&amp;C$1,Plan2!$A:$V,22,FALSE)</f>
        <v>29.095290789310901</v>
      </c>
      <c r="D74" s="2">
        <f>VLOOKUP($A74&amp;D$1,Plan2!$A:$V,22,FALSE)</f>
        <v>29.622729020478801</v>
      </c>
      <c r="E74" s="2">
        <f>VLOOKUP($A74&amp;E$1,Plan2!$A:$V,22,FALSE)</f>
        <v>28.847915254318401</v>
      </c>
      <c r="F74" s="2">
        <f>VLOOKUP($A74&amp;F$1,Plan2!$A:$V,22,FALSE)</f>
        <v>28.503383573423001</v>
      </c>
      <c r="G74" s="2">
        <f>VLOOKUP($A74&amp;G$1,Plan2!$A:$V,22,FALSE)</f>
        <v>27.858969356407201</v>
      </c>
      <c r="H74" s="2">
        <f>VLOOKUP($A74&amp;H$1,Plan2!$A:$V,22,FALSE)</f>
        <v>31.5251008346638</v>
      </c>
      <c r="I74" s="2">
        <f>VLOOKUP($A74&amp;I$1,Plan2!$A:$V,22,FALSE)</f>
        <v>31.850732433255299</v>
      </c>
      <c r="J74" s="2">
        <f>VLOOKUP($A74&amp;J$1,Plan2!$A:$V,22,FALSE)</f>
        <v>30.561702530591202</v>
      </c>
      <c r="K74" s="2">
        <f>VLOOKUP($A74&amp;K$1,Plan2!$A:$V,22,FALSE)</f>
        <v>28.227670865707001</v>
      </c>
      <c r="L74" s="2">
        <f>VLOOKUP($A74&amp;L$1,Plan2!$A:$V,22,FALSE)</f>
        <v>20.718622894264001</v>
      </c>
      <c r="M74" s="2">
        <f>VLOOKUP($A74&amp;M$1,Plan2!$A:$V,22,FALSE)</f>
        <v>22.897647862038799</v>
      </c>
      <c r="N74" s="2">
        <f>VLOOKUP($A74&amp;N$1,Plan2!$A:$V,22,FALSE)</f>
        <v>21.9771138435718</v>
      </c>
      <c r="O74" s="2">
        <f>VLOOKUP($A74&amp;O$1,Plan2!$A:$V,22,FALSE)</f>
        <v>27.0904610041027</v>
      </c>
      <c r="P74" s="2">
        <f>VLOOKUP($A74&amp;P$1,Plan2!$A:$V,22,FALSE)</f>
        <v>31.651360053459801</v>
      </c>
      <c r="Q74" s="2">
        <f>VLOOKUP($A74&amp;Q$1,Plan2!$A:$V,22,FALSE)</f>
        <v>32.542943365123399</v>
      </c>
      <c r="R74" s="13" t="str">
        <f>VLOOKUP(A74,ratings!A:E,3,FALSE)</f>
        <v>CCC+</v>
      </c>
      <c r="S74" s="13" t="str">
        <f>VLOOKUP(A74,ratings!A:E,4,FALSE)</f>
        <v>Caa1</v>
      </c>
    </row>
    <row r="75" spans="1:19" x14ac:dyDescent="0.25">
      <c r="A75" t="s">
        <v>208</v>
      </c>
      <c r="B75" s="2">
        <f>VLOOKUP($A75&amp;B$1,Plan2!$A:$V,22,FALSE)</f>
        <v>29.005667113489402</v>
      </c>
      <c r="C75" s="2">
        <f>VLOOKUP($A75&amp;C$1,Plan2!$A:$V,22,FALSE)</f>
        <v>29.759496800171402</v>
      </c>
      <c r="D75" s="2">
        <f>VLOOKUP($A75&amp;D$1,Plan2!$A:$V,22,FALSE)</f>
        <v>28.818057885414401</v>
      </c>
      <c r="E75" s="2">
        <f>VLOOKUP($A75&amp;E$1,Plan2!$A:$V,22,FALSE)</f>
        <v>29.226270983252899</v>
      </c>
      <c r="F75" s="2">
        <f>VLOOKUP($A75&amp;F$1,Plan2!$A:$V,22,FALSE)</f>
        <v>29.369108568129999</v>
      </c>
      <c r="G75" s="2">
        <f>VLOOKUP($A75&amp;G$1,Plan2!$A:$V,22,FALSE)</f>
        <v>29.199403073662101</v>
      </c>
      <c r="H75" s="2">
        <f>VLOOKUP($A75&amp;H$1,Plan2!$A:$V,22,FALSE)</f>
        <v>29.040229433658201</v>
      </c>
      <c r="I75" s="2">
        <f>VLOOKUP($A75&amp;I$1,Plan2!$A:$V,22,FALSE)</f>
        <v>28.881377104482102</v>
      </c>
      <c r="J75" s="2">
        <f>VLOOKUP($A75&amp;J$1,Plan2!$A:$V,22,FALSE)</f>
        <v>29.131192605411499</v>
      </c>
      <c r="K75" s="2">
        <f>VLOOKUP($A75&amp;K$1,Plan2!$A:$V,22,FALSE)</f>
        <v>27.399945795958701</v>
      </c>
      <c r="L75" s="2">
        <f>VLOOKUP($A75&amp;L$1,Plan2!$A:$V,22,FALSE)</f>
        <v>22.740369479400901</v>
      </c>
      <c r="M75" s="2">
        <f>VLOOKUP($A75&amp;M$1,Plan2!$A:$V,22,FALSE)</f>
        <v>27.262253581393001</v>
      </c>
      <c r="N75" s="2">
        <f>VLOOKUP($A75&amp;N$1,Plan2!$A:$V,22,FALSE)</f>
        <v>27.107840622114701</v>
      </c>
      <c r="O75" s="2">
        <f>VLOOKUP($A75&amp;O$1,Plan2!$A:$V,22,FALSE)</f>
        <v>26.1067766553148</v>
      </c>
      <c r="P75" s="2">
        <f>VLOOKUP($A75&amp;P$1,Plan2!$A:$V,22,FALSE)</f>
        <v>25.704297189034602</v>
      </c>
      <c r="Q75" s="2">
        <f>VLOOKUP($A75&amp;Q$1,Plan2!$A:$V,22,FALSE)</f>
        <v>23.939811241100902</v>
      </c>
      <c r="R75" s="13" t="str">
        <f>VLOOKUP(A75,ratings!A:E,3,FALSE)</f>
        <v>BB</v>
      </c>
      <c r="S75" s="13" t="str">
        <f>VLOOKUP(A75,ratings!A:E,4,FALSE)</f>
        <v>Ba2</v>
      </c>
    </row>
    <row r="76" spans="1:19" x14ac:dyDescent="0.25">
      <c r="A76" t="s">
        <v>166</v>
      </c>
      <c r="B76" s="2">
        <f>VLOOKUP($A76&amp;B$1,Plan2!$A:$V,22,FALSE)</f>
        <v>34.412773016903301</v>
      </c>
      <c r="C76" s="2">
        <f>VLOOKUP($A76&amp;C$1,Plan2!$A:$V,22,FALSE)</f>
        <v>32.654128375484902</v>
      </c>
      <c r="D76" s="2">
        <f>VLOOKUP($A76&amp;D$1,Plan2!$A:$V,22,FALSE)</f>
        <v>31.424695367124201</v>
      </c>
      <c r="E76" s="2">
        <f>VLOOKUP($A76&amp;E$1,Plan2!$A:$V,22,FALSE)</f>
        <v>32.847924880082203</v>
      </c>
      <c r="F76" s="2">
        <f>VLOOKUP($A76&amp;F$1,Plan2!$A:$V,22,FALSE)</f>
        <v>31.257499160894501</v>
      </c>
      <c r="G76" s="2">
        <f>VLOOKUP($A76&amp;G$1,Plan2!$A:$V,22,FALSE)</f>
        <v>32.246345992559696</v>
      </c>
      <c r="H76" s="2">
        <f>VLOOKUP($A76&amp;H$1,Plan2!$A:$V,22,FALSE)</f>
        <v>31.239946594907298</v>
      </c>
      <c r="I76" s="2">
        <f>VLOOKUP($A76&amp;I$1,Plan2!$A:$V,22,FALSE)</f>
        <v>33.4911288722002</v>
      </c>
      <c r="J76" s="2">
        <f>VLOOKUP($A76&amp;J$1,Plan2!$A:$V,22,FALSE)</f>
        <v>32.774190827687498</v>
      </c>
      <c r="K76" s="2">
        <f>VLOOKUP($A76&amp;K$1,Plan2!$A:$V,22,FALSE)</f>
        <v>33.079158248310002</v>
      </c>
      <c r="L76" s="2">
        <f>VLOOKUP($A76&amp;L$1,Plan2!$A:$V,22,FALSE)</f>
        <v>29.001012597051801</v>
      </c>
      <c r="M76" s="2">
        <f>VLOOKUP($A76&amp;M$1,Plan2!$A:$V,22,FALSE)</f>
        <v>32.363886038022798</v>
      </c>
      <c r="N76" s="2">
        <f>VLOOKUP($A76&amp;N$1,Plan2!$A:$V,22,FALSE)</f>
        <v>33.445228048081603</v>
      </c>
      <c r="O76" s="2">
        <f>VLOOKUP($A76&amp;O$1,Plan2!$A:$V,22,FALSE)</f>
        <v>35.183048937863298</v>
      </c>
      <c r="P76" s="2">
        <f>VLOOKUP($A76&amp;P$1,Plan2!$A:$V,22,FALSE)</f>
        <v>35.107115387271399</v>
      </c>
      <c r="Q76" s="2">
        <f>VLOOKUP($A76&amp;Q$1,Plan2!$A:$V,22,FALSE)</f>
        <v>33.400146835033297</v>
      </c>
      <c r="R76" s="13" t="str">
        <f>VLOOKUP(A76,ratings!A:E,3,FALSE)</f>
        <v>BBB-</v>
      </c>
      <c r="S76" s="13" t="str">
        <f>VLOOKUP(A76,ratings!A:E,4,FALSE)</f>
        <v>Ba1</v>
      </c>
    </row>
    <row r="77" spans="1:19" x14ac:dyDescent="0.25">
      <c r="A77" t="s">
        <v>228</v>
      </c>
      <c r="B77" s="2">
        <f>VLOOKUP($A77&amp;B$1,Plan2!$A:$V,22,FALSE)</f>
        <v>39.051350366637799</v>
      </c>
      <c r="C77" s="2">
        <f>VLOOKUP($A77&amp;C$1,Plan2!$A:$V,22,FALSE)</f>
        <v>34.2178035367711</v>
      </c>
      <c r="D77" s="2">
        <f>VLOOKUP($A77&amp;D$1,Plan2!$A:$V,22,FALSE)</f>
        <v>33.671861709178202</v>
      </c>
      <c r="E77" s="2">
        <f>VLOOKUP($A77&amp;E$1,Plan2!$A:$V,22,FALSE)</f>
        <v>32.119121101365501</v>
      </c>
      <c r="F77" s="2">
        <f>VLOOKUP($A77&amp;F$1,Plan2!$A:$V,22,FALSE)</f>
        <v>35.777647244923699</v>
      </c>
      <c r="G77" s="2">
        <f>VLOOKUP($A77&amp;G$1,Plan2!$A:$V,22,FALSE)</f>
        <v>33.1330735327168</v>
      </c>
      <c r="H77" s="2">
        <f>VLOOKUP($A77&amp;H$1,Plan2!$A:$V,22,FALSE)</f>
        <v>31.788289999585398</v>
      </c>
      <c r="I77" s="2">
        <f>VLOOKUP($A77&amp;I$1,Plan2!$A:$V,22,FALSE)</f>
        <v>31.833548579874801</v>
      </c>
      <c r="J77" s="2">
        <f>VLOOKUP($A77&amp;J$1,Plan2!$A:$V,22,FALSE)</f>
        <v>32.694018725792098</v>
      </c>
      <c r="K77" s="2">
        <f>VLOOKUP($A77&amp;K$1,Plan2!$A:$V,22,FALSE)</f>
        <v>33.548355111313597</v>
      </c>
      <c r="L77" s="2">
        <f>VLOOKUP($A77&amp;L$1,Plan2!$A:$V,22,FALSE)</f>
        <v>26.632081063902799</v>
      </c>
      <c r="M77" s="2">
        <f>VLOOKUP($A77&amp;M$1,Plan2!$A:$V,22,FALSE)</f>
        <v>30.6970453295678</v>
      </c>
      <c r="N77" s="2">
        <f>VLOOKUP($A77&amp;N$1,Plan2!$A:$V,22,FALSE)</f>
        <v>31.362910773386499</v>
      </c>
      <c r="O77" s="2">
        <f>VLOOKUP($A77&amp;O$1,Plan2!$A:$V,22,FALSE)</f>
        <v>32.520047543310497</v>
      </c>
      <c r="P77" s="2">
        <f>VLOOKUP($A77&amp;P$1,Plan2!$A:$V,22,FALSE)</f>
        <v>33.5156925233726</v>
      </c>
      <c r="Q77" s="2">
        <f>VLOOKUP($A77&amp;Q$1,Plan2!$A:$V,22,FALSE)</f>
        <v>32.059020151881398</v>
      </c>
      <c r="R77" s="13" t="str">
        <f>VLOOKUP(A77,ratings!A:E,3,FALSE)</f>
        <v>N/A</v>
      </c>
      <c r="S77" s="13" t="str">
        <f>VLOOKUP(A77,ratings!A:E,4,FALSE)</f>
        <v>Caa1</v>
      </c>
    </row>
    <row r="78" spans="1:19" x14ac:dyDescent="0.25">
      <c r="A78" t="s">
        <v>234</v>
      </c>
      <c r="B78" s="2">
        <f>VLOOKUP($A78&amp;B$1,Plan2!$A:$V,22,FALSE)</f>
        <v>46.368852599259597</v>
      </c>
      <c r="C78" s="2">
        <f>VLOOKUP($A78&amp;C$1,Plan2!$A:$V,22,FALSE)</f>
        <v>48.6865483661119</v>
      </c>
      <c r="D78" s="2">
        <f>VLOOKUP($A78&amp;D$1,Plan2!$A:$V,22,FALSE)</f>
        <v>47.035842179728199</v>
      </c>
      <c r="E78" s="2">
        <f>VLOOKUP($A78&amp;E$1,Plan2!$A:$V,22,FALSE)</f>
        <v>45.607973058289502</v>
      </c>
      <c r="F78" s="2">
        <f>VLOOKUP($A78&amp;F$1,Plan2!$A:$V,22,FALSE)</f>
        <v>42.628464182777698</v>
      </c>
      <c r="G78" s="2">
        <f>VLOOKUP($A78&amp;G$1,Plan2!$A:$V,22,FALSE)</f>
        <v>46.438312072541599</v>
      </c>
      <c r="H78" s="2">
        <f>VLOOKUP($A78&amp;H$1,Plan2!$A:$V,22,FALSE)</f>
        <v>44.506367420718497</v>
      </c>
      <c r="I78" s="2">
        <f>VLOOKUP($A78&amp;I$1,Plan2!$A:$V,22,FALSE)</f>
        <v>45.149836240062598</v>
      </c>
      <c r="J78" s="2">
        <f>VLOOKUP($A78&amp;J$1,Plan2!$A:$V,22,FALSE)</f>
        <v>45.849390014934102</v>
      </c>
      <c r="K78" s="2">
        <f>VLOOKUP($A78&amp;K$1,Plan2!$A:$V,22,FALSE)</f>
        <v>46.825276455956597</v>
      </c>
      <c r="L78" s="2">
        <f>VLOOKUP($A78&amp;L$1,Plan2!$A:$V,22,FALSE)</f>
        <v>43.214322748584998</v>
      </c>
      <c r="M78" s="2">
        <f>VLOOKUP($A78&amp;M$1,Plan2!$A:$V,22,FALSE)</f>
        <v>44.701445708101403</v>
      </c>
      <c r="N78" s="2">
        <f>VLOOKUP($A78&amp;N$1,Plan2!$A:$V,22,FALSE)</f>
        <v>31.179769873645899</v>
      </c>
      <c r="O78" s="2">
        <f>VLOOKUP($A78&amp;O$1,Plan2!$A:$V,22,FALSE)</f>
        <v>34.380437704152399</v>
      </c>
      <c r="P78" s="2">
        <f>VLOOKUP($A78&amp;P$1,Plan2!$A:$V,22,FALSE)</f>
        <v>32.343448746038</v>
      </c>
      <c r="Q78" s="2">
        <f>VLOOKUP($A78&amp;Q$1,Plan2!$A:$V,22,FALSE)</f>
        <v>26.0580031861859</v>
      </c>
      <c r="R78" s="13" t="str">
        <f>VLOOKUP(A78,ratings!A:E,3,FALSE)</f>
        <v>CCC+</v>
      </c>
      <c r="S78" s="13" t="str">
        <f>VLOOKUP(A78,ratings!A:E,4,FALSE)</f>
        <v>Ca</v>
      </c>
    </row>
    <row r="79" spans="1:19" x14ac:dyDescent="0.25">
      <c r="A79" t="s">
        <v>132</v>
      </c>
      <c r="B79" s="2">
        <f>VLOOKUP($A79&amp;B$1,Plan2!$A:$V,22,FALSE)</f>
        <v>33.437635595595097</v>
      </c>
      <c r="C79" s="2">
        <f>VLOOKUP($A79&amp;C$1,Plan2!$A:$V,22,FALSE)</f>
        <v>36.154517232373003</v>
      </c>
      <c r="D79" s="2">
        <f>VLOOKUP($A79&amp;D$1,Plan2!$A:$V,22,FALSE)</f>
        <v>30.355937022155199</v>
      </c>
      <c r="E79" s="2">
        <f>VLOOKUP($A79&amp;E$1,Plan2!$A:$V,22,FALSE)</f>
        <v>33.795959441729998</v>
      </c>
      <c r="F79" s="2">
        <f>VLOOKUP($A79&amp;F$1,Plan2!$A:$V,22,FALSE)</f>
        <v>33.239540801262798</v>
      </c>
      <c r="G79" s="2">
        <f>VLOOKUP($A79&amp;G$1,Plan2!$A:$V,22,FALSE)</f>
        <v>33.6073051066017</v>
      </c>
      <c r="H79" s="2">
        <f>VLOOKUP($A79&amp;H$1,Plan2!$A:$V,22,FALSE)</f>
        <v>32.584371167808399</v>
      </c>
      <c r="I79" s="2">
        <f>VLOOKUP($A79&amp;I$1,Plan2!$A:$V,22,FALSE)</f>
        <v>34.904513343171601</v>
      </c>
      <c r="J79" s="2">
        <f>VLOOKUP($A79&amp;J$1,Plan2!$A:$V,22,FALSE)</f>
        <v>36.4387335282685</v>
      </c>
      <c r="K79" s="2">
        <f>VLOOKUP($A79&amp;K$1,Plan2!$A:$V,22,FALSE)</f>
        <v>35.9729708286484</v>
      </c>
      <c r="L79" s="2">
        <f>VLOOKUP($A79&amp;L$1,Plan2!$A:$V,22,FALSE)</f>
        <v>33.202235778993398</v>
      </c>
      <c r="M79" s="2">
        <f>VLOOKUP($A79&amp;M$1,Plan2!$A:$V,22,FALSE)</f>
        <v>36.791813828744502</v>
      </c>
      <c r="N79" s="2">
        <f>VLOOKUP($A79&amp;N$1,Plan2!$A:$V,22,FALSE)</f>
        <v>36.521232652000599</v>
      </c>
      <c r="O79" s="2">
        <f>VLOOKUP($A79&amp;O$1,Plan2!$A:$V,22,FALSE)</f>
        <v>40.253002880138297</v>
      </c>
      <c r="P79" s="2">
        <f>VLOOKUP($A79&amp;P$1,Plan2!$A:$V,22,FALSE)</f>
        <v>42.800366820621299</v>
      </c>
      <c r="Q79" s="2">
        <f>VLOOKUP($A79&amp;Q$1,Plan2!$A:$V,22,FALSE)</f>
        <v>37.9981598177461</v>
      </c>
      <c r="R79" s="13" t="str">
        <f>VLOOKUP(A79,ratings!A:E,3,FALSE)</f>
        <v>B+</v>
      </c>
      <c r="S79" s="13" t="str">
        <f>VLOOKUP(A79,ratings!A:E,4,FALSE)</f>
        <v>B3</v>
      </c>
    </row>
    <row r="80" spans="1:19" x14ac:dyDescent="0.25">
      <c r="A80" t="s">
        <v>184</v>
      </c>
      <c r="B80" s="2">
        <f>VLOOKUP($A80&amp;B$1,Plan2!$A:$V,22,FALSE)</f>
        <v>38.575464576327903</v>
      </c>
      <c r="C80" s="2">
        <f>VLOOKUP($A80&amp;C$1,Plan2!$A:$V,22,FALSE)</f>
        <v>41.732282987641902</v>
      </c>
      <c r="D80" s="2">
        <f>VLOOKUP($A80&amp;D$1,Plan2!$A:$V,22,FALSE)</f>
        <v>40.005549936395703</v>
      </c>
      <c r="E80" s="2">
        <f>VLOOKUP($A80&amp;E$1,Plan2!$A:$V,22,FALSE)</f>
        <v>41.619108818364197</v>
      </c>
      <c r="F80" s="2">
        <f>VLOOKUP($A80&amp;F$1,Plan2!$A:$V,22,FALSE)</f>
        <v>41.302856541642797</v>
      </c>
      <c r="G80" s="2">
        <f>VLOOKUP($A80&amp;G$1,Plan2!$A:$V,22,FALSE)</f>
        <v>41.093753953903899</v>
      </c>
      <c r="H80" s="2">
        <f>VLOOKUP($A80&amp;H$1,Plan2!$A:$V,22,FALSE)</f>
        <v>42.395953222016097</v>
      </c>
      <c r="I80" s="2">
        <f>VLOOKUP($A80&amp;I$1,Plan2!$A:$V,22,FALSE)</f>
        <v>42.154765814104699</v>
      </c>
      <c r="J80" s="2">
        <f>VLOOKUP($A80&amp;J$1,Plan2!$A:$V,22,FALSE)</f>
        <v>40.588882432232701</v>
      </c>
      <c r="K80" s="2">
        <f>VLOOKUP($A80&amp;K$1,Plan2!$A:$V,22,FALSE)</f>
        <v>38.972132246744998</v>
      </c>
      <c r="L80" s="2">
        <f>VLOOKUP($A80&amp;L$1,Plan2!$A:$V,22,FALSE)</f>
        <v>35.527418933129397</v>
      </c>
      <c r="M80" s="2">
        <f>VLOOKUP($A80&amp;M$1,Plan2!$A:$V,22,FALSE)</f>
        <v>37.722760045897999</v>
      </c>
      <c r="N80" s="2">
        <f>VLOOKUP($A80&amp;N$1,Plan2!$A:$V,22,FALSE)</f>
        <v>36.436735896386203</v>
      </c>
      <c r="O80" s="2">
        <f>VLOOKUP($A80&amp;O$1,Plan2!$A:$V,22,FALSE)</f>
        <v>39.171187357029901</v>
      </c>
      <c r="P80" s="2">
        <f>VLOOKUP($A80&amp;P$1,Plan2!$A:$V,22,FALSE)</f>
        <v>39.172425234429397</v>
      </c>
      <c r="Q80" s="2">
        <f>VLOOKUP($A80&amp;Q$1,Plan2!$A:$V,22,FALSE)</f>
        <v>39.795100637140798</v>
      </c>
      <c r="R80" s="13" t="str">
        <f>VLOOKUP(A80,ratings!A:E,3,FALSE)</f>
        <v>BBB-</v>
      </c>
      <c r="S80" s="13" t="str">
        <f>VLOOKUP(A80,ratings!A:E,4,FALSE)</f>
        <v>Baa3</v>
      </c>
    </row>
    <row r="81" spans="1:19" x14ac:dyDescent="0.25">
      <c r="A81" t="s">
        <v>176</v>
      </c>
      <c r="B81" s="2">
        <f>VLOOKUP($A81&amp;B$1,Plan2!$A:$V,22,FALSE)</f>
        <v>30.0556158842044</v>
      </c>
      <c r="C81" s="2">
        <f>VLOOKUP($A81&amp;C$1,Plan2!$A:$V,22,FALSE)</f>
        <v>30.920574278441102</v>
      </c>
      <c r="D81" s="2">
        <f>VLOOKUP($A81&amp;D$1,Plan2!$A:$V,22,FALSE)</f>
        <v>31.8111924817002</v>
      </c>
      <c r="E81" s="2">
        <f>VLOOKUP($A81&amp;E$1,Plan2!$A:$V,22,FALSE)</f>
        <v>30.721598566809199</v>
      </c>
      <c r="F81" s="2">
        <f>VLOOKUP($A81&amp;F$1,Plan2!$A:$V,22,FALSE)</f>
        <v>31.6825190492657</v>
      </c>
      <c r="G81" s="2">
        <f>VLOOKUP($A81&amp;G$1,Plan2!$A:$V,22,FALSE)</f>
        <v>30.486887862949501</v>
      </c>
      <c r="H81" s="2">
        <f>VLOOKUP($A81&amp;H$1,Plan2!$A:$V,22,FALSE)</f>
        <v>30.9792938106741</v>
      </c>
      <c r="I81" s="2">
        <f>VLOOKUP($A81&amp;I$1,Plan2!$A:$V,22,FALSE)</f>
        <v>31.963494467925599</v>
      </c>
      <c r="J81" s="2">
        <f>VLOOKUP($A81&amp;J$1,Plan2!$A:$V,22,FALSE)</f>
        <v>28.241896001350302</v>
      </c>
      <c r="K81" s="2">
        <f>VLOOKUP($A81&amp;K$1,Plan2!$A:$V,22,FALSE)</f>
        <v>33.0901236152189</v>
      </c>
      <c r="L81" s="2">
        <f>VLOOKUP($A81&amp;L$1,Plan2!$A:$V,22,FALSE)</f>
        <v>31.0847228992798</v>
      </c>
      <c r="M81" s="2">
        <f>VLOOKUP($A81&amp;M$1,Plan2!$A:$V,22,FALSE)</f>
        <v>34.5992495618571</v>
      </c>
      <c r="N81" s="2">
        <f>VLOOKUP($A81&amp;N$1,Plan2!$A:$V,22,FALSE)</f>
        <v>36.0374824869889</v>
      </c>
      <c r="O81" s="2">
        <f>VLOOKUP($A81&amp;O$1,Plan2!$A:$V,22,FALSE)</f>
        <v>39.689852305621997</v>
      </c>
      <c r="P81" s="2">
        <f>VLOOKUP($A81&amp;P$1,Plan2!$A:$V,22,FALSE)</f>
        <v>38.617777064713898</v>
      </c>
      <c r="Q81" s="2">
        <f>VLOOKUP($A81&amp;Q$1,Plan2!$A:$V,22,FALSE)</f>
        <v>35.562501378462102</v>
      </c>
      <c r="R81" s="13" t="str">
        <f>VLOOKUP(A81,ratings!A:E,3,FALSE)</f>
        <v>B+</v>
      </c>
      <c r="S81" s="13" t="str">
        <f>VLOOKUP(A81,ratings!A:E,4,FALSE)</f>
        <v>B2</v>
      </c>
    </row>
    <row r="82" spans="1:19" x14ac:dyDescent="0.25">
      <c r="A82" t="s">
        <v>46</v>
      </c>
      <c r="B82" s="2">
        <f>VLOOKUP($A82&amp;B$1,Plan2!$A:$V,22,FALSE)</f>
        <v>31.6814128743605</v>
      </c>
      <c r="C82" s="2">
        <f>VLOOKUP($A82&amp;C$1,Plan2!$A:$V,22,FALSE)</f>
        <v>34.142335737475399</v>
      </c>
      <c r="D82" s="2">
        <f>VLOOKUP($A82&amp;D$1,Plan2!$A:$V,22,FALSE)</f>
        <v>35.488124710632903</v>
      </c>
      <c r="E82" s="2">
        <f>VLOOKUP($A82&amp;E$1,Plan2!$A:$V,22,FALSE)</f>
        <v>34.735839284643198</v>
      </c>
      <c r="F82" s="2">
        <f>VLOOKUP($A82&amp;F$1,Plan2!$A:$V,22,FALSE)</f>
        <v>34.488344184351902</v>
      </c>
      <c r="G82" s="2">
        <f>VLOOKUP($A82&amp;G$1,Plan2!$A:$V,22,FALSE)</f>
        <v>31.904359571170399</v>
      </c>
      <c r="H82" s="2">
        <f>VLOOKUP($A82&amp;H$1,Plan2!$A:$V,22,FALSE)</f>
        <v>31.699974055422</v>
      </c>
      <c r="I82" s="2">
        <f>VLOOKUP($A82&amp;I$1,Plan2!$A:$V,22,FALSE)</f>
        <v>32.9740380529785</v>
      </c>
      <c r="J82" s="2">
        <f>VLOOKUP($A82&amp;J$1,Plan2!$A:$V,22,FALSE)</f>
        <v>32.890354499772997</v>
      </c>
      <c r="K82" s="2">
        <f>VLOOKUP($A82&amp;K$1,Plan2!$A:$V,22,FALSE)</f>
        <v>32.602735602502896</v>
      </c>
      <c r="L82" s="2">
        <f>VLOOKUP($A82&amp;L$1,Plan2!$A:$V,22,FALSE)</f>
        <v>22.433006101539501</v>
      </c>
      <c r="M82" s="2">
        <f>VLOOKUP($A82&amp;M$1,Plan2!$A:$V,22,FALSE)</f>
        <v>34.719363534704001</v>
      </c>
      <c r="N82" s="2">
        <f>VLOOKUP($A82&amp;N$1,Plan2!$A:$V,22,FALSE)</f>
        <v>36.697521817068299</v>
      </c>
      <c r="O82" s="2">
        <f>VLOOKUP($A82&amp;O$1,Plan2!$A:$V,22,FALSE)</f>
        <v>35.0362304875364</v>
      </c>
      <c r="P82" s="2">
        <f>VLOOKUP($A82&amp;P$1,Plan2!$A:$V,22,FALSE)</f>
        <v>36.305138999221803</v>
      </c>
      <c r="Q82" s="2">
        <f>VLOOKUP($A82&amp;Q$1,Plan2!$A:$V,22,FALSE)</f>
        <v>34.989388147602</v>
      </c>
      <c r="R82" s="13" t="str">
        <f>VLOOKUP(A82,ratings!A:E,3,FALSE)</f>
        <v>B-</v>
      </c>
      <c r="S82" s="13" t="str">
        <f>VLOOKUP(A82,ratings!A:E,4,FALSE)</f>
        <v>Caa1</v>
      </c>
    </row>
    <row r="83" spans="1:19" x14ac:dyDescent="0.25">
      <c r="A83" t="s">
        <v>188</v>
      </c>
      <c r="B83" s="2">
        <f>VLOOKUP($A83&amp;B$1,Plan2!$A:$V,22,FALSE)</f>
        <v>36.115161452806802</v>
      </c>
      <c r="C83" s="2">
        <f>VLOOKUP($A83&amp;C$1,Plan2!$A:$V,22,FALSE)</f>
        <v>36.801518866611303</v>
      </c>
      <c r="D83" s="2">
        <f>VLOOKUP($A83&amp;D$1,Plan2!$A:$V,22,FALSE)</f>
        <v>38.694248231128398</v>
      </c>
      <c r="E83" s="2">
        <f>VLOOKUP($A83&amp;E$1,Plan2!$A:$V,22,FALSE)</f>
        <v>39.4138280909361</v>
      </c>
      <c r="F83" s="2">
        <f>VLOOKUP($A83&amp;F$1,Plan2!$A:$V,22,FALSE)</f>
        <v>40.330328950439601</v>
      </c>
      <c r="G83" s="2">
        <f>VLOOKUP($A83&amp;G$1,Plan2!$A:$V,22,FALSE)</f>
        <v>39.582964159205297</v>
      </c>
      <c r="H83" s="2">
        <f>VLOOKUP($A83&amp;H$1,Plan2!$A:$V,22,FALSE)</f>
        <v>38.482147300293299</v>
      </c>
      <c r="I83" s="2">
        <f>VLOOKUP($A83&amp;I$1,Plan2!$A:$V,22,FALSE)</f>
        <v>38.750848101916198</v>
      </c>
      <c r="J83" s="2">
        <f>VLOOKUP($A83&amp;J$1,Plan2!$A:$V,22,FALSE)</f>
        <v>39.9504922255176</v>
      </c>
      <c r="K83" s="2">
        <f>VLOOKUP($A83&amp;K$1,Plan2!$A:$V,22,FALSE)</f>
        <v>40.249377847698199</v>
      </c>
      <c r="L83" s="2">
        <f>VLOOKUP($A83&amp;L$1,Plan2!$A:$V,22,FALSE)</f>
        <v>34.976938351218003</v>
      </c>
      <c r="M83" s="2">
        <f>VLOOKUP($A83&amp;M$1,Plan2!$A:$V,22,FALSE)</f>
        <v>35.039798914187401</v>
      </c>
      <c r="N83" s="2">
        <f>VLOOKUP($A83&amp;N$1,Plan2!$A:$V,22,FALSE)</f>
        <v>36.104873174585698</v>
      </c>
      <c r="O83" s="2">
        <f>VLOOKUP($A83&amp;O$1,Plan2!$A:$V,22,FALSE)</f>
        <v>37.778715619929102</v>
      </c>
      <c r="P83" s="2">
        <f>VLOOKUP($A83&amp;P$1,Plan2!$A:$V,22,FALSE)</f>
        <v>38.039024698605701</v>
      </c>
      <c r="Q83" s="2">
        <f>VLOOKUP($A83&amp;Q$1,Plan2!$A:$V,22,FALSE)</f>
        <v>37.9958393511479</v>
      </c>
      <c r="R83" s="13" t="str">
        <f>VLOOKUP(A83,ratings!A:E,3,FALSE)</f>
        <v>BBB+</v>
      </c>
      <c r="S83" s="13" t="str">
        <f>VLOOKUP(A83,ratings!A:E,4,FALSE)</f>
        <v>Baa2</v>
      </c>
    </row>
    <row r="84" spans="1:19" x14ac:dyDescent="0.25">
      <c r="A84" t="s">
        <v>108</v>
      </c>
      <c r="B84" s="2">
        <f>VLOOKUP($A84&amp;B$1,Plan2!$A:$V,22,FALSE)</f>
        <v>32.567534888874903</v>
      </c>
      <c r="C84" s="2">
        <f>VLOOKUP($A84&amp;C$1,Plan2!$A:$V,22,FALSE)</f>
        <v>35.797124985264297</v>
      </c>
      <c r="D84" s="2">
        <f>VLOOKUP($A84&amp;D$1,Plan2!$A:$V,22,FALSE)</f>
        <v>35.800798914176802</v>
      </c>
      <c r="E84" s="2">
        <f>VLOOKUP($A84&amp;E$1,Plan2!$A:$V,22,FALSE)</f>
        <v>33.111360614437302</v>
      </c>
      <c r="F84" s="2">
        <f>VLOOKUP($A84&amp;F$1,Plan2!$A:$V,22,FALSE)</f>
        <v>35.772362395344899</v>
      </c>
      <c r="G84" s="2">
        <f>VLOOKUP($A84&amp;G$1,Plan2!$A:$V,22,FALSE)</f>
        <v>37.995396744554199</v>
      </c>
      <c r="H84" s="2">
        <f>VLOOKUP($A84&amp;H$1,Plan2!$A:$V,22,FALSE)</f>
        <v>38.4981954984613</v>
      </c>
      <c r="I84" s="2">
        <f>VLOOKUP($A84&amp;I$1,Plan2!$A:$V,22,FALSE)</f>
        <v>39.601604959720497</v>
      </c>
      <c r="J84" s="2">
        <f>VLOOKUP($A84&amp;J$1,Plan2!$A:$V,22,FALSE)</f>
        <v>38.8924990315369</v>
      </c>
      <c r="K84" s="2">
        <f>VLOOKUP($A84&amp;K$1,Plan2!$A:$V,22,FALSE)</f>
        <v>39.512771130709197</v>
      </c>
      <c r="L84" s="2">
        <f>VLOOKUP($A84&amp;L$1,Plan2!$A:$V,22,FALSE)</f>
        <v>32.250735408856301</v>
      </c>
      <c r="M84" s="2">
        <f>VLOOKUP($A84&amp;M$1,Plan2!$A:$V,22,FALSE)</f>
        <v>37.214210453446</v>
      </c>
      <c r="N84" s="2">
        <f>VLOOKUP($A84&amp;N$1,Plan2!$A:$V,22,FALSE)</f>
        <v>39.6167619585691</v>
      </c>
      <c r="O84" s="2">
        <f>VLOOKUP($A84&amp;O$1,Plan2!$A:$V,22,FALSE)</f>
        <v>38.138072575816601</v>
      </c>
      <c r="P84" s="2">
        <f>VLOOKUP($A84&amp;P$1,Plan2!$A:$V,22,FALSE)</f>
        <v>39.1569099355399</v>
      </c>
      <c r="Q84" s="2">
        <f>VLOOKUP($A84&amp;Q$1,Plan2!$A:$V,22,FALSE)</f>
        <v>38.793320496301902</v>
      </c>
      <c r="R84" s="13" t="str">
        <f>VLOOKUP(A84,ratings!A:E,3,FALSE)</f>
        <v>BB-</v>
      </c>
      <c r="S84" s="13" t="str">
        <f>VLOOKUP(A84,ratings!A:E,4,FALSE)</f>
        <v>B1</v>
      </c>
    </row>
    <row r="85" spans="1:19" x14ac:dyDescent="0.25">
      <c r="A85" t="s">
        <v>138</v>
      </c>
      <c r="B85" s="2">
        <f>VLOOKUP($A85&amp;B$1,Plan2!$A:$V,22,FALSE)</f>
        <v>28.2598833065191</v>
      </c>
      <c r="C85" s="2">
        <f>VLOOKUP($A85&amp;C$1,Plan2!$A:$V,22,FALSE)</f>
        <v>28.244564384537298</v>
      </c>
      <c r="D85" s="2">
        <f>VLOOKUP($A85&amp;D$1,Plan2!$A:$V,22,FALSE)</f>
        <v>25.295323377756102</v>
      </c>
      <c r="E85" s="2">
        <f>VLOOKUP($A85&amp;E$1,Plan2!$A:$V,22,FALSE)</f>
        <v>24.299536709501101</v>
      </c>
      <c r="F85" s="2">
        <f>VLOOKUP($A85&amp;F$1,Plan2!$A:$V,22,FALSE)</f>
        <v>26.3935975607946</v>
      </c>
      <c r="G85" s="2">
        <f>VLOOKUP($A85&amp;G$1,Plan2!$A:$V,22,FALSE)</f>
        <v>25.0443989469894</v>
      </c>
      <c r="H85" s="2">
        <f>VLOOKUP($A85&amp;H$1,Plan2!$A:$V,22,FALSE)</f>
        <v>23.839440145422699</v>
      </c>
      <c r="I85" s="2">
        <f>VLOOKUP($A85&amp;I$1,Plan2!$A:$V,22,FALSE)</f>
        <v>23.934833642629901</v>
      </c>
      <c r="J85" s="2">
        <f>VLOOKUP($A85&amp;J$1,Plan2!$A:$V,22,FALSE)</f>
        <v>20.038747854578901</v>
      </c>
      <c r="K85" s="2">
        <f>VLOOKUP($A85&amp;K$1,Plan2!$A:$V,22,FALSE)</f>
        <v>20.133643818063501</v>
      </c>
      <c r="L85" s="2">
        <f>VLOOKUP($A85&amp;L$1,Plan2!$A:$V,22,FALSE)</f>
        <v>18.472974025532899</v>
      </c>
      <c r="M85" s="2">
        <f>VLOOKUP($A85&amp;M$1,Plan2!$A:$V,22,FALSE)</f>
        <v>12.6857031070424</v>
      </c>
      <c r="N85" s="2">
        <f>VLOOKUP($A85&amp;N$1,Plan2!$A:$V,22,FALSE)</f>
        <v>19.3393798391036</v>
      </c>
      <c r="O85" s="2">
        <f>VLOOKUP($A85&amp;O$1,Plan2!$A:$V,22,FALSE)</f>
        <v>27.4399542653486</v>
      </c>
      <c r="P85" s="2">
        <f>VLOOKUP($A85&amp;P$1,Plan2!$A:$V,22,FALSE)</f>
        <v>29.165500261940899</v>
      </c>
      <c r="Q85" s="2">
        <f>VLOOKUP($A85&amp;Q$1,Plan2!$A:$V,22,FALSE)</f>
        <v>33.89815857944</v>
      </c>
      <c r="R85" s="13" t="str">
        <f>VLOOKUP(A85,ratings!A:E,3,FALSE)</f>
        <v>SD</v>
      </c>
      <c r="S85" s="13" t="str">
        <f>VLOOKUP(A85,ratings!A:E,4,FALSE)</f>
        <v>C</v>
      </c>
    </row>
    <row r="86" spans="1:19" x14ac:dyDescent="0.25">
      <c r="A86" t="s">
        <v>78</v>
      </c>
      <c r="B86" s="2">
        <f>VLOOKUP($A86&amp;B$1,Plan2!$A:$V,22,FALSE)</f>
        <v>36.605967886743201</v>
      </c>
      <c r="C86" s="2">
        <f>VLOOKUP($A86&amp;C$1,Plan2!$A:$V,22,FALSE)</f>
        <v>35.388121714075901</v>
      </c>
      <c r="D86" s="2">
        <f>VLOOKUP($A86&amp;D$1,Plan2!$A:$V,22,FALSE)</f>
        <v>33.028293402571698</v>
      </c>
      <c r="E86" s="2">
        <f>VLOOKUP($A86&amp;E$1,Plan2!$A:$V,22,FALSE)</f>
        <v>35.375461307777499</v>
      </c>
      <c r="F86" s="2">
        <f>VLOOKUP($A86&amp;F$1,Plan2!$A:$V,22,FALSE)</f>
        <v>37.908286979114202</v>
      </c>
      <c r="G86" s="2">
        <f>VLOOKUP($A86&amp;G$1,Plan2!$A:$V,22,FALSE)</f>
        <v>40.0115140073341</v>
      </c>
      <c r="H86" s="2">
        <f>VLOOKUP($A86&amp;H$1,Plan2!$A:$V,22,FALSE)</f>
        <v>38.0225244497774</v>
      </c>
      <c r="I86" s="2">
        <f>VLOOKUP($A86&amp;I$1,Plan2!$A:$V,22,FALSE)</f>
        <v>38.397243425969499</v>
      </c>
      <c r="J86" s="2">
        <f>VLOOKUP($A86&amp;J$1,Plan2!$A:$V,22,FALSE)</f>
        <v>39.561747404255399</v>
      </c>
      <c r="K86" s="2">
        <f>VLOOKUP($A86&amp;K$1,Plan2!$A:$V,22,FALSE)</f>
        <v>38.177531205083703</v>
      </c>
      <c r="L86" s="2">
        <f>VLOOKUP($A86&amp;L$1,Plan2!$A:$V,22,FALSE)</f>
        <v>31.1393086912569</v>
      </c>
      <c r="M86" s="2">
        <f>VLOOKUP($A86&amp;M$1,Plan2!$A:$V,22,FALSE)</f>
        <v>39.416509959949003</v>
      </c>
      <c r="N86" s="2">
        <f>VLOOKUP($A86&amp;N$1,Plan2!$A:$V,22,FALSE)</f>
        <v>38.366554464281002</v>
      </c>
      <c r="O86" s="2">
        <f>VLOOKUP($A86&amp;O$1,Plan2!$A:$V,22,FALSE)</f>
        <v>38.528805689910399</v>
      </c>
      <c r="P86" s="2">
        <f>VLOOKUP($A86&amp;P$1,Plan2!$A:$V,22,FALSE)</f>
        <v>39.508589378512298</v>
      </c>
      <c r="Q86" s="2">
        <f>VLOOKUP($A86&amp;Q$1,Plan2!$A:$V,22,FALSE)</f>
        <v>37.217736527678902</v>
      </c>
      <c r="R86" s="13" t="str">
        <f>VLOOKUP(A86,ratings!A:E,3,FALSE)</f>
        <v>BB</v>
      </c>
      <c r="S86" s="13" t="str">
        <f>VLOOKUP(A86,ratings!A:E,4,FALSE)</f>
        <v>Ba2</v>
      </c>
    </row>
    <row r="87" spans="1:19" x14ac:dyDescent="0.25">
      <c r="A87" t="s">
        <v>116</v>
      </c>
      <c r="B87" s="2">
        <f>VLOOKUP($A87&amp;B$1,Plan2!$A:$V,22,FALSE)</f>
        <v>35.058831168135796</v>
      </c>
      <c r="C87" s="2">
        <f>VLOOKUP($A87&amp;C$1,Plan2!$A:$V,22,FALSE)</f>
        <v>45.267174939391097</v>
      </c>
      <c r="D87" s="2">
        <f>VLOOKUP($A87&amp;D$1,Plan2!$A:$V,22,FALSE)</f>
        <v>46.844424079243701</v>
      </c>
      <c r="E87" s="2">
        <f>VLOOKUP($A87&amp;E$1,Plan2!$A:$V,22,FALSE)</f>
        <v>34.921992352124199</v>
      </c>
      <c r="F87" s="2">
        <f>VLOOKUP($A87&amp;F$1,Plan2!$A:$V,22,FALSE)</f>
        <v>34.039648201305603</v>
      </c>
      <c r="G87" s="2">
        <f>VLOOKUP($A87&amp;G$1,Plan2!$A:$V,22,FALSE)</f>
        <v>21.692708852250099</v>
      </c>
      <c r="H87" s="2">
        <f>VLOOKUP($A87&amp;H$1,Plan2!$A:$V,22,FALSE)</f>
        <v>21.369423158075399</v>
      </c>
      <c r="I87" s="2">
        <f>VLOOKUP($A87&amp;I$1,Plan2!$A:$V,22,FALSE)</f>
        <v>32.279625494317102</v>
      </c>
      <c r="J87" s="2">
        <f>VLOOKUP($A87&amp;J$1,Plan2!$A:$V,22,FALSE)</f>
        <v>44.797031145282602</v>
      </c>
      <c r="K87" s="2">
        <f>VLOOKUP($A87&amp;K$1,Plan2!$A:$V,22,FALSE)</f>
        <v>37.789349637171497</v>
      </c>
      <c r="L87" s="2">
        <f>VLOOKUP($A87&amp;L$1,Plan2!$A:$V,22,FALSE)</f>
        <v>17.082938646634201</v>
      </c>
      <c r="M87" s="2">
        <f>VLOOKUP($A87&amp;M$1,Plan2!$A:$V,22,FALSE)</f>
        <v>35.5366920617898</v>
      </c>
      <c r="N87" s="2">
        <f>VLOOKUP($A87&amp;N$1,Plan2!$A:$V,22,FALSE)</f>
        <v>48.076990137194201</v>
      </c>
      <c r="O87" s="2">
        <f>VLOOKUP($A87&amp;O$1,Plan2!$A:$V,22,FALSE)</f>
        <v>36.528083046800099</v>
      </c>
      <c r="P87" s="2">
        <f>VLOOKUP($A87&amp;P$1,Plan2!$A:$V,22,FALSE)</f>
        <v>32.3228340375085</v>
      </c>
      <c r="Q87" s="2">
        <f>VLOOKUP($A87&amp;Q$1,Plan2!$A:$V,22,FALSE)</f>
        <v>30.2555926279137</v>
      </c>
      <c r="R87" s="13" t="str">
        <f>VLOOKUP(A87,ratings!A:E,3,FALSE)</f>
        <v>B-</v>
      </c>
      <c r="S87" s="13" t="str">
        <f>VLOOKUP(A87,ratings!A:E,4,FALSE)</f>
        <v>Caa1</v>
      </c>
    </row>
    <row r="88" spans="1:19" x14ac:dyDescent="0.25">
      <c r="A88" t="s">
        <v>66</v>
      </c>
      <c r="B88" s="2">
        <f>VLOOKUP($A88&amp;B$1,Plan2!$A:$V,22,FALSE)</f>
        <v>48.208792644846802</v>
      </c>
      <c r="C88" s="2">
        <f>VLOOKUP($A88&amp;C$1,Plan2!$A:$V,22,FALSE)</f>
        <v>50.3906844130832</v>
      </c>
      <c r="D88" s="2">
        <f>VLOOKUP($A88&amp;D$1,Plan2!$A:$V,22,FALSE)</f>
        <v>41.910523424619697</v>
      </c>
      <c r="E88" s="2">
        <f>VLOOKUP($A88&amp;E$1,Plan2!$A:$V,22,FALSE)</f>
        <v>30.121335626043301</v>
      </c>
      <c r="F88" s="2">
        <f>VLOOKUP($A88&amp;F$1,Plan2!$A:$V,22,FALSE)</f>
        <v>22.205208556487701</v>
      </c>
      <c r="G88" s="2">
        <f>VLOOKUP($A88&amp;G$1,Plan2!$A:$V,22,FALSE)</f>
        <v>1.0118914167257</v>
      </c>
      <c r="H88" s="2">
        <f>VLOOKUP($A88&amp;H$1,Plan2!$A:$V,22,FALSE)</f>
        <v>0</v>
      </c>
      <c r="I88" s="2">
        <f>VLOOKUP($A88&amp;I$1,Plan2!$A:$V,22,FALSE)</f>
        <v>16.334418971818799</v>
      </c>
      <c r="J88" s="2">
        <f>VLOOKUP($A88&amp;J$1,Plan2!$A:$V,22,FALSE)</f>
        <v>33.242526787506101</v>
      </c>
      <c r="K88" s="2">
        <f>VLOOKUP($A88&amp;K$1,Plan2!$A:$V,22,FALSE)</f>
        <v>31.4841847814251</v>
      </c>
      <c r="L88" s="2">
        <f>VLOOKUP($A88&amp;L$1,Plan2!$A:$V,22,FALSE)</f>
        <v>21.794479557464399</v>
      </c>
      <c r="M88" s="2">
        <f>VLOOKUP($A88&amp;M$1,Plan2!$A:$V,22,FALSE)</f>
        <v>26.4778064346268</v>
      </c>
      <c r="N88" s="2">
        <f>VLOOKUP($A88&amp;N$1,Plan2!$A:$V,22,FALSE)</f>
        <v>38.475096377395502</v>
      </c>
      <c r="O88" s="2">
        <f>VLOOKUP($A88&amp;O$1,Plan2!$A:$V,22,FALSE)</f>
        <v>34.208051099929001</v>
      </c>
      <c r="P88" s="2">
        <f>VLOOKUP($A88&amp;P$1,Plan2!$A:$V,22,FALSE)</f>
        <v>32.315561652653102</v>
      </c>
      <c r="Q88" s="2">
        <f>VLOOKUP($A88&amp;Q$1,Plan2!$A:$V,22,FALSE)</f>
        <v>26.7789121150889</v>
      </c>
      <c r="R88" s="13" t="str">
        <f>VLOOKUP(A88,ratings!A:E,3,FALSE)</f>
        <v>CCC+</v>
      </c>
      <c r="S88" s="13" t="str">
        <f>VLOOKUP(A88,ratings!A:E,4,FALSE)</f>
        <v>Caa2</v>
      </c>
    </row>
    <row r="89" spans="1:19" x14ac:dyDescent="0.25">
      <c r="A89" t="s">
        <v>170</v>
      </c>
      <c r="B89" s="2">
        <f>VLOOKUP($A89&amp;B$1,Plan2!$A:$V,22,FALSE)</f>
        <v>27.507628797218</v>
      </c>
      <c r="C89" s="2">
        <f>VLOOKUP($A89&amp;C$1,Plan2!$A:$V,22,FALSE)</f>
        <v>27.734911668789302</v>
      </c>
      <c r="D89" s="2">
        <f>VLOOKUP($A89&amp;D$1,Plan2!$A:$V,22,FALSE)</f>
        <v>28.783837768972202</v>
      </c>
      <c r="E89" s="2">
        <f>VLOOKUP($A89&amp;E$1,Plan2!$A:$V,22,FALSE)</f>
        <v>31.825671199381699</v>
      </c>
      <c r="F89" s="2">
        <f>VLOOKUP($A89&amp;F$1,Plan2!$A:$V,22,FALSE)</f>
        <v>33.186419200224996</v>
      </c>
      <c r="G89" s="2">
        <f>VLOOKUP($A89&amp;G$1,Plan2!$A:$V,22,FALSE)</f>
        <v>33.413850681320802</v>
      </c>
      <c r="H89" s="2">
        <f>VLOOKUP($A89&amp;H$1,Plan2!$A:$V,22,FALSE)</f>
        <v>33.267235966691302</v>
      </c>
      <c r="I89" s="2">
        <f>VLOOKUP($A89&amp;I$1,Plan2!$A:$V,22,FALSE)</f>
        <v>31.704734033703101</v>
      </c>
      <c r="J89" s="2">
        <f>VLOOKUP($A89&amp;J$1,Plan2!$A:$V,22,FALSE)</f>
        <v>28.8333273955534</v>
      </c>
      <c r="K89" s="2">
        <f>VLOOKUP($A89&amp;K$1,Plan2!$A:$V,22,FALSE)</f>
        <v>30.1750205979863</v>
      </c>
      <c r="L89" s="2">
        <f>VLOOKUP($A89&amp;L$1,Plan2!$A:$V,22,FALSE)</f>
        <v>25.111934166106501</v>
      </c>
      <c r="M89" s="2">
        <f>VLOOKUP($A89&amp;M$1,Plan2!$A:$V,22,FALSE)</f>
        <v>27.6922209049375</v>
      </c>
      <c r="N89" s="2">
        <f>VLOOKUP($A89&amp;N$1,Plan2!$A:$V,22,FALSE)</f>
        <v>27.8327698453812</v>
      </c>
      <c r="O89" s="2">
        <f>VLOOKUP($A89&amp;O$1,Plan2!$A:$V,22,FALSE)</f>
        <v>27.370466181129999</v>
      </c>
      <c r="P89" s="2">
        <f>VLOOKUP($A89&amp;P$1,Plan2!$A:$V,22,FALSE)</f>
        <v>31.3312693108575</v>
      </c>
      <c r="Q89" s="2">
        <f>VLOOKUP($A89&amp;Q$1,Plan2!$A:$V,22,FALSE)</f>
        <v>29.593972582110499</v>
      </c>
      <c r="R89" s="13">
        <f>VLOOKUP(A89,ratings!A:E,3,FALSE)</f>
        <v>0</v>
      </c>
      <c r="S89" s="13">
        <f>VLOOKUP(A89,ratings!A:E,4,FALSE)</f>
        <v>0</v>
      </c>
    </row>
    <row r="90" spans="1:19" x14ac:dyDescent="0.25">
      <c r="A90" t="s">
        <v>182</v>
      </c>
      <c r="B90" s="2">
        <f>VLOOKUP($A90&amp;B$1,Plan2!$A:$V,22,FALSE)</f>
        <v>36.242936870401799</v>
      </c>
      <c r="C90" s="2">
        <f>VLOOKUP($A90&amp;C$1,Plan2!$A:$V,22,FALSE)</f>
        <v>39.627405856370402</v>
      </c>
      <c r="D90" s="2">
        <f>VLOOKUP($A90&amp;D$1,Plan2!$A:$V,22,FALSE)</f>
        <v>39.505414900790299</v>
      </c>
      <c r="E90" s="2">
        <f>VLOOKUP($A90&amp;E$1,Plan2!$A:$V,22,FALSE)</f>
        <v>37.525052690678997</v>
      </c>
      <c r="F90" s="2">
        <f>VLOOKUP($A90&amp;F$1,Plan2!$A:$V,22,FALSE)</f>
        <v>35.215482702588297</v>
      </c>
      <c r="G90" s="2">
        <f>VLOOKUP($A90&amp;G$1,Plan2!$A:$V,22,FALSE)</f>
        <v>36.582559958310298</v>
      </c>
      <c r="H90" s="2">
        <f>VLOOKUP($A90&amp;H$1,Plan2!$A:$V,22,FALSE)</f>
        <v>36.464245998820999</v>
      </c>
      <c r="I90" s="2">
        <f>VLOOKUP($A90&amp;I$1,Plan2!$A:$V,22,FALSE)</f>
        <v>36.848635243512</v>
      </c>
      <c r="J90" s="2">
        <f>VLOOKUP($A90&amp;J$1,Plan2!$A:$V,22,FALSE)</f>
        <v>35.38247444001</v>
      </c>
      <c r="K90" s="2">
        <f>VLOOKUP($A90&amp;K$1,Plan2!$A:$V,22,FALSE)</f>
        <v>35.081284031586598</v>
      </c>
      <c r="L90" s="2">
        <f>VLOOKUP($A90&amp;L$1,Plan2!$A:$V,22,FALSE)</f>
        <v>23.093255708857399</v>
      </c>
      <c r="M90" s="2">
        <f>VLOOKUP($A90&amp;M$1,Plan2!$A:$V,22,FALSE)</f>
        <v>33.992601480126901</v>
      </c>
      <c r="N90" s="2">
        <f>VLOOKUP($A90&amp;N$1,Plan2!$A:$V,22,FALSE)</f>
        <v>36.526508785736702</v>
      </c>
      <c r="O90" s="2">
        <f>VLOOKUP($A90&amp;O$1,Plan2!$A:$V,22,FALSE)</f>
        <v>36.575055985253996</v>
      </c>
      <c r="P90" s="2">
        <f>VLOOKUP($A90&amp;P$1,Plan2!$A:$V,22,FALSE)</f>
        <v>33.415636531972403</v>
      </c>
      <c r="Q90" s="2">
        <f>VLOOKUP($A90&amp;Q$1,Plan2!$A:$V,22,FALSE)</f>
        <v>33.413633145963402</v>
      </c>
      <c r="R90" s="13" t="str">
        <f>VLOOKUP(A90,ratings!A:E,3,FALSE)</f>
        <v>BBB-</v>
      </c>
      <c r="S90" s="13" t="str">
        <f>VLOOKUP(A90,ratings!A:E,4,FALSE)</f>
        <v>Baa3</v>
      </c>
    </row>
    <row r="91" spans="1:19" x14ac:dyDescent="0.25">
      <c r="A91" t="s">
        <v>126</v>
      </c>
      <c r="B91" s="2">
        <f>VLOOKUP($A91&amp;B$1,Plan2!$A:$V,22,FALSE)</f>
        <v>44.396265855900602</v>
      </c>
      <c r="C91" s="2">
        <f>VLOOKUP($A91&amp;C$1,Plan2!$A:$V,22,FALSE)</f>
        <v>49.907878879347997</v>
      </c>
      <c r="D91" s="2">
        <f>VLOOKUP($A91&amp;D$1,Plan2!$A:$V,22,FALSE)</f>
        <v>46.575062682770501</v>
      </c>
      <c r="E91" s="2">
        <f>VLOOKUP($A91&amp;E$1,Plan2!$A:$V,22,FALSE)</f>
        <v>46.119903911241899</v>
      </c>
      <c r="F91" s="2">
        <f>VLOOKUP($A91&amp;F$1,Plan2!$A:$V,22,FALSE)</f>
        <v>43.299639986919999</v>
      </c>
      <c r="G91" s="2">
        <f>VLOOKUP($A91&amp;G$1,Plan2!$A:$V,22,FALSE)</f>
        <v>31.526273436357702</v>
      </c>
      <c r="H91" s="2">
        <f>VLOOKUP($A91&amp;H$1,Plan2!$A:$V,22,FALSE)</f>
        <v>32.513035271668102</v>
      </c>
      <c r="I91" s="2">
        <f>VLOOKUP($A91&amp;I$1,Plan2!$A:$V,22,FALSE)</f>
        <v>34.952853363715597</v>
      </c>
      <c r="J91" s="2">
        <f>VLOOKUP($A91&amp;J$1,Plan2!$A:$V,22,FALSE)</f>
        <v>40.907401788019598</v>
      </c>
      <c r="K91" s="2">
        <f>VLOOKUP($A91&amp;K$1,Plan2!$A:$V,22,FALSE)</f>
        <v>37.310369742668001</v>
      </c>
      <c r="L91" s="2">
        <f>VLOOKUP($A91&amp;L$1,Plan2!$A:$V,22,FALSE)</f>
        <v>28.829990197106</v>
      </c>
      <c r="M91" s="2">
        <f>VLOOKUP($A91&amp;M$1,Plan2!$A:$V,22,FALSE)</f>
        <v>32.188641762323101</v>
      </c>
      <c r="N91" s="2">
        <f>VLOOKUP($A91&amp;N$1,Plan2!$A:$V,22,FALSE)</f>
        <v>39.211642755791097</v>
      </c>
      <c r="O91" s="2">
        <f>VLOOKUP($A91&amp;O$1,Plan2!$A:$V,22,FALSE)</f>
        <v>37.118834952802501</v>
      </c>
      <c r="P91" s="2">
        <f>VLOOKUP($A91&amp;P$1,Plan2!$A:$V,22,FALSE)</f>
        <v>35.909827260729102</v>
      </c>
      <c r="Q91" s="2">
        <f>VLOOKUP($A91&amp;Q$1,Plan2!$A:$V,22,FALSE)</f>
        <v>36.115485523455398</v>
      </c>
      <c r="R91" s="13" t="str">
        <f>VLOOKUP(A91,ratings!A:E,3,FALSE)</f>
        <v>BBB-</v>
      </c>
      <c r="S91" s="13" t="str">
        <f>VLOOKUP(A91,ratings!A:E,4,FALSE)</f>
        <v>Baa1</v>
      </c>
    </row>
    <row r="92" spans="1:19" x14ac:dyDescent="0.25">
      <c r="A92" t="s">
        <v>88</v>
      </c>
      <c r="B92" s="2">
        <f>VLOOKUP($A92&amp;B$1,Plan2!$A:$V,22,FALSE)</f>
        <v>17.974737321870698</v>
      </c>
      <c r="C92" s="2">
        <f>VLOOKUP($A92&amp;C$1,Plan2!$A:$V,22,FALSE)</f>
        <v>22.408887567036199</v>
      </c>
      <c r="D92" s="2">
        <f>VLOOKUP($A92&amp;D$1,Plan2!$A:$V,22,FALSE)</f>
        <v>32.866463277502604</v>
      </c>
      <c r="E92" s="2">
        <f>VLOOKUP($A92&amp;E$1,Plan2!$A:$V,22,FALSE)</f>
        <v>30.790004655702699</v>
      </c>
      <c r="F92" s="2">
        <f>VLOOKUP($A92&amp;F$1,Plan2!$A:$V,22,FALSE)</f>
        <v>30.823265159427301</v>
      </c>
      <c r="G92" s="2">
        <f>VLOOKUP($A92&amp;G$1,Plan2!$A:$V,22,FALSE)</f>
        <v>26.9622283453939</v>
      </c>
      <c r="H92" s="2">
        <f>VLOOKUP($A92&amp;H$1,Plan2!$A:$V,22,FALSE)</f>
        <v>23.8217556414595</v>
      </c>
      <c r="I92" s="2">
        <f>VLOOKUP($A92&amp;I$1,Plan2!$A:$V,22,FALSE)</f>
        <v>25.5987324117051</v>
      </c>
      <c r="J92" s="2">
        <f>VLOOKUP($A92&amp;J$1,Plan2!$A:$V,22,FALSE)</f>
        <v>21.382103409838301</v>
      </c>
      <c r="K92" s="2">
        <f>VLOOKUP($A92&amp;K$1,Plan2!$A:$V,22,FALSE)</f>
        <v>23.156082664633701</v>
      </c>
      <c r="L92" s="2">
        <f>VLOOKUP($A92&amp;L$1,Plan2!$A:$V,22,FALSE)</f>
        <v>22.084538501647199</v>
      </c>
      <c r="M92" s="2">
        <f>VLOOKUP($A92&amp;M$1,Plan2!$A:$V,22,FALSE)</f>
        <v>21.433087216593201</v>
      </c>
      <c r="N92" s="2">
        <f>VLOOKUP($A92&amp;N$1,Plan2!$A:$V,22,FALSE)</f>
        <v>18.396978097214099</v>
      </c>
      <c r="O92" s="2">
        <f>VLOOKUP($A92&amp;O$1,Plan2!$A:$V,22,FALSE)</f>
        <v>25.056627721985301</v>
      </c>
      <c r="P92" s="2">
        <f>VLOOKUP($A92&amp;P$1,Plan2!$A:$V,22,FALSE)</f>
        <v>25.830699609139899</v>
      </c>
      <c r="Q92" s="2">
        <f>VLOOKUP($A92&amp;Q$1,Plan2!$A:$V,22,FALSE)</f>
        <v>19.629468234799798</v>
      </c>
      <c r="R92" s="13">
        <f>VLOOKUP(A92,ratings!A:E,3,FALSE)</f>
        <v>0</v>
      </c>
      <c r="S92" s="13" t="str">
        <f>VLOOKUP(A92,ratings!A:E,4,FALSE)</f>
        <v>B2</v>
      </c>
    </row>
    <row r="93" spans="1:19" x14ac:dyDescent="0.25">
      <c r="A93" t="s">
        <v>124</v>
      </c>
      <c r="B93" s="2">
        <f>VLOOKUP($A93&amp;B$1,Plan2!$A:$V,22,FALSE)</f>
        <v>33.6572783020437</v>
      </c>
      <c r="C93" s="2">
        <f>VLOOKUP($A93&amp;C$1,Plan2!$A:$V,22,FALSE)</f>
        <v>31.550535423440699</v>
      </c>
      <c r="D93" s="2">
        <f>VLOOKUP($A93&amp;D$1,Plan2!$A:$V,22,FALSE)</f>
        <v>28.833960463058201</v>
      </c>
      <c r="E93" s="2">
        <f>VLOOKUP($A93&amp;E$1,Plan2!$A:$V,22,FALSE)</f>
        <v>24.607209103887602</v>
      </c>
      <c r="F93" s="2">
        <f>VLOOKUP($A93&amp;F$1,Plan2!$A:$V,22,FALSE)</f>
        <v>28.184467216154701</v>
      </c>
      <c r="G93" s="2">
        <f>VLOOKUP($A93&amp;G$1,Plan2!$A:$V,22,FALSE)</f>
        <v>27.633838757286</v>
      </c>
      <c r="H93" s="2">
        <f>VLOOKUP($A93&amp;H$1,Plan2!$A:$V,22,FALSE)</f>
        <v>28.9853688482035</v>
      </c>
      <c r="I93" s="2">
        <f>VLOOKUP($A93&amp;I$1,Plan2!$A:$V,22,FALSE)</f>
        <v>27.466108030970201</v>
      </c>
      <c r="J93" s="2">
        <f>VLOOKUP($A93&amp;J$1,Plan2!$A:$V,22,FALSE)</f>
        <v>27.4895922024726</v>
      </c>
      <c r="K93" s="2">
        <f>VLOOKUP($A93&amp;K$1,Plan2!$A:$V,22,FALSE)</f>
        <v>28.307539889684701</v>
      </c>
      <c r="L93" s="2">
        <f>VLOOKUP($A93&amp;L$1,Plan2!$A:$V,22,FALSE)</f>
        <v>22.9663411565571</v>
      </c>
      <c r="M93" s="2">
        <f>VLOOKUP($A93&amp;M$1,Plan2!$A:$V,22,FALSE)</f>
        <v>25.001145486712499</v>
      </c>
      <c r="N93" s="2">
        <f>VLOOKUP($A93&amp;N$1,Plan2!$A:$V,22,FALSE)</f>
        <v>27.931047930727399</v>
      </c>
      <c r="O93" s="2">
        <f>VLOOKUP($A93&amp;O$1,Plan2!$A:$V,22,FALSE)</f>
        <v>27.5843040041302</v>
      </c>
      <c r="P93" s="2">
        <f>VLOOKUP($A93&amp;P$1,Plan2!$A:$V,22,FALSE)</f>
        <v>26.520600310641601</v>
      </c>
      <c r="Q93" s="2">
        <f>VLOOKUP($A93&amp;Q$1,Plan2!$A:$V,22,FALSE)</f>
        <v>25.763043760970099</v>
      </c>
      <c r="R93" s="13" t="str">
        <f>VLOOKUP(A93,ratings!A:E,3,FALSE)</f>
        <v>BB-</v>
      </c>
      <c r="S93" s="13" t="str">
        <f>VLOOKUP(A93,ratings!A:E,4,FALSE)</f>
        <v>Ba3</v>
      </c>
    </row>
    <row r="94" spans="1:19" x14ac:dyDescent="0.25">
      <c r="A94" t="s">
        <v>114</v>
      </c>
      <c r="B94" s="2">
        <f>VLOOKUP($A94&amp;B$1,Plan2!$A:$V,22,FALSE)</f>
        <v>22.7747391814741</v>
      </c>
      <c r="C94" s="2">
        <f>VLOOKUP($A94&amp;C$1,Plan2!$A:$V,22,FALSE)</f>
        <v>21.753515200453499</v>
      </c>
      <c r="D94" s="2">
        <f>VLOOKUP($A94&amp;D$1,Plan2!$A:$V,22,FALSE)</f>
        <v>23.303708026827199</v>
      </c>
      <c r="E94" s="2">
        <f>VLOOKUP($A94&amp;E$1,Plan2!$A:$V,22,FALSE)</f>
        <v>24.974223045898299</v>
      </c>
      <c r="F94" s="2">
        <f>VLOOKUP($A94&amp;F$1,Plan2!$A:$V,22,FALSE)</f>
        <v>24.541254390188101</v>
      </c>
      <c r="G94" s="2">
        <f>VLOOKUP($A94&amp;G$1,Plan2!$A:$V,22,FALSE)</f>
        <v>25.002108441222799</v>
      </c>
      <c r="H94" s="2">
        <f>VLOOKUP($A94&amp;H$1,Plan2!$A:$V,22,FALSE)</f>
        <v>25.770022854361098</v>
      </c>
      <c r="I94" s="2">
        <f>VLOOKUP($A94&amp;I$1,Plan2!$A:$V,22,FALSE)</f>
        <v>26.206792164658498</v>
      </c>
      <c r="J94" s="2">
        <f>VLOOKUP($A94&amp;J$1,Plan2!$A:$V,22,FALSE)</f>
        <v>25.841892683889501</v>
      </c>
      <c r="K94" s="2">
        <f>VLOOKUP($A94&amp;K$1,Plan2!$A:$V,22,FALSE)</f>
        <v>24.700818992870499</v>
      </c>
      <c r="L94" s="2">
        <f>VLOOKUP($A94&amp;L$1,Plan2!$A:$V,22,FALSE)</f>
        <v>18.197885035964301</v>
      </c>
      <c r="M94" s="2">
        <f>VLOOKUP($A94&amp;M$1,Plan2!$A:$V,22,FALSE)</f>
        <v>24.459743947327102</v>
      </c>
      <c r="N94" s="2">
        <f>VLOOKUP($A94&amp;N$1,Plan2!$A:$V,22,FALSE)</f>
        <v>23.380987156429899</v>
      </c>
      <c r="O94" s="2">
        <f>VLOOKUP($A94&amp;O$1,Plan2!$A:$V,22,FALSE)</f>
        <v>26.307587653576501</v>
      </c>
      <c r="P94" s="2">
        <f>VLOOKUP($A94&amp;P$1,Plan2!$A:$V,22,FALSE)</f>
        <v>26.295524038875399</v>
      </c>
      <c r="Q94" s="2">
        <f>VLOOKUP($A94&amp;Q$1,Plan2!$A:$V,22,FALSE)</f>
        <v>25.644488852225301</v>
      </c>
      <c r="R94" s="13" t="str">
        <f>VLOOKUP(A94,ratings!A:E,3,FALSE)</f>
        <v>BBB</v>
      </c>
      <c r="S94" s="13" t="str">
        <f>VLOOKUP(A94,ratings!A:E,4,FALSE)</f>
        <v>Baa3</v>
      </c>
    </row>
    <row r="95" spans="1:19" x14ac:dyDescent="0.25">
      <c r="A95" t="s">
        <v>134</v>
      </c>
      <c r="B95" s="2">
        <f>VLOOKUP($A95&amp;B$1,Plan2!$A:$V,22,FALSE)</f>
        <v>25.807849617193199</v>
      </c>
      <c r="C95" s="2">
        <f>VLOOKUP($A95&amp;C$1,Plan2!$A:$V,22,FALSE)</f>
        <v>27.7485898140458</v>
      </c>
      <c r="D95" s="2">
        <f>VLOOKUP($A95&amp;D$1,Plan2!$A:$V,22,FALSE)</f>
        <v>24.177587065947801</v>
      </c>
      <c r="E95" s="2">
        <f>VLOOKUP($A95&amp;E$1,Plan2!$A:$V,22,FALSE)</f>
        <v>23.678434637162599</v>
      </c>
      <c r="F95" s="2">
        <f>VLOOKUP($A95&amp;F$1,Plan2!$A:$V,22,FALSE)</f>
        <v>25.247378788852298</v>
      </c>
      <c r="G95" s="2">
        <f>VLOOKUP($A95&amp;G$1,Plan2!$A:$V,22,FALSE)</f>
        <v>22.195336395050401</v>
      </c>
      <c r="H95" s="2">
        <f>VLOOKUP($A95&amp;H$1,Plan2!$A:$V,22,FALSE)</f>
        <v>27.574135276408501</v>
      </c>
      <c r="I95" s="2">
        <f>VLOOKUP($A95&amp;I$1,Plan2!$A:$V,22,FALSE)</f>
        <v>25.823848650081999</v>
      </c>
      <c r="J95" s="2">
        <f>VLOOKUP($A95&amp;J$1,Plan2!$A:$V,22,FALSE)</f>
        <v>26.524835253849901</v>
      </c>
      <c r="K95" s="2">
        <f>VLOOKUP($A95&amp;K$1,Plan2!$A:$V,22,FALSE)</f>
        <v>27.230177160954799</v>
      </c>
      <c r="L95" s="2">
        <f>VLOOKUP($A95&amp;L$1,Plan2!$A:$V,22,FALSE)</f>
        <v>23.7718771065047</v>
      </c>
      <c r="M95" s="2">
        <f>VLOOKUP($A95&amp;M$1,Plan2!$A:$V,22,FALSE)</f>
        <v>27.867730797729202</v>
      </c>
      <c r="N95" s="2">
        <f>VLOOKUP($A95&amp;N$1,Plan2!$A:$V,22,FALSE)</f>
        <v>27.708503322957601</v>
      </c>
      <c r="O95" s="2">
        <f>VLOOKUP($A95&amp;O$1,Plan2!$A:$V,22,FALSE)</f>
        <v>28.750132104265901</v>
      </c>
      <c r="P95" s="2">
        <f>VLOOKUP($A95&amp;P$1,Plan2!$A:$V,22,FALSE)</f>
        <v>31.743964382359799</v>
      </c>
      <c r="Q95" s="2">
        <f>VLOOKUP($A95&amp;Q$1,Plan2!$A:$V,22,FALSE)</f>
        <v>31.553541815560799</v>
      </c>
      <c r="R95" s="13" t="str">
        <f>VLOOKUP(A95,ratings!A:E,3,FALSE)</f>
        <v>CCC+</v>
      </c>
      <c r="S95" s="13" t="str">
        <f>VLOOKUP(A95,ratings!A:E,4,FALSE)</f>
        <v>Caa2</v>
      </c>
    </row>
    <row r="96" spans="1:19" x14ac:dyDescent="0.25">
      <c r="A96" t="s">
        <v>106</v>
      </c>
      <c r="B96" s="2">
        <f>VLOOKUP($A96&amp;B$1,Plan2!$A:$V,22,FALSE)</f>
        <v>34.648081980254297</v>
      </c>
      <c r="C96" s="2">
        <f>VLOOKUP($A96&amp;C$1,Plan2!$A:$V,22,FALSE)</f>
        <v>35.4734116002031</v>
      </c>
      <c r="D96" s="2">
        <f>VLOOKUP($A96&amp;D$1,Plan2!$A:$V,22,FALSE)</f>
        <v>36.076071838897697</v>
      </c>
      <c r="E96" s="2">
        <f>VLOOKUP($A96&amp;E$1,Plan2!$A:$V,22,FALSE)</f>
        <v>36.224085265756997</v>
      </c>
      <c r="F96" s="2">
        <f>VLOOKUP($A96&amp;F$1,Plan2!$A:$V,22,FALSE)</f>
        <v>37.330456494872102</v>
      </c>
      <c r="G96" s="2">
        <f>VLOOKUP($A96&amp;G$1,Plan2!$A:$V,22,FALSE)</f>
        <v>38.004820307187302</v>
      </c>
      <c r="H96" s="2">
        <f>VLOOKUP($A96&amp;H$1,Plan2!$A:$V,22,FALSE)</f>
        <v>38.795995747186502</v>
      </c>
      <c r="I96" s="2">
        <f>VLOOKUP($A96&amp;I$1,Plan2!$A:$V,22,FALSE)</f>
        <v>39.1578234359636</v>
      </c>
      <c r="J96" s="2">
        <f>VLOOKUP($A96&amp;J$1,Plan2!$A:$V,22,FALSE)</f>
        <v>38.934666968521398</v>
      </c>
      <c r="K96" s="2">
        <f>VLOOKUP($A96&amp;K$1,Plan2!$A:$V,22,FALSE)</f>
        <v>39.399818179061903</v>
      </c>
      <c r="L96" s="2">
        <f>VLOOKUP($A96&amp;L$1,Plan2!$A:$V,22,FALSE)</f>
        <v>36.639189864555298</v>
      </c>
      <c r="M96" s="2">
        <f>VLOOKUP($A96&amp;M$1,Plan2!$A:$V,22,FALSE)</f>
        <v>41.727076758577901</v>
      </c>
      <c r="N96" s="2">
        <f>VLOOKUP($A96&amp;N$1,Plan2!$A:$V,22,FALSE)</f>
        <v>40.322576386337303</v>
      </c>
      <c r="O96" s="2">
        <f>VLOOKUP($A96&amp;O$1,Plan2!$A:$V,22,FALSE)</f>
        <v>41.338505975043702</v>
      </c>
      <c r="P96" s="2">
        <f>VLOOKUP($A96&amp;P$1,Plan2!$A:$V,22,FALSE)</f>
        <v>41.772876468342901</v>
      </c>
      <c r="Q96" s="2">
        <f>VLOOKUP($A96&amp;Q$1,Plan2!$A:$V,22,FALSE)</f>
        <v>38.402862678346096</v>
      </c>
      <c r="R96" s="13" t="str">
        <f>VLOOKUP(A96,ratings!A:E,3,FALSE)</f>
        <v>BB+</v>
      </c>
      <c r="S96" s="13" t="str">
        <f>VLOOKUP(A96,ratings!A:E,4,FALSE)</f>
        <v>Ba1</v>
      </c>
    </row>
    <row r="97" spans="1:19" x14ac:dyDescent="0.25">
      <c r="A97" t="s">
        <v>96</v>
      </c>
      <c r="B97" s="2">
        <f>VLOOKUP($A97&amp;B$1,Plan2!$A:$V,22,FALSE)</f>
        <v>36.029956829449098</v>
      </c>
      <c r="C97" s="2">
        <f>VLOOKUP($A97&amp;C$1,Plan2!$A:$V,22,FALSE)</f>
        <v>36.9205721318923</v>
      </c>
      <c r="D97" s="2">
        <f>VLOOKUP($A97&amp;D$1,Plan2!$A:$V,22,FALSE)</f>
        <v>43.511937736709001</v>
      </c>
      <c r="E97" s="2">
        <f>VLOOKUP($A97&amp;E$1,Plan2!$A:$V,22,FALSE)</f>
        <v>34.2564215982568</v>
      </c>
      <c r="F97" s="2">
        <f>VLOOKUP($A97&amp;F$1,Plan2!$A:$V,22,FALSE)</f>
        <v>38.248470062286998</v>
      </c>
      <c r="G97" s="2">
        <f>VLOOKUP($A97&amp;G$1,Plan2!$A:$V,22,FALSE)</f>
        <v>30.771623810003401</v>
      </c>
      <c r="H97" s="2">
        <f>VLOOKUP($A97&amp;H$1,Plan2!$A:$V,22,FALSE)</f>
        <v>26.3353611812908</v>
      </c>
      <c r="I97" s="2">
        <f>VLOOKUP($A97&amp;I$1,Plan2!$A:$V,22,FALSE)</f>
        <v>30.110095267450301</v>
      </c>
      <c r="J97" s="2">
        <f>VLOOKUP($A97&amp;J$1,Plan2!$A:$V,22,FALSE)</f>
        <v>31.731684280895301</v>
      </c>
      <c r="K97" s="2">
        <f>VLOOKUP($A97&amp;K$1,Plan2!$A:$V,22,FALSE)</f>
        <v>34.327846402842603</v>
      </c>
      <c r="L97" s="2">
        <f>VLOOKUP($A97&amp;L$1,Plan2!$A:$V,22,FALSE)</f>
        <v>27.829601425966899</v>
      </c>
      <c r="M97" s="2">
        <f>VLOOKUP($A97&amp;M$1,Plan2!$A:$V,22,FALSE)</f>
        <v>30.218991459557</v>
      </c>
      <c r="N97" s="2">
        <f>VLOOKUP($A97&amp;N$1,Plan2!$A:$V,22,FALSE)</f>
        <v>34.120871881359299</v>
      </c>
      <c r="O97" s="2">
        <f>VLOOKUP($A97&amp;O$1,Plan2!$A:$V,22,FALSE)</f>
        <v>35.253018957026001</v>
      </c>
      <c r="P97" s="2">
        <f>VLOOKUP($A97&amp;P$1,Plan2!$A:$V,22,FALSE)</f>
        <v>31.2225882768739</v>
      </c>
      <c r="Q97" s="2">
        <f>VLOOKUP($A97&amp;Q$1,Plan2!$A:$V,22,FALSE)</f>
        <v>25.151113260062701</v>
      </c>
      <c r="R97" s="13" t="str">
        <f>VLOOKUP(A97,ratings!A:E,3,FALSE)</f>
        <v>N/A</v>
      </c>
      <c r="S97" s="13" t="str">
        <f>VLOOKUP(A97,ratings!A:E,4,FALSE)</f>
        <v>Caa2</v>
      </c>
    </row>
    <row r="98" spans="1:19" x14ac:dyDescent="0.25">
      <c r="A98" t="s">
        <v>82</v>
      </c>
      <c r="B98" s="2">
        <f>VLOOKUP($A98&amp;B$1,Plan2!$A:$V,22,FALSE)</f>
        <v>28.122495570757501</v>
      </c>
      <c r="C98" s="2">
        <f>VLOOKUP($A98&amp;C$1,Plan2!$A:$V,22,FALSE)</f>
        <v>23.1832397916852</v>
      </c>
      <c r="D98" s="2">
        <f>VLOOKUP($A98&amp;D$1,Plan2!$A:$V,22,FALSE)</f>
        <v>21.915207633497399</v>
      </c>
      <c r="E98" s="2">
        <f>VLOOKUP($A98&amp;E$1,Plan2!$A:$V,22,FALSE)</f>
        <v>20.142288799915601</v>
      </c>
      <c r="F98" s="2">
        <f>VLOOKUP($A98&amp;F$1,Plan2!$A:$V,22,FALSE)</f>
        <v>20.7596065258411</v>
      </c>
      <c r="G98" s="2">
        <f>VLOOKUP($A98&amp;G$1,Plan2!$A:$V,22,FALSE)</f>
        <v>23.694256896173201</v>
      </c>
      <c r="H98" s="2">
        <f>VLOOKUP($A98&amp;H$1,Plan2!$A:$V,22,FALSE)</f>
        <v>22.142033251725699</v>
      </c>
      <c r="I98" s="2">
        <f>VLOOKUP($A98&amp;I$1,Plan2!$A:$V,22,FALSE)</f>
        <v>24.191952682846399</v>
      </c>
      <c r="J98" s="2">
        <f>VLOOKUP($A98&amp;J$1,Plan2!$A:$V,22,FALSE)</f>
        <v>27.106143798300302</v>
      </c>
      <c r="K98" s="2">
        <f>VLOOKUP($A98&amp;K$1,Plan2!$A:$V,22,FALSE)</f>
        <v>29.521543428331501</v>
      </c>
      <c r="L98" s="2">
        <f>VLOOKUP($A98&amp;L$1,Plan2!$A:$V,22,FALSE)</f>
        <v>28.823187468984901</v>
      </c>
      <c r="M98" s="2">
        <f>VLOOKUP($A98&amp;M$1,Plan2!$A:$V,22,FALSE)</f>
        <v>28.760249044199501</v>
      </c>
      <c r="N98" s="2">
        <f>VLOOKUP($A98&amp;N$1,Plan2!$A:$V,22,FALSE)</f>
        <v>31.133200033072701</v>
      </c>
      <c r="O98" s="2">
        <f>VLOOKUP($A98&amp;O$1,Plan2!$A:$V,22,FALSE)</f>
        <v>31.0269083148522</v>
      </c>
      <c r="P98" s="2">
        <f>VLOOKUP($A98&amp;P$1,Plan2!$A:$V,22,FALSE)</f>
        <v>29.778425246033201</v>
      </c>
      <c r="Q98" s="2">
        <f>VLOOKUP($A98&amp;Q$1,Plan2!$A:$V,22,FALSE)</f>
        <v>29.919235067855301</v>
      </c>
      <c r="R98" s="13" t="str">
        <f>VLOOKUP(A98,ratings!A:E,3,FALSE)</f>
        <v>B</v>
      </c>
      <c r="S98" s="13" t="str">
        <f>VLOOKUP(A98,ratings!A:E,4,FALSE)</f>
        <v>Caa1</v>
      </c>
    </row>
    <row r="99" spans="1:19" x14ac:dyDescent="0.25">
      <c r="A99" t="s">
        <v>220</v>
      </c>
      <c r="B99" s="2">
        <f>VLOOKUP($A99&amp;B$1,Plan2!$A:$V,22,FALSE)</f>
        <v>25.687585037754701</v>
      </c>
      <c r="C99" s="2">
        <f>VLOOKUP($A99&amp;C$1,Plan2!$A:$V,22,FALSE)</f>
        <v>28.357344742355199</v>
      </c>
      <c r="D99" s="2">
        <f>VLOOKUP($A99&amp;D$1,Plan2!$A:$V,22,FALSE)</f>
        <v>29.121071224484702</v>
      </c>
      <c r="E99" s="2">
        <f>VLOOKUP($A99&amp;E$1,Plan2!$A:$V,22,FALSE)</f>
        <v>27.559838831653298</v>
      </c>
      <c r="F99" s="2">
        <f>VLOOKUP($A99&amp;F$1,Plan2!$A:$V,22,FALSE)</f>
        <v>29.151062111706398</v>
      </c>
      <c r="G99" s="2">
        <f>VLOOKUP($A99&amp;G$1,Plan2!$A:$V,22,FALSE)</f>
        <v>26.778488087600198</v>
      </c>
      <c r="H99" s="2">
        <f>VLOOKUP($A99&amp;H$1,Plan2!$A:$V,22,FALSE)</f>
        <v>25.548971338154502</v>
      </c>
      <c r="I99" s="2">
        <f>VLOOKUP($A99&amp;I$1,Plan2!$A:$V,22,FALSE)</f>
        <v>25.561450540087801</v>
      </c>
      <c r="J99" s="2">
        <f>VLOOKUP($A99&amp;J$1,Plan2!$A:$V,22,FALSE)</f>
        <v>27.168787445613901</v>
      </c>
      <c r="K99" s="2">
        <f>VLOOKUP($A99&amp;K$1,Plan2!$A:$V,22,FALSE)</f>
        <v>28.589405405751801</v>
      </c>
      <c r="L99" s="2">
        <f>VLOOKUP($A99&amp;L$1,Plan2!$A:$V,22,FALSE)</f>
        <v>26.5637153486716</v>
      </c>
      <c r="M99" s="2">
        <f>VLOOKUP($A99&amp;M$1,Plan2!$A:$V,22,FALSE)</f>
        <v>31.8535624031494</v>
      </c>
      <c r="N99" s="2">
        <f>VLOOKUP($A99&amp;N$1,Plan2!$A:$V,22,FALSE)</f>
        <v>33.333509475682803</v>
      </c>
      <c r="O99" s="2">
        <f>VLOOKUP($A99&amp;O$1,Plan2!$A:$V,22,FALSE)</f>
        <v>31.470042400351002</v>
      </c>
      <c r="P99" s="2">
        <f>VLOOKUP($A99&amp;P$1,Plan2!$A:$V,22,FALSE)</f>
        <v>32.305875459928998</v>
      </c>
      <c r="Q99" s="2">
        <f>VLOOKUP($A99&amp;Q$1,Plan2!$A:$V,22,FALSE)</f>
        <v>29.7991655574852</v>
      </c>
      <c r="R99" s="13" t="str">
        <f>VLOOKUP(A99,ratings!A:E,3,FALSE)</f>
        <v>B</v>
      </c>
      <c r="S99" s="13" t="str">
        <f>VLOOKUP(A99,ratings!A:E,4,FALSE)</f>
        <v>B2</v>
      </c>
    </row>
    <row r="100" spans="1:19" x14ac:dyDescent="0.25">
      <c r="A100" t="s">
        <v>168</v>
      </c>
      <c r="B100" s="2">
        <f>VLOOKUP($A100&amp;B$1,Plan2!$A:$V,22,FALSE)</f>
        <v>26.444221264390301</v>
      </c>
      <c r="C100" s="2">
        <f>VLOOKUP($A100&amp;C$1,Plan2!$A:$V,22,FALSE)</f>
        <v>26.6609202329185</v>
      </c>
      <c r="D100" s="2">
        <f>VLOOKUP($A100&amp;D$1,Plan2!$A:$V,22,FALSE)</f>
        <v>30.228987898891202</v>
      </c>
      <c r="E100" s="2">
        <f>VLOOKUP($A100&amp;E$1,Plan2!$A:$V,22,FALSE)</f>
        <v>28.462280923163501</v>
      </c>
      <c r="F100" s="2">
        <f>VLOOKUP($A100&amp;F$1,Plan2!$A:$V,22,FALSE)</f>
        <v>27.2805912937682</v>
      </c>
      <c r="G100" s="2">
        <f>VLOOKUP($A100&amp;G$1,Plan2!$A:$V,22,FALSE)</f>
        <v>23.119765705090899</v>
      </c>
      <c r="H100" s="2">
        <f>VLOOKUP($A100&amp;H$1,Plan2!$A:$V,22,FALSE)</f>
        <v>18.7418842758625</v>
      </c>
      <c r="I100" s="2">
        <f>VLOOKUP($A100&amp;I$1,Plan2!$A:$V,22,FALSE)</f>
        <v>25.852269288327399</v>
      </c>
      <c r="J100" s="2">
        <f>VLOOKUP($A100&amp;J$1,Plan2!$A:$V,22,FALSE)</f>
        <v>26.044188356944201</v>
      </c>
      <c r="K100" s="2">
        <f>VLOOKUP($A100&amp;K$1,Plan2!$A:$V,22,FALSE)</f>
        <v>25.2990498259513</v>
      </c>
      <c r="L100" s="2">
        <f>VLOOKUP($A100&amp;L$1,Plan2!$A:$V,22,FALSE)</f>
        <v>22.6994894973115</v>
      </c>
      <c r="M100" s="2">
        <f>VLOOKUP($A100&amp;M$1,Plan2!$A:$V,22,FALSE)</f>
        <v>20.1211918047346</v>
      </c>
      <c r="N100" s="2">
        <f>VLOOKUP($A100&amp;N$1,Plan2!$A:$V,22,FALSE)</f>
        <v>23.217097492712501</v>
      </c>
      <c r="O100" s="2">
        <f>VLOOKUP($A100&amp;O$1,Plan2!$A:$V,22,FALSE)</f>
        <v>26.7840944792041</v>
      </c>
      <c r="P100" s="2">
        <f>VLOOKUP($A100&amp;P$1,Plan2!$A:$V,22,FALSE)</f>
        <v>25.207289774775798</v>
      </c>
      <c r="Q100" s="2">
        <f>VLOOKUP($A100&amp;Q$1,Plan2!$A:$V,22,FALSE)</f>
        <v>24.222881296817398</v>
      </c>
      <c r="R100" s="13">
        <f>VLOOKUP(A100,ratings!A:E,3,FALSE)</f>
        <v>0</v>
      </c>
      <c r="S100" s="13" t="str">
        <f>VLOOKUP(A100,ratings!A:E,4,FALSE)</f>
        <v>B1</v>
      </c>
    </row>
    <row r="101" spans="1:19" x14ac:dyDescent="0.25">
      <c r="A101" t="s">
        <v>40</v>
      </c>
      <c r="B101" s="2">
        <f>VLOOKUP($A101&amp;B$1,Plan2!$A:$V,22,FALSE)</f>
        <v>26.786984391924999</v>
      </c>
      <c r="C101" s="2">
        <f>VLOOKUP($A101&amp;C$1,Plan2!$A:$V,22,FALSE)</f>
        <v>26.357672227029301</v>
      </c>
      <c r="D101" s="2">
        <f>VLOOKUP($A101&amp;D$1,Plan2!$A:$V,22,FALSE)</f>
        <v>27.482485387445799</v>
      </c>
      <c r="E101" s="2">
        <f>VLOOKUP($A101&amp;E$1,Plan2!$A:$V,22,FALSE)</f>
        <v>27.249049901025</v>
      </c>
      <c r="F101" s="2">
        <f>VLOOKUP($A101&amp;F$1,Plan2!$A:$V,22,FALSE)</f>
        <v>27.375832305710599</v>
      </c>
      <c r="G101" s="2">
        <f>VLOOKUP($A101&amp;G$1,Plan2!$A:$V,22,FALSE)</f>
        <v>26.7546151716104</v>
      </c>
      <c r="H101" s="2">
        <f>VLOOKUP($A101&amp;H$1,Plan2!$A:$V,22,FALSE)</f>
        <v>26.578232906939899</v>
      </c>
      <c r="I101" s="2">
        <f>VLOOKUP($A101&amp;I$1,Plan2!$A:$V,22,FALSE)</f>
        <v>24.895004650929899</v>
      </c>
      <c r="J101" s="2">
        <f>VLOOKUP($A101&amp;J$1,Plan2!$A:$V,22,FALSE)</f>
        <v>24.983572847245501</v>
      </c>
      <c r="K101" s="2">
        <f>VLOOKUP($A101&amp;K$1,Plan2!$A:$V,22,FALSE)</f>
        <v>24.2313769481866</v>
      </c>
      <c r="L101" s="2">
        <f>VLOOKUP($A101&amp;L$1,Plan2!$A:$V,22,FALSE)</f>
        <v>23.956238837152299</v>
      </c>
      <c r="M101" s="2">
        <f>VLOOKUP($A101&amp;M$1,Plan2!$A:$V,22,FALSE)</f>
        <v>25.536998763796301</v>
      </c>
      <c r="N101" s="2">
        <f>VLOOKUP($A101&amp;N$1,Plan2!$A:$V,22,FALSE)</f>
        <v>24.450647939831299</v>
      </c>
      <c r="O101" s="2">
        <f>VLOOKUP($A101&amp;O$1,Plan2!$A:$V,22,FALSE)</f>
        <v>25.0567667294175</v>
      </c>
      <c r="P101" s="2">
        <f>VLOOKUP($A101&amp;P$1,Plan2!$A:$V,22,FALSE)</f>
        <v>25.005329659634398</v>
      </c>
      <c r="Q101" s="2">
        <f>VLOOKUP($A101&amp;Q$1,Plan2!$A:$V,22,FALSE)</f>
        <v>26.120051247038401</v>
      </c>
      <c r="R101" s="13" t="str">
        <f>VLOOKUP(A101,ratings!A:E,3,FALSE)</f>
        <v>B+</v>
      </c>
      <c r="S101" s="13" t="str">
        <f>VLOOKUP(A101,ratings!A:E,4,FALSE)</f>
        <v>B2</v>
      </c>
    </row>
    <row r="102" spans="1:19" x14ac:dyDescent="0.25">
      <c r="A102" t="s">
        <v>102</v>
      </c>
      <c r="B102" s="2">
        <f>VLOOKUP($A102&amp;B$1,Plan2!$A:$V,22,FALSE)</f>
        <v>27.728429571607599</v>
      </c>
      <c r="C102" s="2">
        <f>VLOOKUP($A102&amp;C$1,Plan2!$A:$V,22,FALSE)</f>
        <v>32.190921839226199</v>
      </c>
      <c r="D102" s="2">
        <f>VLOOKUP($A102&amp;D$1,Plan2!$A:$V,22,FALSE)</f>
        <v>29.3870268198378</v>
      </c>
      <c r="E102" s="2">
        <f>VLOOKUP($A102&amp;E$1,Plan2!$A:$V,22,FALSE)</f>
        <v>25.0380920287548</v>
      </c>
      <c r="F102" s="2">
        <f>VLOOKUP($A102&amp;F$1,Plan2!$A:$V,22,FALSE)</f>
        <v>24.084889976661401</v>
      </c>
      <c r="G102" s="2">
        <f>VLOOKUP($A102&amp;G$1,Plan2!$A:$V,22,FALSE)</f>
        <v>26.787905357068698</v>
      </c>
      <c r="H102" s="2">
        <f>VLOOKUP($A102&amp;H$1,Plan2!$A:$V,22,FALSE)</f>
        <v>25.246193780292899</v>
      </c>
      <c r="I102" s="2">
        <f>VLOOKUP($A102&amp;I$1,Plan2!$A:$V,22,FALSE)</f>
        <v>30.3408612504949</v>
      </c>
      <c r="J102" s="2">
        <f>VLOOKUP($A102&amp;J$1,Plan2!$A:$V,22,FALSE)</f>
        <v>27.845513974658299</v>
      </c>
      <c r="K102" s="2">
        <f>VLOOKUP($A102&amp;K$1,Plan2!$A:$V,22,FALSE)</f>
        <v>27.9124151420868</v>
      </c>
      <c r="L102" s="2">
        <f>VLOOKUP($A102&amp;L$1,Plan2!$A:$V,22,FALSE)</f>
        <v>18.191564537928699</v>
      </c>
      <c r="M102" s="2">
        <f>VLOOKUP($A102&amp;M$1,Plan2!$A:$V,22,FALSE)</f>
        <v>23.0108929852403</v>
      </c>
      <c r="N102" s="2">
        <f>VLOOKUP($A102&amp;N$1,Plan2!$A:$V,22,FALSE)</f>
        <v>23.884666090045599</v>
      </c>
      <c r="O102" s="2">
        <f>VLOOKUP($A102&amp;O$1,Plan2!$A:$V,22,FALSE)</f>
        <v>30.2910857664281</v>
      </c>
      <c r="P102" s="2">
        <f>VLOOKUP($A102&amp;P$1,Plan2!$A:$V,22,FALSE)</f>
        <v>30.287877432912801</v>
      </c>
      <c r="Q102" s="2">
        <f>VLOOKUP($A102&amp;Q$1,Plan2!$A:$V,22,FALSE)</f>
        <v>33.153925484577996</v>
      </c>
      <c r="R102" s="13" t="str">
        <f>VLOOKUP(A102,ratings!A:E,3,FALSE)</f>
        <v>B-</v>
      </c>
      <c r="S102" s="13" t="str">
        <f>VLOOKUP(A102,ratings!A:E,4,FALSE)</f>
        <v>Caa1</v>
      </c>
    </row>
    <row r="103" spans="1:19" x14ac:dyDescent="0.25">
      <c r="A103" t="s">
        <v>246</v>
      </c>
      <c r="B103" s="2">
        <f>VLOOKUP($A103&amp;B$1,Plan2!$A:$V,22,FALSE)</f>
        <v>22.5806963404372</v>
      </c>
      <c r="C103" s="2">
        <f>VLOOKUP($A103&amp;C$1,Plan2!$A:$V,22,FALSE)</f>
        <v>23.971389239877201</v>
      </c>
      <c r="D103" s="2">
        <f>VLOOKUP($A103&amp;D$1,Plan2!$A:$V,22,FALSE)</f>
        <v>25.366822699090601</v>
      </c>
      <c r="E103" s="2">
        <f>VLOOKUP($A103&amp;E$1,Plan2!$A:$V,22,FALSE)</f>
        <v>21.393581883778499</v>
      </c>
      <c r="F103" s="2">
        <f>VLOOKUP($A103&amp;F$1,Plan2!$A:$V,22,FALSE)</f>
        <v>23.0031157255819</v>
      </c>
      <c r="G103" s="2">
        <f>VLOOKUP($A103&amp;G$1,Plan2!$A:$V,22,FALSE)</f>
        <v>17.2557584636955</v>
      </c>
      <c r="H103" s="2">
        <f>VLOOKUP($A103&amp;H$1,Plan2!$A:$V,22,FALSE)</f>
        <v>20.9823962909378</v>
      </c>
      <c r="I103" s="2">
        <f>VLOOKUP($A103&amp;I$1,Plan2!$A:$V,22,FALSE)</f>
        <v>19.417261345467502</v>
      </c>
      <c r="J103" s="2">
        <f>VLOOKUP($A103&amp;J$1,Plan2!$A:$V,22,FALSE)</f>
        <v>19.043363868558</v>
      </c>
      <c r="K103" s="2">
        <f>VLOOKUP($A103&amp;K$1,Plan2!$A:$V,22,FALSE)</f>
        <v>16.097746127532702</v>
      </c>
      <c r="L103" s="2">
        <f>VLOOKUP($A103&amp;L$1,Plan2!$A:$V,22,FALSE)</f>
        <v>13.666064392083801</v>
      </c>
      <c r="M103" s="2">
        <f>VLOOKUP($A103&amp;M$1,Plan2!$A:$V,22,FALSE)</f>
        <v>23.4579908137549</v>
      </c>
      <c r="N103" s="2">
        <f>VLOOKUP($A103&amp;N$1,Plan2!$A:$V,22,FALSE)</f>
        <v>22.237490639861601</v>
      </c>
      <c r="O103" s="2">
        <f>VLOOKUP($A103&amp;O$1,Plan2!$A:$V,22,FALSE)</f>
        <v>20.5445094795122</v>
      </c>
      <c r="P103" s="2">
        <f>VLOOKUP($A103&amp;P$1,Plan2!$A:$V,22,FALSE)</f>
        <v>23.392579539476799</v>
      </c>
      <c r="Q103" s="2">
        <f>VLOOKUP($A103&amp;Q$1,Plan2!$A:$V,22,FALSE)</f>
        <v>22.938249871058598</v>
      </c>
      <c r="R103" s="13" t="str">
        <f>VLOOKUP(A103,ratings!A:E,3,FALSE)</f>
        <v>CCC+</v>
      </c>
      <c r="S103" s="13" t="str">
        <f>VLOOKUP(A103,ratings!A:E,4,FALSE)</f>
        <v>Caa2</v>
      </c>
    </row>
    <row r="104" spans="1:19" x14ac:dyDescent="0.25">
      <c r="A104" t="s">
        <v>128</v>
      </c>
      <c r="B104" s="2">
        <f>VLOOKUP($A104&amp;B$1,Plan2!$A:$V,22,FALSE)</f>
        <v>25.040582728820599</v>
      </c>
      <c r="C104" s="2">
        <f>VLOOKUP($A104&amp;C$1,Plan2!$A:$V,22,FALSE)</f>
        <v>24.392134516129399</v>
      </c>
      <c r="D104" s="2">
        <f>VLOOKUP($A104&amp;D$1,Plan2!$A:$V,22,FALSE)</f>
        <v>22.914662024608202</v>
      </c>
      <c r="E104" s="2">
        <f>VLOOKUP($A104&amp;E$1,Plan2!$A:$V,22,FALSE)</f>
        <v>26.569706828045199</v>
      </c>
      <c r="F104" s="2">
        <f>VLOOKUP($A104&amp;F$1,Plan2!$A:$V,22,FALSE)</f>
        <v>25.988668253382102</v>
      </c>
      <c r="G104" s="2">
        <f>VLOOKUP($A104&amp;G$1,Plan2!$A:$V,22,FALSE)</f>
        <v>25.8326269074234</v>
      </c>
      <c r="H104" s="2">
        <f>VLOOKUP($A104&amp;H$1,Plan2!$A:$V,22,FALSE)</f>
        <v>26.761536842708999</v>
      </c>
      <c r="I104" s="2">
        <f>VLOOKUP($A104&amp;I$1,Plan2!$A:$V,22,FALSE)</f>
        <v>26.879690052810599</v>
      </c>
      <c r="J104" s="2">
        <f>VLOOKUP($A104&amp;J$1,Plan2!$A:$V,22,FALSE)</f>
        <v>27.1574738018546</v>
      </c>
      <c r="K104" s="2">
        <f>VLOOKUP($A104&amp;K$1,Plan2!$A:$V,22,FALSE)</f>
        <v>25.919300722784701</v>
      </c>
      <c r="L104" s="2">
        <f>VLOOKUP($A104&amp;L$1,Plan2!$A:$V,22,FALSE)</f>
        <v>23.775790513119301</v>
      </c>
      <c r="M104" s="2">
        <f>VLOOKUP($A104&amp;M$1,Plan2!$A:$V,22,FALSE)</f>
        <v>26.845305588981301</v>
      </c>
      <c r="N104" s="2">
        <f>VLOOKUP($A104&amp;N$1,Plan2!$A:$V,22,FALSE)</f>
        <v>28.2233118457732</v>
      </c>
      <c r="O104" s="2">
        <f>VLOOKUP($A104&amp;O$1,Plan2!$A:$V,22,FALSE)</f>
        <v>29.8562985953454</v>
      </c>
      <c r="P104" s="2">
        <f>VLOOKUP($A104&amp;P$1,Plan2!$A:$V,22,FALSE)</f>
        <v>29.6718752954222</v>
      </c>
      <c r="Q104" s="2">
        <f>VLOOKUP($A104&amp;Q$1,Plan2!$A:$V,22,FALSE)</f>
        <v>25.963790841642599</v>
      </c>
      <c r="R104" s="13" t="str">
        <f>VLOOKUP(A104,ratings!A:E,3,FALSE)</f>
        <v>B</v>
      </c>
      <c r="S104" s="13" t="str">
        <f>VLOOKUP(A104,ratings!A:E,4,FALSE)</f>
        <v>B3</v>
      </c>
    </row>
    <row r="105" spans="1:19" x14ac:dyDescent="0.25">
      <c r="A105" t="s">
        <v>24</v>
      </c>
      <c r="B105" s="2">
        <f>VLOOKUP($A105&amp;B$1,Plan2!$A:$V,22,FALSE)</f>
        <v>31.690054847149401</v>
      </c>
      <c r="C105" s="2">
        <f>VLOOKUP($A105&amp;C$1,Plan2!$A:$V,22,FALSE)</f>
        <v>38.483524907636301</v>
      </c>
      <c r="D105" s="2">
        <f>VLOOKUP($A105&amp;D$1,Plan2!$A:$V,22,FALSE)</f>
        <v>34.061955294253202</v>
      </c>
      <c r="E105" s="2">
        <f>VLOOKUP($A105&amp;E$1,Plan2!$A:$V,22,FALSE)</f>
        <v>29.032695348983999</v>
      </c>
      <c r="F105" s="2">
        <f>VLOOKUP($A105&amp;F$1,Plan2!$A:$V,22,FALSE)</f>
        <v>21.311592453376299</v>
      </c>
      <c r="G105" s="2">
        <f>VLOOKUP($A105&amp;G$1,Plan2!$A:$V,22,FALSE)</f>
        <v>16.273744009083</v>
      </c>
      <c r="H105" s="2">
        <f>VLOOKUP($A105&amp;H$1,Plan2!$A:$V,22,FALSE)</f>
        <v>17.587074865326802</v>
      </c>
      <c r="I105" s="2">
        <f>VLOOKUP($A105&amp;I$1,Plan2!$A:$V,22,FALSE)</f>
        <v>16.703739162724901</v>
      </c>
      <c r="J105" s="2">
        <f>VLOOKUP($A105&amp;J$1,Plan2!$A:$V,22,FALSE)</f>
        <v>25.7279294362759</v>
      </c>
      <c r="K105" s="2">
        <f>VLOOKUP($A105&amp;K$1,Plan2!$A:$V,22,FALSE)</f>
        <v>23.4485138312461</v>
      </c>
      <c r="L105" s="2">
        <f>VLOOKUP($A105&amp;L$1,Plan2!$A:$V,22,FALSE)</f>
        <v>26.6933769822442</v>
      </c>
      <c r="M105" s="2">
        <f>VLOOKUP($A105&amp;M$1,Plan2!$A:$V,22,FALSE)</f>
        <v>29.517699581681502</v>
      </c>
      <c r="N105" s="2">
        <f>VLOOKUP($A105&amp;N$1,Plan2!$A:$V,22,FALSE)</f>
        <v>31.700418743653</v>
      </c>
      <c r="O105" s="2">
        <f>VLOOKUP($A105&amp;O$1,Plan2!$A:$V,22,FALSE)</f>
        <v>24.5314537756893</v>
      </c>
      <c r="P105" s="2">
        <f>VLOOKUP($A105&amp;P$1,Plan2!$A:$V,22,FALSE)</f>
        <v>26.973644225808499</v>
      </c>
      <c r="Q105" s="2">
        <f>VLOOKUP($A105&amp;Q$1,Plan2!$A:$V,22,FALSE)</f>
        <v>24.35574371957</v>
      </c>
      <c r="R105" s="13" t="str">
        <f>VLOOKUP(A105,ratings!A:E,3,FALSE)</f>
        <v>B-</v>
      </c>
      <c r="S105" s="13" t="str">
        <f>VLOOKUP(A105,ratings!A:E,4,FALSE)</f>
        <v>B3</v>
      </c>
    </row>
    <row r="106" spans="1:19" x14ac:dyDescent="0.25">
      <c r="A106" t="s">
        <v>198</v>
      </c>
      <c r="B106" s="2">
        <f>VLOOKUP($A106&amp;B$1,Plan2!$A:$V,22,FALSE)</f>
        <v>23.7670146405511</v>
      </c>
      <c r="C106" s="2">
        <f>VLOOKUP($A106&amp;C$1,Plan2!$A:$V,22,FALSE)</f>
        <v>24.1278545460641</v>
      </c>
      <c r="D106" s="2">
        <f>VLOOKUP($A106&amp;D$1,Plan2!$A:$V,22,FALSE)</f>
        <v>21.665148451716401</v>
      </c>
      <c r="E106" s="2">
        <f>VLOOKUP($A106&amp;E$1,Plan2!$A:$V,22,FALSE)</f>
        <v>22.063644116170298</v>
      </c>
      <c r="F106" s="2">
        <f>VLOOKUP($A106&amp;F$1,Plan2!$A:$V,22,FALSE)</f>
        <v>19.208822216982899</v>
      </c>
      <c r="G106" s="2">
        <f>VLOOKUP($A106&amp;G$1,Plan2!$A:$V,22,FALSE)</f>
        <v>20.225567633075499</v>
      </c>
      <c r="H106" s="2">
        <f>VLOOKUP($A106&amp;H$1,Plan2!$A:$V,22,FALSE)</f>
        <v>20.201387894165599</v>
      </c>
      <c r="I106" s="2">
        <f>VLOOKUP($A106&amp;I$1,Plan2!$A:$V,22,FALSE)</f>
        <v>21.014402586471601</v>
      </c>
      <c r="J106" s="2">
        <f>VLOOKUP($A106&amp;J$1,Plan2!$A:$V,22,FALSE)</f>
        <v>22.617067328784799</v>
      </c>
      <c r="K106" s="2">
        <f>VLOOKUP($A106&amp;K$1,Plan2!$A:$V,22,FALSE)</f>
        <v>20.340858050620501</v>
      </c>
      <c r="L106" s="2">
        <f>VLOOKUP($A106&amp;L$1,Plan2!$A:$V,22,FALSE)</f>
        <v>13.970780849766101</v>
      </c>
      <c r="M106" s="2">
        <f>VLOOKUP($A106&amp;M$1,Plan2!$A:$V,22,FALSE)</f>
        <v>17.705287887517201</v>
      </c>
      <c r="N106" s="2">
        <f>VLOOKUP($A106&amp;N$1,Plan2!$A:$V,22,FALSE)</f>
        <v>18.433696786884799</v>
      </c>
      <c r="O106" s="2">
        <f>VLOOKUP($A106&amp;O$1,Plan2!$A:$V,22,FALSE)</f>
        <v>20.282598333352102</v>
      </c>
      <c r="P106" s="2">
        <f>VLOOKUP($A106&amp;P$1,Plan2!$A:$V,22,FALSE)</f>
        <v>21.391703872159798</v>
      </c>
      <c r="Q106" s="2">
        <f>VLOOKUP($A106&amp;Q$1,Plan2!$A:$V,22,FALSE)</f>
        <v>19.325379160364399</v>
      </c>
      <c r="R106" s="13" t="str">
        <f>VLOOKUP(A106,ratings!A:E,3,FALSE)</f>
        <v>B+</v>
      </c>
      <c r="S106" s="13" t="str">
        <f>VLOOKUP(A106,ratings!A:E,4,FALSE)</f>
        <v>B2</v>
      </c>
    </row>
    <row r="107" spans="1:19" x14ac:dyDescent="0.25">
      <c r="A107" t="s">
        <v>90</v>
      </c>
      <c r="B107" s="2">
        <f>VLOOKUP($A107&amp;B$1,Plan2!$A:$V,22,FALSE)</f>
        <v>29.4697983098295</v>
      </c>
      <c r="C107" s="2">
        <f>VLOOKUP($A107&amp;C$1,Plan2!$A:$V,22,FALSE)</f>
        <v>23.673464503131299</v>
      </c>
      <c r="D107" s="2">
        <f>VLOOKUP($A107&amp;D$1,Plan2!$A:$V,22,FALSE)</f>
        <v>22.357655351962599</v>
      </c>
      <c r="E107" s="2">
        <f>VLOOKUP($A107&amp;E$1,Plan2!$A:$V,22,FALSE)</f>
        <v>22.4050615291296</v>
      </c>
      <c r="F107" s="2">
        <f>VLOOKUP($A107&amp;F$1,Plan2!$A:$V,22,FALSE)</f>
        <v>21.542007944130699</v>
      </c>
      <c r="G107" s="2">
        <f>VLOOKUP($A107&amp;G$1,Plan2!$A:$V,22,FALSE)</f>
        <v>21.254455748878598</v>
      </c>
      <c r="H107" s="2">
        <f>VLOOKUP($A107&amp;H$1,Plan2!$A:$V,22,FALSE)</f>
        <v>21.523013895615101</v>
      </c>
      <c r="I107" s="2">
        <f>VLOOKUP($A107&amp;I$1,Plan2!$A:$V,22,FALSE)</f>
        <v>19.959698906234099</v>
      </c>
      <c r="J107" s="2">
        <f>VLOOKUP($A107&amp;J$1,Plan2!$A:$V,22,FALSE)</f>
        <v>21.467302958203302</v>
      </c>
      <c r="K107" s="2">
        <f>VLOOKUP($A107&amp;K$1,Plan2!$A:$V,22,FALSE)</f>
        <v>21.107049916904799</v>
      </c>
      <c r="L107" s="2">
        <f>VLOOKUP($A107&amp;L$1,Plan2!$A:$V,22,FALSE)</f>
        <v>20.592734245365701</v>
      </c>
      <c r="M107" s="2">
        <f>VLOOKUP($A107&amp;M$1,Plan2!$A:$V,22,FALSE)</f>
        <v>20.453740776264599</v>
      </c>
      <c r="N107" s="2">
        <f>VLOOKUP($A107&amp;N$1,Plan2!$A:$V,22,FALSE)</f>
        <v>19.355854725062201</v>
      </c>
      <c r="O107" s="2">
        <f>VLOOKUP($A107&amp;O$1,Plan2!$A:$V,22,FALSE)</f>
        <v>21.5414213731001</v>
      </c>
      <c r="P107" s="2">
        <f>VLOOKUP($A107&amp;P$1,Plan2!$A:$V,22,FALSE)</f>
        <v>23.4144521673166</v>
      </c>
      <c r="Q107" s="2">
        <f>VLOOKUP($A107&amp;Q$1,Plan2!$A:$V,22,FALSE)</f>
        <v>22.856092953492599</v>
      </c>
      <c r="R107" s="13" t="str">
        <f>VLOOKUP(A107,ratings!A:E,3,FALSE)</f>
        <v>SD</v>
      </c>
      <c r="S107" s="13" t="str">
        <f>VLOOKUP(A107,ratings!A:E,4,FALSE)</f>
        <v>Caa3</v>
      </c>
    </row>
    <row r="108" spans="1:19" x14ac:dyDescent="0.25">
      <c r="A108" t="s">
        <v>222</v>
      </c>
      <c r="B108" s="2">
        <f>VLOOKUP($A108&amp;B$1,Plan2!$A:$V,22,FALSE)</f>
        <v>19.372985185787901</v>
      </c>
      <c r="C108" s="2">
        <f>VLOOKUP($A108&amp;C$1,Plan2!$A:$V,22,FALSE)</f>
        <v>19.609293044522499</v>
      </c>
      <c r="D108" s="2">
        <f>VLOOKUP($A108&amp;D$1,Plan2!$A:$V,22,FALSE)</f>
        <v>18.877922545838398</v>
      </c>
      <c r="E108" s="2">
        <f>VLOOKUP($A108&amp;E$1,Plan2!$A:$V,22,FALSE)</f>
        <v>19.207993996820601</v>
      </c>
      <c r="F108" s="2">
        <f>VLOOKUP($A108&amp;F$1,Plan2!$A:$V,22,FALSE)</f>
        <v>20.5995512868049</v>
      </c>
      <c r="G108" s="2">
        <f>VLOOKUP($A108&amp;G$1,Plan2!$A:$V,22,FALSE)</f>
        <v>21.103064898461199</v>
      </c>
      <c r="H108" s="2">
        <f>VLOOKUP($A108&amp;H$1,Plan2!$A:$V,22,FALSE)</f>
        <v>23.309319604745699</v>
      </c>
      <c r="I108" s="2">
        <f>VLOOKUP($A108&amp;I$1,Plan2!$A:$V,22,FALSE)</f>
        <v>25.182730275061399</v>
      </c>
      <c r="J108" s="2">
        <f>VLOOKUP($A108&amp;J$1,Plan2!$A:$V,22,FALSE)</f>
        <v>22.835016486020798</v>
      </c>
      <c r="K108" s="2">
        <f>VLOOKUP($A108&amp;K$1,Plan2!$A:$V,22,FALSE)</f>
        <v>22.762154163690301</v>
      </c>
      <c r="L108" s="2">
        <f>VLOOKUP($A108&amp;L$1,Plan2!$A:$V,22,FALSE)</f>
        <v>22.130134246141399</v>
      </c>
      <c r="M108" s="2">
        <f>VLOOKUP($A108&amp;M$1,Plan2!$A:$V,22,FALSE)</f>
        <v>21.631219949176199</v>
      </c>
      <c r="N108" s="2">
        <f>VLOOKUP($A108&amp;N$1,Plan2!$A:$V,22,FALSE)</f>
        <v>21.757107457607901</v>
      </c>
      <c r="O108" s="2">
        <f>VLOOKUP($A108&amp;O$1,Plan2!$A:$V,22,FALSE)</f>
        <v>22.1294127285245</v>
      </c>
      <c r="P108" s="2">
        <f>VLOOKUP($A108&amp;P$1,Plan2!$A:$V,22,FALSE)</f>
        <v>23.4854026929669</v>
      </c>
      <c r="Q108" s="2">
        <f>VLOOKUP($A108&amp;Q$1,Plan2!$A:$V,22,FALSE)</f>
        <v>21.292516133358699</v>
      </c>
      <c r="R108" s="13">
        <f>VLOOKUP(A108,ratings!A:E,3,FALSE)</f>
        <v>0</v>
      </c>
      <c r="S108" s="13" t="str">
        <f>VLOOKUP(A108,ratings!A:E,4,FALSE)</f>
        <v>B1</v>
      </c>
    </row>
    <row r="109" spans="1:19" x14ac:dyDescent="0.25">
      <c r="A109" t="s">
        <v>148</v>
      </c>
      <c r="B109" s="2">
        <f>VLOOKUP($A109&amp;B$1,Plan2!$A:$V,22,FALSE)</f>
        <v>18.569848567892102</v>
      </c>
      <c r="C109" s="2">
        <f>VLOOKUP($A109&amp;C$1,Plan2!$A:$V,22,FALSE)</f>
        <v>19.1093880724965</v>
      </c>
      <c r="D109" s="2">
        <f>VLOOKUP($A109&amp;D$1,Plan2!$A:$V,22,FALSE)</f>
        <v>20.092320959656298</v>
      </c>
      <c r="E109" s="2">
        <f>VLOOKUP($A109&amp;E$1,Plan2!$A:$V,22,FALSE)</f>
        <v>18.9057616297872</v>
      </c>
      <c r="F109" s="2">
        <f>VLOOKUP($A109&amp;F$1,Plan2!$A:$V,22,FALSE)</f>
        <v>21.7369807319938</v>
      </c>
      <c r="G109" s="2">
        <f>VLOOKUP($A109&amp;G$1,Plan2!$A:$V,22,FALSE)</f>
        <v>20.704402807229599</v>
      </c>
      <c r="H109" s="2">
        <f>VLOOKUP($A109&amp;H$1,Plan2!$A:$V,22,FALSE)</f>
        <v>23.385842344901299</v>
      </c>
      <c r="I109" s="2">
        <f>VLOOKUP($A109&amp;I$1,Plan2!$A:$V,22,FALSE)</f>
        <v>23.1857579538216</v>
      </c>
      <c r="J109" s="2">
        <f>VLOOKUP($A109&amp;J$1,Plan2!$A:$V,22,FALSE)</f>
        <v>23.325176488844399</v>
      </c>
      <c r="K109" s="2">
        <f>VLOOKUP($A109&amp;K$1,Plan2!$A:$V,22,FALSE)</f>
        <v>22.737631527940302</v>
      </c>
      <c r="L109" s="2">
        <f>VLOOKUP($A109&amp;L$1,Plan2!$A:$V,22,FALSE)</f>
        <v>16.853764278913602</v>
      </c>
      <c r="M109" s="2">
        <f>VLOOKUP($A109&amp;M$1,Plan2!$A:$V,22,FALSE)</f>
        <v>21.507921050841599</v>
      </c>
      <c r="N109" s="2">
        <f>VLOOKUP($A109&amp;N$1,Plan2!$A:$V,22,FALSE)</f>
        <v>18.875301110981901</v>
      </c>
      <c r="O109" s="2">
        <f>VLOOKUP($A109&amp;O$1,Plan2!$A:$V,22,FALSE)</f>
        <v>20.615378945949999</v>
      </c>
      <c r="P109" s="2">
        <f>VLOOKUP($A109&amp;P$1,Plan2!$A:$V,22,FALSE)</f>
        <v>22.124469711764</v>
      </c>
      <c r="Q109" s="2">
        <f>VLOOKUP($A109&amp;Q$1,Plan2!$A:$V,22,FALSE)</f>
        <v>20.947485404903201</v>
      </c>
      <c r="R109" s="13" t="str">
        <f>VLOOKUP(A109,ratings!A:E,3,FALSE)</f>
        <v>B-</v>
      </c>
      <c r="S109" s="13">
        <f>VLOOKUP(A109,ratings!A:E,4,FALSE)</f>
        <v>0</v>
      </c>
    </row>
    <row r="110" spans="1:19" x14ac:dyDescent="0.25">
      <c r="A110" t="s">
        <v>56</v>
      </c>
      <c r="B110" s="2">
        <f>VLOOKUP($A110&amp;B$1,Plan2!$A:$V,22,FALSE)</f>
        <v>25.2888599605959</v>
      </c>
      <c r="C110" s="2">
        <f>VLOOKUP($A110&amp;C$1,Plan2!$A:$V,22,FALSE)</f>
        <v>24.252596611833098</v>
      </c>
      <c r="D110" s="2">
        <f>VLOOKUP($A110&amp;D$1,Plan2!$A:$V,22,FALSE)</f>
        <v>25.271001712191801</v>
      </c>
      <c r="E110" s="2">
        <f>VLOOKUP($A110&amp;E$1,Plan2!$A:$V,22,FALSE)</f>
        <v>23.230572661302801</v>
      </c>
      <c r="F110" s="2">
        <f>VLOOKUP($A110&amp;F$1,Plan2!$A:$V,22,FALSE)</f>
        <v>23.299316439650202</v>
      </c>
      <c r="G110" s="2">
        <f>VLOOKUP($A110&amp;G$1,Plan2!$A:$V,22,FALSE)</f>
        <v>23.1818036795291</v>
      </c>
      <c r="H110" s="2">
        <f>VLOOKUP($A110&amp;H$1,Plan2!$A:$V,22,FALSE)</f>
        <v>19.764997726260699</v>
      </c>
      <c r="I110" s="2">
        <f>VLOOKUP($A110&amp;I$1,Plan2!$A:$V,22,FALSE)</f>
        <v>21.271631373185802</v>
      </c>
      <c r="J110" s="2">
        <f>VLOOKUP($A110&amp;J$1,Plan2!$A:$V,22,FALSE)</f>
        <v>22.585901748507101</v>
      </c>
      <c r="K110" s="2">
        <f>VLOOKUP($A110&amp;K$1,Plan2!$A:$V,22,FALSE)</f>
        <v>21.291943467998699</v>
      </c>
      <c r="L110" s="2">
        <f>VLOOKUP($A110&amp;L$1,Plan2!$A:$V,22,FALSE)</f>
        <v>20.0866972639807</v>
      </c>
      <c r="M110" s="2">
        <f>VLOOKUP($A110&amp;M$1,Plan2!$A:$V,22,FALSE)</f>
        <v>21.4482097542178</v>
      </c>
      <c r="N110" s="2">
        <f>VLOOKUP($A110&amp;N$1,Plan2!$A:$V,22,FALSE)</f>
        <v>24.0301918222079</v>
      </c>
      <c r="O110" s="2">
        <f>VLOOKUP($A110&amp;O$1,Plan2!$A:$V,22,FALSE)</f>
        <v>24.180939751342301</v>
      </c>
      <c r="P110" s="2">
        <f>VLOOKUP($A110&amp;P$1,Plan2!$A:$V,22,FALSE)</f>
        <v>23.8544714535366</v>
      </c>
      <c r="Q110" s="2">
        <f>VLOOKUP($A110&amp;Q$1,Plan2!$A:$V,22,FALSE)</f>
        <v>22.842674995648899</v>
      </c>
      <c r="R110" s="13" t="str">
        <f>VLOOKUP(A110,ratings!A:E,3,FALSE)</f>
        <v>B-</v>
      </c>
      <c r="S110" s="13" t="str">
        <f>VLOOKUP(A110,ratings!A:E,4,FALSE)</f>
        <v>Caa1</v>
      </c>
    </row>
    <row r="111" spans="1:19" x14ac:dyDescent="0.25">
      <c r="A111" t="s">
        <v>20</v>
      </c>
      <c r="B111" s="2">
        <f>VLOOKUP($A111&amp;B$1,Plan2!$A:$V,22,FALSE)</f>
        <v>30.0479669032526</v>
      </c>
      <c r="C111" s="2">
        <f>VLOOKUP($A111&amp;C$1,Plan2!$A:$V,22,FALSE)</f>
        <v>27.3919579685077</v>
      </c>
      <c r="D111" s="2">
        <f>VLOOKUP($A111&amp;D$1,Plan2!$A:$V,22,FALSE)</f>
        <v>27.9554647714452</v>
      </c>
      <c r="E111" s="2">
        <f>VLOOKUP($A111&amp;E$1,Plan2!$A:$V,22,FALSE)</f>
        <v>25.8255202981242</v>
      </c>
      <c r="F111" s="2">
        <f>VLOOKUP($A111&amp;F$1,Plan2!$A:$V,22,FALSE)</f>
        <v>25.056356974216001</v>
      </c>
      <c r="G111" s="2">
        <f>VLOOKUP($A111&amp;G$1,Plan2!$A:$V,22,FALSE)</f>
        <v>24.164860164209198</v>
      </c>
      <c r="H111" s="2">
        <f>VLOOKUP($A111&amp;H$1,Plan2!$A:$V,22,FALSE)</f>
        <v>27.390033052257301</v>
      </c>
      <c r="I111" s="2">
        <f>VLOOKUP($A111&amp;I$1,Plan2!$A:$V,22,FALSE)</f>
        <v>26.188960861954101</v>
      </c>
      <c r="J111" s="2">
        <f>VLOOKUP($A111&amp;J$1,Plan2!$A:$V,22,FALSE)</f>
        <v>28.0311138522165</v>
      </c>
      <c r="K111" s="2">
        <f>VLOOKUP($A111&amp;K$1,Plan2!$A:$V,22,FALSE)</f>
        <v>26.875240562733602</v>
      </c>
      <c r="L111" s="2">
        <f>VLOOKUP($A111&amp;L$1,Plan2!$A:$V,22,FALSE)</f>
        <v>25.178157201209299</v>
      </c>
      <c r="M111" s="2">
        <f>VLOOKUP($A111&amp;M$1,Plan2!$A:$V,22,FALSE)</f>
        <v>21.7593281345859</v>
      </c>
      <c r="N111" s="2">
        <f>VLOOKUP($A111&amp;N$1,Plan2!$A:$V,22,FALSE)</f>
        <v>23.152365954345701</v>
      </c>
      <c r="O111" s="2">
        <f>VLOOKUP($A111&amp;O$1,Plan2!$A:$V,22,FALSE)</f>
        <v>25.1849672906861</v>
      </c>
      <c r="P111" s="2">
        <f>VLOOKUP($A111&amp;P$1,Plan2!$A:$V,22,FALSE)</f>
        <v>26.272147509042501</v>
      </c>
      <c r="Q111" s="2">
        <f>VLOOKUP($A111&amp;Q$1,Plan2!$A:$V,22,FALSE)</f>
        <v>24.699680288857799</v>
      </c>
      <c r="R111" s="13" t="e">
        <f>VLOOKUP(A111,ratings!A:E,3,FALSE)</f>
        <v>#N/A</v>
      </c>
      <c r="S111" s="13" t="e">
        <f>VLOOKUP(A111,ratings!A:E,4,FALSE)</f>
        <v>#N/A</v>
      </c>
    </row>
    <row r="112" spans="1:19" x14ac:dyDescent="0.25">
      <c r="A112" t="s">
        <v>232</v>
      </c>
      <c r="B112" s="2">
        <f>VLOOKUP($A112&amp;B$1,Plan2!$A:$V,22,FALSE)</f>
        <v>17.332959249676001</v>
      </c>
      <c r="C112" s="2">
        <f>VLOOKUP($A112&amp;C$1,Plan2!$A:$V,22,FALSE)</f>
        <v>19.855576973178401</v>
      </c>
      <c r="D112" s="2">
        <f>VLOOKUP($A112&amp;D$1,Plan2!$A:$V,22,FALSE)</f>
        <v>19.287288723486899</v>
      </c>
      <c r="E112" s="2">
        <f>VLOOKUP($A112&amp;E$1,Plan2!$A:$V,22,FALSE)</f>
        <v>18.942614969314601</v>
      </c>
      <c r="F112" s="2">
        <f>VLOOKUP($A112&amp;F$1,Plan2!$A:$V,22,FALSE)</f>
        <v>20.816666502103399</v>
      </c>
      <c r="G112" s="2">
        <f>VLOOKUP($A112&amp;G$1,Plan2!$A:$V,22,FALSE)</f>
        <v>19.2011544347083</v>
      </c>
      <c r="H112" s="2">
        <f>VLOOKUP($A112&amp;H$1,Plan2!$A:$V,22,FALSE)</f>
        <v>20.2802280448802</v>
      </c>
      <c r="I112" s="2">
        <f>VLOOKUP($A112&amp;I$1,Plan2!$A:$V,22,FALSE)</f>
        <v>19.635604876698601</v>
      </c>
      <c r="J112" s="2">
        <f>VLOOKUP($A112&amp;J$1,Plan2!$A:$V,22,FALSE)</f>
        <v>20.6969006827097</v>
      </c>
      <c r="K112" s="2">
        <f>VLOOKUP($A112&amp;K$1,Plan2!$A:$V,22,FALSE)</f>
        <v>19.923371198777399</v>
      </c>
      <c r="L112" s="2">
        <f>VLOOKUP($A112&amp;L$1,Plan2!$A:$V,22,FALSE)</f>
        <v>16.391738256088502</v>
      </c>
      <c r="M112" s="2">
        <f>VLOOKUP($A112&amp;M$1,Plan2!$A:$V,22,FALSE)</f>
        <v>17.2766776280504</v>
      </c>
      <c r="N112" s="2">
        <f>VLOOKUP($A112&amp;N$1,Plan2!$A:$V,22,FALSE)</f>
        <v>19.6811947799184</v>
      </c>
      <c r="O112" s="2">
        <f>VLOOKUP($A112&amp;O$1,Plan2!$A:$V,22,FALSE)</f>
        <v>20.622960050381899</v>
      </c>
      <c r="P112" s="2">
        <f>VLOOKUP($A112&amp;P$1,Plan2!$A:$V,22,FALSE)</f>
        <v>22.311001345509901</v>
      </c>
      <c r="Q112" s="2">
        <f>VLOOKUP($A112&amp;Q$1,Plan2!$A:$V,22,FALSE)</f>
        <v>16.308480697985502</v>
      </c>
      <c r="R112" s="13" t="str">
        <f>VLOOKUP(A112,ratings!A:E,3,FALSE)</f>
        <v>B-</v>
      </c>
      <c r="S112" s="13" t="str">
        <f>VLOOKUP(A112,ratings!A:E,4,FALSE)</f>
        <v>B3</v>
      </c>
    </row>
    <row r="113" spans="1:19" x14ac:dyDescent="0.25">
      <c r="A113" t="s">
        <v>64</v>
      </c>
      <c r="B113" s="2">
        <f>VLOOKUP($A113&amp;B$1,Plan2!$A:$V,22,FALSE)</f>
        <v>21.662951112192101</v>
      </c>
      <c r="C113" s="2">
        <f>VLOOKUP($A113&amp;C$1,Plan2!$A:$V,22,FALSE)</f>
        <v>22.8393043203057</v>
      </c>
      <c r="D113" s="2">
        <f>VLOOKUP($A113&amp;D$1,Plan2!$A:$V,22,FALSE)</f>
        <v>25.550919556705701</v>
      </c>
      <c r="E113" s="2">
        <f>VLOOKUP($A113&amp;E$1,Plan2!$A:$V,22,FALSE)</f>
        <v>26.229043181722901</v>
      </c>
      <c r="F113" s="2">
        <f>VLOOKUP($A113&amp;F$1,Plan2!$A:$V,22,FALSE)</f>
        <v>25.2931406965386</v>
      </c>
      <c r="G113" s="2">
        <f>VLOOKUP($A113&amp;G$1,Plan2!$A:$V,22,FALSE)</f>
        <v>20.733310385113299</v>
      </c>
      <c r="H113" s="2">
        <f>VLOOKUP($A113&amp;H$1,Plan2!$A:$V,22,FALSE)</f>
        <v>20.4656888728667</v>
      </c>
      <c r="I113" s="2">
        <f>VLOOKUP($A113&amp;I$1,Plan2!$A:$V,22,FALSE)</f>
        <v>21.5396086801445</v>
      </c>
      <c r="J113" s="2">
        <f>VLOOKUP($A113&amp;J$1,Plan2!$A:$V,22,FALSE)</f>
        <v>21.3729212239828</v>
      </c>
      <c r="K113" s="2">
        <f>VLOOKUP($A113&amp;K$1,Plan2!$A:$V,22,FALSE)</f>
        <v>17.409054724371501</v>
      </c>
      <c r="L113" s="2">
        <f>VLOOKUP($A113&amp;L$1,Plan2!$A:$V,22,FALSE)</f>
        <v>17.770475260220401</v>
      </c>
      <c r="M113" s="2">
        <f>VLOOKUP($A113&amp;M$1,Plan2!$A:$V,22,FALSE)</f>
        <v>21.4898912665921</v>
      </c>
      <c r="N113" s="2">
        <f>VLOOKUP($A113&amp;N$1,Plan2!$A:$V,22,FALSE)</f>
        <v>23.540395188898799</v>
      </c>
      <c r="O113" s="2">
        <f>VLOOKUP($A113&amp;O$1,Plan2!$A:$V,22,FALSE)</f>
        <v>22.483706990208798</v>
      </c>
      <c r="P113" s="2">
        <f>VLOOKUP($A113&amp;P$1,Plan2!$A:$V,22,FALSE)</f>
        <v>22.218912296247002</v>
      </c>
      <c r="Q113" s="2">
        <f>VLOOKUP($A113&amp;Q$1,Plan2!$A:$V,22,FALSE)</f>
        <v>19.654195307058501</v>
      </c>
      <c r="R113" s="13" t="e">
        <f>VLOOKUP(A113,ratings!A:E,3,FALSE)</f>
        <v>#N/A</v>
      </c>
      <c r="S113" s="13" t="e">
        <f>VLOOKUP(A113,ratings!A:E,4,FALSE)</f>
        <v>#N/A</v>
      </c>
    </row>
    <row r="114" spans="1:19" x14ac:dyDescent="0.25">
      <c r="A114" t="s">
        <v>150</v>
      </c>
      <c r="B114" s="2">
        <f>VLOOKUP($A114&amp;B$1,Plan2!$A:$V,22,FALSE)</f>
        <v>22.454141826678899</v>
      </c>
      <c r="C114" s="2">
        <f>VLOOKUP($A114&amp;C$1,Plan2!$A:$V,22,FALSE)</f>
        <v>18.934368395253301</v>
      </c>
      <c r="D114" s="2">
        <f>VLOOKUP($A114&amp;D$1,Plan2!$A:$V,22,FALSE)</f>
        <v>18.558162753921401</v>
      </c>
      <c r="E114" s="2">
        <f>VLOOKUP($A114&amp;E$1,Plan2!$A:$V,22,FALSE)</f>
        <v>17.397712143278401</v>
      </c>
      <c r="F114" s="2">
        <f>VLOOKUP($A114&amp;F$1,Plan2!$A:$V,22,FALSE)</f>
        <v>18.958030061889001</v>
      </c>
      <c r="G114" s="2">
        <f>VLOOKUP($A114&amp;G$1,Plan2!$A:$V,22,FALSE)</f>
        <v>17.513165713831899</v>
      </c>
      <c r="H114" s="2">
        <f>VLOOKUP($A114&amp;H$1,Plan2!$A:$V,22,FALSE)</f>
        <v>16.773846872233001</v>
      </c>
      <c r="I114" s="2">
        <f>VLOOKUP($A114&amp;I$1,Plan2!$A:$V,22,FALSE)</f>
        <v>17.266703198971499</v>
      </c>
      <c r="J114" s="2">
        <f>VLOOKUP($A114&amp;J$1,Plan2!$A:$V,22,FALSE)</f>
        <v>18.113535566597299</v>
      </c>
      <c r="K114" s="2">
        <f>VLOOKUP($A114&amp;K$1,Plan2!$A:$V,22,FALSE)</f>
        <v>19.331191215819999</v>
      </c>
      <c r="L114" s="2">
        <f>VLOOKUP($A114&amp;L$1,Plan2!$A:$V,22,FALSE)</f>
        <v>14.723332604886499</v>
      </c>
      <c r="M114" s="2">
        <f>VLOOKUP($A114&amp;M$1,Plan2!$A:$V,22,FALSE)</f>
        <v>14.8218027710423</v>
      </c>
      <c r="N114" s="2">
        <f>VLOOKUP($A114&amp;N$1,Plan2!$A:$V,22,FALSE)</f>
        <v>13.685665958906499</v>
      </c>
      <c r="O114" s="2">
        <f>VLOOKUP($A114&amp;O$1,Plan2!$A:$V,22,FALSE)</f>
        <v>13.877386188972499</v>
      </c>
      <c r="P114" s="2">
        <f>VLOOKUP($A114&amp;P$1,Plan2!$A:$V,22,FALSE)</f>
        <v>11.5005181405675</v>
      </c>
      <c r="Q114" s="2">
        <f>VLOOKUP($A114&amp;Q$1,Plan2!$A:$V,22,FALSE)</f>
        <v>9.9339396281843797</v>
      </c>
      <c r="R114" s="13" t="e">
        <f>VLOOKUP(A114,ratings!A:E,3,FALSE)</f>
        <v>#N/A</v>
      </c>
      <c r="S114" s="13" t="e">
        <f>VLOOKUP(A114,ratings!A:E,4,FALSE)</f>
        <v>#N/A</v>
      </c>
    </row>
    <row r="115" spans="1:19" x14ac:dyDescent="0.25">
      <c r="A115" t="s">
        <v>214</v>
      </c>
      <c r="B115" s="2">
        <f>VLOOKUP($A115&amp;B$1,Plan2!$A:$V,22,FALSE)</f>
        <v>19.722608129837202</v>
      </c>
      <c r="C115" s="2">
        <f>VLOOKUP($A115&amp;C$1,Plan2!$A:$V,22,FALSE)</f>
        <v>13.781343024232299</v>
      </c>
      <c r="D115" s="2">
        <f>VLOOKUP($A115&amp;D$1,Plan2!$A:$V,22,FALSE)</f>
        <v>1.72147234479911</v>
      </c>
      <c r="E115" s="2">
        <f>VLOOKUP($A115&amp;E$1,Plan2!$A:$V,22,FALSE)</f>
        <v>8.7513110568016899</v>
      </c>
      <c r="F115" s="2">
        <f>VLOOKUP($A115&amp;F$1,Plan2!$A:$V,22,FALSE)</f>
        <v>12.0524216414195</v>
      </c>
      <c r="G115" s="2">
        <f>VLOOKUP($A115&amp;G$1,Plan2!$A:$V,22,FALSE)</f>
        <v>12.4642054139444</v>
      </c>
      <c r="H115" s="2">
        <f>VLOOKUP($A115&amp;H$1,Plan2!$A:$V,22,FALSE)</f>
        <v>12.6843239984282</v>
      </c>
      <c r="I115" s="2">
        <f>VLOOKUP($A115&amp;I$1,Plan2!$A:$V,22,FALSE)</f>
        <v>9.3042216581145691</v>
      </c>
      <c r="J115" s="2">
        <f>VLOOKUP($A115&amp;J$1,Plan2!$A:$V,22,FALSE)</f>
        <v>3.0944745671495801</v>
      </c>
      <c r="K115" s="2">
        <f>VLOOKUP($A115&amp;K$1,Plan2!$A:$V,22,FALSE)</f>
        <v>1.16589809861667</v>
      </c>
      <c r="L115" s="2">
        <f>VLOOKUP($A115&amp;L$1,Plan2!$A:$V,22,FALSE)</f>
        <v>2.5111330823024498</v>
      </c>
      <c r="M115" s="2">
        <f>VLOOKUP($A115&amp;M$1,Plan2!$A:$V,22,FALSE)</f>
        <v>11.8115896627287</v>
      </c>
      <c r="N115" s="2">
        <f>VLOOKUP($A115&amp;N$1,Plan2!$A:$V,22,FALSE)</f>
        <v>13.395030833880901</v>
      </c>
      <c r="O115" s="2">
        <f>VLOOKUP($A115&amp;O$1,Plan2!$A:$V,22,FALSE)</f>
        <v>1.7592979775400199</v>
      </c>
      <c r="P115" s="2">
        <f>VLOOKUP($A115&amp;P$1,Plan2!$A:$V,22,FALSE)</f>
        <v>5.5064353383751898</v>
      </c>
      <c r="Q115" s="2">
        <f>VLOOKUP($A115&amp;Q$1,Plan2!$A:$V,22,FALSE)</f>
        <v>9.1457442056437408</v>
      </c>
      <c r="R115" s="13" t="e">
        <f>VLOOKUP(A115,ratings!A:E,3,FALSE)</f>
        <v>#N/A</v>
      </c>
      <c r="S115" s="13" t="e">
        <f>VLOOKUP(A115,ratings!A:E,4,FALSE)</f>
        <v>#N/A</v>
      </c>
    </row>
  </sheetData>
  <autoFilter ref="A1:Q1">
    <sortState ref="A2:R117">
      <sortCondition descending="1" ref="Q1"/>
    </sortState>
  </autoFilter>
  <conditionalFormatting sqref="B2:Q1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workbookViewId="0">
      <selection activeCell="B1" sqref="B1:C1"/>
    </sheetView>
  </sheetViews>
  <sheetFormatPr defaultRowHeight="15" x14ac:dyDescent="0.25"/>
  <cols>
    <col min="1" max="1" width="22.42578125" bestFit="1" customWidth="1"/>
    <col min="2" max="2" width="20.140625" customWidth="1"/>
  </cols>
  <sheetData>
    <row r="1" spans="1:5" ht="30.75" thickBot="1" x14ac:dyDescent="0.3">
      <c r="B1" s="5" t="s">
        <v>255</v>
      </c>
      <c r="C1" s="5" t="s">
        <v>256</v>
      </c>
      <c r="D1" s="5" t="s">
        <v>257</v>
      </c>
      <c r="E1" s="5" t="s">
        <v>258</v>
      </c>
    </row>
    <row r="2" spans="1:5" ht="15.75" thickBot="1" x14ac:dyDescent="0.3">
      <c r="A2" s="13" t="s">
        <v>30</v>
      </c>
      <c r="B2" s="6" t="s">
        <v>259</v>
      </c>
      <c r="C2" s="7" t="s">
        <v>260</v>
      </c>
      <c r="D2" s="8" t="s">
        <v>261</v>
      </c>
      <c r="E2" s="8" t="s">
        <v>260</v>
      </c>
    </row>
    <row r="3" spans="1:5" ht="15.75" thickBot="1" x14ac:dyDescent="0.3">
      <c r="A3" s="13" t="s">
        <v>58</v>
      </c>
      <c r="B3" s="6" t="s">
        <v>262</v>
      </c>
      <c r="C3" s="7" t="s">
        <v>260</v>
      </c>
      <c r="D3" s="8" t="s">
        <v>261</v>
      </c>
      <c r="E3" s="8" t="s">
        <v>260</v>
      </c>
    </row>
    <row r="4" spans="1:5" ht="15.75" thickBot="1" x14ac:dyDescent="0.3">
      <c r="A4" s="13" t="s">
        <v>76</v>
      </c>
      <c r="B4" s="6" t="s">
        <v>263</v>
      </c>
      <c r="C4" s="7" t="s">
        <v>260</v>
      </c>
      <c r="D4" s="8" t="s">
        <v>261</v>
      </c>
      <c r="E4" s="8" t="s">
        <v>260</v>
      </c>
    </row>
    <row r="5" spans="1:5" ht="15.75" thickBot="1" x14ac:dyDescent="0.3">
      <c r="A5" s="13" t="s">
        <v>100</v>
      </c>
      <c r="B5" s="6" t="s">
        <v>264</v>
      </c>
      <c r="C5" s="7" t="s">
        <v>260</v>
      </c>
      <c r="D5" s="8" t="s">
        <v>261</v>
      </c>
      <c r="E5" s="8" t="s">
        <v>260</v>
      </c>
    </row>
    <row r="6" spans="1:5" ht="15.75" thickBot="1" x14ac:dyDescent="0.3">
      <c r="A6" s="13"/>
      <c r="B6" s="6" t="s">
        <v>265</v>
      </c>
      <c r="C6" s="7" t="s">
        <v>260</v>
      </c>
      <c r="D6" s="11"/>
      <c r="E6" s="11"/>
    </row>
    <row r="7" spans="1:5" ht="15.75" thickBot="1" x14ac:dyDescent="0.3">
      <c r="A7" s="13" t="s">
        <v>144</v>
      </c>
      <c r="B7" s="6" t="s">
        <v>266</v>
      </c>
      <c r="C7" s="7" t="s">
        <v>260</v>
      </c>
      <c r="D7" s="8" t="s">
        <v>261</v>
      </c>
      <c r="E7" s="8" t="s">
        <v>260</v>
      </c>
    </row>
    <row r="8" spans="1:5" ht="15.75" thickBot="1" x14ac:dyDescent="0.3">
      <c r="A8" s="13" t="s">
        <v>172</v>
      </c>
      <c r="B8" s="6" t="s">
        <v>267</v>
      </c>
      <c r="C8" s="7" t="s">
        <v>260</v>
      </c>
      <c r="D8" s="8" t="s">
        <v>261</v>
      </c>
      <c r="E8" s="8" t="s">
        <v>260</v>
      </c>
    </row>
    <row r="9" spans="1:5" ht="15.75" thickBot="1" x14ac:dyDescent="0.3">
      <c r="A9" s="13" t="s">
        <v>180</v>
      </c>
      <c r="B9" s="6" t="s">
        <v>268</v>
      </c>
      <c r="C9" s="7" t="s">
        <v>260</v>
      </c>
      <c r="D9" s="8" t="s">
        <v>261</v>
      </c>
      <c r="E9" s="8" t="s">
        <v>260</v>
      </c>
    </row>
    <row r="10" spans="1:5" ht="15.75" thickBot="1" x14ac:dyDescent="0.3">
      <c r="A10" s="13" t="s">
        <v>218</v>
      </c>
      <c r="B10" s="6" t="s">
        <v>269</v>
      </c>
      <c r="C10" s="7" t="s">
        <v>260</v>
      </c>
      <c r="D10" s="8" t="s">
        <v>261</v>
      </c>
      <c r="E10" s="8" t="s">
        <v>260</v>
      </c>
    </row>
    <row r="11" spans="1:5" ht="15.75" thickBot="1" x14ac:dyDescent="0.3">
      <c r="A11" s="13" t="s">
        <v>216</v>
      </c>
      <c r="B11" s="6" t="s">
        <v>270</v>
      </c>
      <c r="C11" s="7" t="s">
        <v>260</v>
      </c>
      <c r="D11" s="8" t="s">
        <v>261</v>
      </c>
      <c r="E11" s="8" t="s">
        <v>260</v>
      </c>
    </row>
    <row r="12" spans="1:5" ht="15.75" thickBot="1" x14ac:dyDescent="0.3">
      <c r="A12" s="13"/>
      <c r="B12" s="6" t="s">
        <v>271</v>
      </c>
      <c r="C12" s="7" t="s">
        <v>260</v>
      </c>
      <c r="D12" s="8" t="s">
        <v>261</v>
      </c>
      <c r="E12" s="8" t="s">
        <v>260</v>
      </c>
    </row>
    <row r="13" spans="1:5" ht="15.75" thickBot="1" x14ac:dyDescent="0.3">
      <c r="A13" s="13"/>
      <c r="B13" s="6" t="s">
        <v>272</v>
      </c>
      <c r="C13" s="7" t="s">
        <v>273</v>
      </c>
      <c r="D13" s="8" t="s">
        <v>261</v>
      </c>
      <c r="E13" s="8" t="s">
        <v>260</v>
      </c>
    </row>
    <row r="14" spans="1:5" ht="15.75" thickBot="1" x14ac:dyDescent="0.3">
      <c r="A14" s="13" t="s">
        <v>174</v>
      </c>
      <c r="B14" s="6" t="s">
        <v>274</v>
      </c>
      <c r="C14" s="7" t="s">
        <v>273</v>
      </c>
      <c r="D14" s="8" t="s">
        <v>261</v>
      </c>
      <c r="E14" s="8" t="s">
        <v>260</v>
      </c>
    </row>
    <row r="15" spans="1:5" ht="15.75" thickBot="1" x14ac:dyDescent="0.3">
      <c r="A15" s="13" t="s">
        <v>240</v>
      </c>
      <c r="B15" s="6" t="s">
        <v>275</v>
      </c>
      <c r="C15" s="7" t="s">
        <v>273</v>
      </c>
      <c r="D15" s="8" t="s">
        <v>276</v>
      </c>
      <c r="E15" s="8" t="s">
        <v>260</v>
      </c>
    </row>
    <row r="16" spans="1:5" ht="15.75" thickBot="1" x14ac:dyDescent="0.3">
      <c r="A16" s="13" t="s">
        <v>32</v>
      </c>
      <c r="B16" s="6" t="s">
        <v>277</v>
      </c>
      <c r="C16" s="7" t="s">
        <v>273</v>
      </c>
      <c r="D16" s="8" t="s">
        <v>276</v>
      </c>
      <c r="E16" s="8" t="s">
        <v>260</v>
      </c>
    </row>
    <row r="17" spans="1:5" ht="30.75" thickBot="1" x14ac:dyDescent="0.3">
      <c r="A17" s="13" t="s">
        <v>92</v>
      </c>
      <c r="B17" s="6" t="s">
        <v>278</v>
      </c>
      <c r="C17" s="7" t="s">
        <v>273</v>
      </c>
      <c r="D17" s="8" t="s">
        <v>276</v>
      </c>
      <c r="E17" s="8" t="s">
        <v>279</v>
      </c>
    </row>
    <row r="18" spans="1:5" ht="15.75" thickBot="1" x14ac:dyDescent="0.3">
      <c r="A18" s="13"/>
      <c r="B18" s="6" t="s">
        <v>280</v>
      </c>
      <c r="C18" s="7" t="s">
        <v>273</v>
      </c>
      <c r="D18" s="8" t="s">
        <v>281</v>
      </c>
      <c r="E18" s="11"/>
    </row>
    <row r="19" spans="1:5" ht="30.75" thickBot="1" x14ac:dyDescent="0.3">
      <c r="A19" s="13" t="s">
        <v>236</v>
      </c>
      <c r="B19" s="6" t="s">
        <v>282</v>
      </c>
      <c r="C19" s="7" t="s">
        <v>283</v>
      </c>
      <c r="D19" s="8" t="s">
        <v>284</v>
      </c>
      <c r="E19" s="11"/>
    </row>
    <row r="20" spans="1:5" ht="15.75" thickBot="1" x14ac:dyDescent="0.3">
      <c r="A20" s="13"/>
      <c r="B20" s="6" t="s">
        <v>285</v>
      </c>
      <c r="C20" s="7" t="s">
        <v>273</v>
      </c>
      <c r="D20" s="8" t="s">
        <v>281</v>
      </c>
      <c r="E20" s="11"/>
    </row>
    <row r="21" spans="1:5" ht="15.75" thickBot="1" x14ac:dyDescent="0.3">
      <c r="A21" s="13" t="s">
        <v>118</v>
      </c>
      <c r="B21" s="6" t="s">
        <v>286</v>
      </c>
      <c r="C21" s="7" t="s">
        <v>273</v>
      </c>
      <c r="D21" s="8" t="s">
        <v>281</v>
      </c>
      <c r="E21" s="8" t="s">
        <v>283</v>
      </c>
    </row>
    <row r="22" spans="1:5" ht="15.75" thickBot="1" x14ac:dyDescent="0.3">
      <c r="A22" s="13"/>
      <c r="B22" s="6" t="s">
        <v>287</v>
      </c>
      <c r="C22" s="7" t="s">
        <v>283</v>
      </c>
      <c r="D22" s="8" t="s">
        <v>284</v>
      </c>
      <c r="E22" s="11"/>
    </row>
    <row r="23" spans="1:5" ht="15.75" thickBot="1" x14ac:dyDescent="0.3">
      <c r="A23" s="13"/>
      <c r="B23" s="6" t="s">
        <v>288</v>
      </c>
      <c r="C23" s="7" t="s">
        <v>289</v>
      </c>
      <c r="D23" s="8" t="s">
        <v>281</v>
      </c>
      <c r="E23" s="11"/>
    </row>
    <row r="24" spans="1:5" ht="15.75" thickBot="1" x14ac:dyDescent="0.3">
      <c r="A24" s="13" t="s">
        <v>146</v>
      </c>
      <c r="B24" s="6" t="s">
        <v>290</v>
      </c>
      <c r="C24" s="12"/>
      <c r="D24" s="8" t="s">
        <v>281</v>
      </c>
      <c r="E24" s="11"/>
    </row>
    <row r="25" spans="1:5" ht="15.75" thickBot="1" x14ac:dyDescent="0.3">
      <c r="A25" s="13" t="s">
        <v>238</v>
      </c>
      <c r="B25" s="6" t="s">
        <v>291</v>
      </c>
      <c r="C25" s="7" t="s">
        <v>283</v>
      </c>
      <c r="D25" s="8" t="s">
        <v>281</v>
      </c>
      <c r="E25" s="8" t="s">
        <v>283</v>
      </c>
    </row>
    <row r="26" spans="1:5" ht="15.75" thickBot="1" x14ac:dyDescent="0.3">
      <c r="A26" s="13" t="s">
        <v>130</v>
      </c>
      <c r="B26" s="6" t="s">
        <v>292</v>
      </c>
      <c r="C26" s="7" t="s">
        <v>283</v>
      </c>
      <c r="D26" s="8" t="s">
        <v>284</v>
      </c>
      <c r="E26" s="11"/>
    </row>
    <row r="27" spans="1:5" ht="15.75" thickBot="1" x14ac:dyDescent="0.3">
      <c r="A27" s="13" t="s">
        <v>44</v>
      </c>
      <c r="B27" s="6" t="s">
        <v>293</v>
      </c>
      <c r="C27" s="7" t="s">
        <v>294</v>
      </c>
      <c r="D27" s="8" t="s">
        <v>295</v>
      </c>
      <c r="E27" s="8" t="s">
        <v>283</v>
      </c>
    </row>
    <row r="28" spans="1:5" ht="15.75" thickBot="1" x14ac:dyDescent="0.3">
      <c r="A28" s="13"/>
      <c r="B28" s="6" t="s">
        <v>296</v>
      </c>
      <c r="C28" s="12"/>
      <c r="D28" s="8" t="s">
        <v>281</v>
      </c>
      <c r="E28" s="11"/>
    </row>
    <row r="29" spans="1:5" ht="15.75" thickBot="1" x14ac:dyDescent="0.3">
      <c r="A29" s="13" t="s">
        <v>74</v>
      </c>
      <c r="B29" s="6" t="s">
        <v>297</v>
      </c>
      <c r="C29" s="7" t="s">
        <v>294</v>
      </c>
      <c r="D29" s="8" t="s">
        <v>281</v>
      </c>
      <c r="E29" s="8" t="s">
        <v>283</v>
      </c>
    </row>
    <row r="30" spans="1:5" ht="15.75" thickBot="1" x14ac:dyDescent="0.3">
      <c r="A30" s="13" t="s">
        <v>94</v>
      </c>
      <c r="B30" s="6" t="s">
        <v>298</v>
      </c>
      <c r="C30" s="7" t="s">
        <v>299</v>
      </c>
      <c r="D30" s="8" t="s">
        <v>281</v>
      </c>
      <c r="E30" s="8" t="s">
        <v>283</v>
      </c>
    </row>
    <row r="31" spans="1:5" ht="15.75" thickBot="1" x14ac:dyDescent="0.3">
      <c r="A31" s="13"/>
      <c r="B31" s="6" t="s">
        <v>300</v>
      </c>
      <c r="C31" s="7" t="s">
        <v>294</v>
      </c>
      <c r="D31" s="8" t="s">
        <v>295</v>
      </c>
      <c r="E31" s="11"/>
    </row>
    <row r="32" spans="1:5" ht="30.75" thickBot="1" x14ac:dyDescent="0.3">
      <c r="A32" s="13" t="s">
        <v>86</v>
      </c>
      <c r="B32" s="6" t="s">
        <v>301</v>
      </c>
      <c r="C32" s="12" t="s">
        <v>302</v>
      </c>
      <c r="D32" s="8" t="s">
        <v>295</v>
      </c>
      <c r="E32" s="8" t="s">
        <v>303</v>
      </c>
    </row>
    <row r="33" spans="1:5" ht="15.75" thickBot="1" x14ac:dyDescent="0.3">
      <c r="A33" s="13" t="s">
        <v>112</v>
      </c>
      <c r="B33" s="6" t="s">
        <v>304</v>
      </c>
      <c r="C33" s="7" t="s">
        <v>299</v>
      </c>
      <c r="D33" s="8" t="s">
        <v>295</v>
      </c>
      <c r="E33" s="11"/>
    </row>
    <row r="34" spans="1:5" ht="15.75" thickBot="1" x14ac:dyDescent="0.3">
      <c r="A34" s="13" t="s">
        <v>200</v>
      </c>
      <c r="B34" s="6" t="s">
        <v>305</v>
      </c>
      <c r="C34" s="7" t="s">
        <v>299</v>
      </c>
      <c r="D34" s="8" t="s">
        <v>281</v>
      </c>
      <c r="E34" s="11"/>
    </row>
    <row r="35" spans="1:5" ht="30.75" thickBot="1" x14ac:dyDescent="0.3">
      <c r="A35" s="13" t="s">
        <v>206</v>
      </c>
      <c r="B35" s="6" t="s">
        <v>306</v>
      </c>
      <c r="C35" s="7" t="s">
        <v>283</v>
      </c>
      <c r="D35" s="8" t="s">
        <v>307</v>
      </c>
      <c r="E35" s="8" t="s">
        <v>303</v>
      </c>
    </row>
    <row r="36" spans="1:5" ht="15.75" thickBot="1" x14ac:dyDescent="0.3">
      <c r="A36" s="13"/>
      <c r="B36" s="6" t="s">
        <v>308</v>
      </c>
      <c r="C36" s="7" t="s">
        <v>299</v>
      </c>
      <c r="D36" s="8" t="s">
        <v>295</v>
      </c>
      <c r="E36" s="8" t="s">
        <v>309</v>
      </c>
    </row>
    <row r="37" spans="1:5" ht="15.75" thickBot="1" x14ac:dyDescent="0.3">
      <c r="A37" s="13" t="s">
        <v>310</v>
      </c>
      <c r="B37" s="6" t="s">
        <v>310</v>
      </c>
      <c r="C37" s="7" t="s">
        <v>299</v>
      </c>
      <c r="D37" s="8" t="s">
        <v>295</v>
      </c>
      <c r="E37" s="8" t="s">
        <v>311</v>
      </c>
    </row>
    <row r="38" spans="1:5" ht="15.75" thickBot="1" x14ac:dyDescent="0.3">
      <c r="A38" s="13" t="s">
        <v>453</v>
      </c>
      <c r="B38" s="6" t="s">
        <v>312</v>
      </c>
      <c r="C38" s="7" t="s">
        <v>299</v>
      </c>
      <c r="D38" s="8" t="s">
        <v>295</v>
      </c>
      <c r="E38" s="8" t="s">
        <v>309</v>
      </c>
    </row>
    <row r="39" spans="1:5" ht="15.75" thickBot="1" x14ac:dyDescent="0.3">
      <c r="A39" s="13" t="s">
        <v>142</v>
      </c>
      <c r="B39" s="6" t="s">
        <v>313</v>
      </c>
      <c r="C39" s="7" t="s">
        <v>311</v>
      </c>
      <c r="D39" s="8" t="s">
        <v>307</v>
      </c>
      <c r="E39" s="8" t="s">
        <v>309</v>
      </c>
    </row>
    <row r="40" spans="1:5" ht="15.75" thickBot="1" x14ac:dyDescent="0.3">
      <c r="A40" s="13" t="s">
        <v>156</v>
      </c>
      <c r="B40" s="6" t="s">
        <v>156</v>
      </c>
      <c r="C40" s="7" t="s">
        <v>314</v>
      </c>
      <c r="D40" s="8" t="s">
        <v>307</v>
      </c>
      <c r="E40" s="8" t="s">
        <v>309</v>
      </c>
    </row>
    <row r="41" spans="1:5" ht="15.75" thickBot="1" x14ac:dyDescent="0.3">
      <c r="A41" s="13" t="s">
        <v>192</v>
      </c>
      <c r="B41" s="6" t="s">
        <v>192</v>
      </c>
      <c r="C41" s="7" t="s">
        <v>299</v>
      </c>
      <c r="D41" s="8" t="s">
        <v>315</v>
      </c>
      <c r="E41" s="8" t="s">
        <v>309</v>
      </c>
    </row>
    <row r="42" spans="1:5" ht="15.75" thickBot="1" x14ac:dyDescent="0.3">
      <c r="A42" s="13" t="s">
        <v>60</v>
      </c>
      <c r="B42" s="6" t="s">
        <v>60</v>
      </c>
      <c r="C42" s="7" t="s">
        <v>311</v>
      </c>
      <c r="D42" s="8" t="s">
        <v>307</v>
      </c>
      <c r="E42" s="8" t="s">
        <v>289</v>
      </c>
    </row>
    <row r="43" spans="1:5" ht="15.75" thickBot="1" x14ac:dyDescent="0.3">
      <c r="A43" s="13" t="s">
        <v>204</v>
      </c>
      <c r="B43" s="6" t="s">
        <v>316</v>
      </c>
      <c r="C43" s="7" t="s">
        <v>311</v>
      </c>
      <c r="D43" s="8" t="s">
        <v>315</v>
      </c>
      <c r="E43" s="8" t="s">
        <v>317</v>
      </c>
    </row>
    <row r="44" spans="1:5" ht="15.75" thickBot="1" x14ac:dyDescent="0.3">
      <c r="A44" s="13" t="s">
        <v>136</v>
      </c>
      <c r="B44" s="6" t="s">
        <v>318</v>
      </c>
      <c r="C44" s="7" t="s">
        <v>311</v>
      </c>
      <c r="D44" s="8" t="s">
        <v>315</v>
      </c>
      <c r="E44" s="8" t="s">
        <v>311</v>
      </c>
    </row>
    <row r="45" spans="1:5" ht="15.75" thickBot="1" x14ac:dyDescent="0.3">
      <c r="A45" s="13" t="s">
        <v>190</v>
      </c>
      <c r="B45" s="6" t="s">
        <v>319</v>
      </c>
      <c r="C45" s="7" t="s">
        <v>314</v>
      </c>
      <c r="D45" s="8" t="s">
        <v>307</v>
      </c>
      <c r="E45" s="8" t="s">
        <v>311</v>
      </c>
    </row>
    <row r="46" spans="1:5" ht="15.75" thickBot="1" x14ac:dyDescent="0.3">
      <c r="A46" s="13" t="s">
        <v>210</v>
      </c>
      <c r="B46" s="6" t="s">
        <v>320</v>
      </c>
      <c r="C46" s="7" t="s">
        <v>299</v>
      </c>
      <c r="D46" s="8" t="s">
        <v>315</v>
      </c>
      <c r="E46" s="8" t="s">
        <v>309</v>
      </c>
    </row>
    <row r="47" spans="1:5" ht="15.75" thickBot="1" x14ac:dyDescent="0.3">
      <c r="A47" s="13" t="s">
        <v>70</v>
      </c>
      <c r="B47" s="6" t="s">
        <v>321</v>
      </c>
      <c r="C47" s="7" t="s">
        <v>311</v>
      </c>
      <c r="D47" s="8" t="s">
        <v>315</v>
      </c>
      <c r="E47" s="8" t="s">
        <v>311</v>
      </c>
    </row>
    <row r="48" spans="1:5" ht="15.75" thickBot="1" x14ac:dyDescent="0.3">
      <c r="A48" s="13" t="s">
        <v>72</v>
      </c>
      <c r="B48" s="6" t="s">
        <v>322</v>
      </c>
      <c r="C48" s="7" t="s">
        <v>314</v>
      </c>
      <c r="D48" s="8" t="s">
        <v>315</v>
      </c>
      <c r="E48" s="8" t="s">
        <v>311</v>
      </c>
    </row>
    <row r="49" spans="1:5" ht="15.75" thickBot="1" x14ac:dyDescent="0.3">
      <c r="A49" s="13" t="s">
        <v>120</v>
      </c>
      <c r="B49" s="6" t="s">
        <v>120</v>
      </c>
      <c r="C49" s="7" t="s">
        <v>311</v>
      </c>
      <c r="D49" s="8" t="s">
        <v>323</v>
      </c>
      <c r="E49" s="11"/>
    </row>
    <row r="50" spans="1:5" ht="15.75" thickBot="1" x14ac:dyDescent="0.3">
      <c r="A50" s="13"/>
      <c r="B50" s="6" t="s">
        <v>324</v>
      </c>
      <c r="C50" s="7" t="s">
        <v>314</v>
      </c>
      <c r="D50" s="8" t="s">
        <v>323</v>
      </c>
      <c r="E50" s="11"/>
    </row>
    <row r="51" spans="1:5" ht="15.75" thickBot="1" x14ac:dyDescent="0.3">
      <c r="A51" s="13" t="s">
        <v>152</v>
      </c>
      <c r="B51" s="6" t="s">
        <v>325</v>
      </c>
      <c r="C51" s="7" t="s">
        <v>314</v>
      </c>
      <c r="D51" s="8" t="s">
        <v>315</v>
      </c>
      <c r="E51" s="11"/>
    </row>
    <row r="52" spans="1:5" ht="15.75" thickBot="1" x14ac:dyDescent="0.3">
      <c r="A52" s="13" t="s">
        <v>122</v>
      </c>
      <c r="B52" s="6" t="s">
        <v>326</v>
      </c>
      <c r="C52" s="9" t="s">
        <v>327</v>
      </c>
      <c r="D52" s="8" t="s">
        <v>328</v>
      </c>
      <c r="E52" s="8" t="s">
        <v>317</v>
      </c>
    </row>
    <row r="53" spans="1:5" ht="30.75" thickBot="1" x14ac:dyDescent="0.3">
      <c r="A53" s="13" t="s">
        <v>52</v>
      </c>
      <c r="B53" s="6" t="s">
        <v>329</v>
      </c>
      <c r="C53" s="9" t="s">
        <v>327</v>
      </c>
      <c r="D53" s="8" t="s">
        <v>323</v>
      </c>
      <c r="E53" s="10" t="s">
        <v>330</v>
      </c>
    </row>
    <row r="54" spans="1:5" ht="15.75" thickBot="1" x14ac:dyDescent="0.3">
      <c r="A54" s="13" t="s">
        <v>224</v>
      </c>
      <c r="B54" s="6" t="s">
        <v>331</v>
      </c>
      <c r="C54" s="9" t="s">
        <v>327</v>
      </c>
      <c r="D54" s="8" t="s">
        <v>323</v>
      </c>
      <c r="E54" s="11"/>
    </row>
    <row r="55" spans="1:5" ht="15.75" thickBot="1" x14ac:dyDescent="0.3">
      <c r="A55" s="13"/>
      <c r="B55" s="6" t="s">
        <v>332</v>
      </c>
      <c r="C55" s="9" t="s">
        <v>333</v>
      </c>
      <c r="D55" s="8" t="s">
        <v>323</v>
      </c>
      <c r="E55" s="11"/>
    </row>
    <row r="56" spans="1:5" ht="15.75" thickBot="1" x14ac:dyDescent="0.3">
      <c r="A56" s="13"/>
      <c r="B56" s="6" t="s">
        <v>334</v>
      </c>
      <c r="C56" s="7" t="s">
        <v>314</v>
      </c>
      <c r="D56" s="11"/>
      <c r="E56" s="10" t="s">
        <v>335</v>
      </c>
    </row>
    <row r="57" spans="1:5" ht="15.75" thickBot="1" x14ac:dyDescent="0.3">
      <c r="A57" s="13" t="s">
        <v>188</v>
      </c>
      <c r="B57" s="6" t="s">
        <v>336</v>
      </c>
      <c r="C57" s="9" t="s">
        <v>327</v>
      </c>
      <c r="D57" s="8" t="s">
        <v>328</v>
      </c>
      <c r="E57" s="11"/>
    </row>
    <row r="58" spans="1:5" ht="15.75" thickBot="1" x14ac:dyDescent="0.3">
      <c r="A58" s="13" t="s">
        <v>242</v>
      </c>
      <c r="B58" s="6" t="s">
        <v>337</v>
      </c>
      <c r="C58" s="9" t="s">
        <v>327</v>
      </c>
      <c r="D58" s="8" t="s">
        <v>323</v>
      </c>
      <c r="E58" s="10" t="s">
        <v>335</v>
      </c>
    </row>
    <row r="59" spans="1:5" ht="15.75" thickBot="1" x14ac:dyDescent="0.3">
      <c r="A59" s="13"/>
      <c r="B59" s="6" t="s">
        <v>338</v>
      </c>
      <c r="C59" s="9" t="s">
        <v>327</v>
      </c>
      <c r="D59" s="8" t="s">
        <v>339</v>
      </c>
      <c r="E59" s="11"/>
    </row>
    <row r="60" spans="1:5" ht="15.75" thickBot="1" x14ac:dyDescent="0.3">
      <c r="A60" s="13" t="s">
        <v>454</v>
      </c>
      <c r="B60" s="6" t="s">
        <v>340</v>
      </c>
      <c r="C60" s="9" t="s">
        <v>335</v>
      </c>
      <c r="D60" s="8" t="s">
        <v>328</v>
      </c>
      <c r="E60" s="11"/>
    </row>
    <row r="61" spans="1:5" ht="15.75" thickBot="1" x14ac:dyDescent="0.3">
      <c r="A61" s="13" t="s">
        <v>126</v>
      </c>
      <c r="B61" s="6" t="s">
        <v>341</v>
      </c>
      <c r="C61" s="9" t="s">
        <v>333</v>
      </c>
      <c r="D61" s="8" t="s">
        <v>323</v>
      </c>
      <c r="E61" s="11"/>
    </row>
    <row r="62" spans="1:5" ht="15.75" thickBot="1" x14ac:dyDescent="0.3">
      <c r="A62" s="13" t="s">
        <v>186</v>
      </c>
      <c r="B62" s="6" t="s">
        <v>186</v>
      </c>
      <c r="C62" s="9" t="s">
        <v>333</v>
      </c>
      <c r="D62" s="8" t="s">
        <v>323</v>
      </c>
      <c r="E62" s="8" t="s">
        <v>289</v>
      </c>
    </row>
    <row r="63" spans="1:5" ht="15.75" thickBot="1" x14ac:dyDescent="0.3">
      <c r="A63" s="13" t="s">
        <v>110</v>
      </c>
      <c r="B63" s="6" t="s">
        <v>342</v>
      </c>
      <c r="C63" s="9" t="s">
        <v>333</v>
      </c>
      <c r="D63" s="8" t="s">
        <v>328</v>
      </c>
      <c r="E63" s="10" t="s">
        <v>335</v>
      </c>
    </row>
    <row r="64" spans="1:5" ht="15.75" thickBot="1" x14ac:dyDescent="0.3">
      <c r="A64" s="13" t="s">
        <v>160</v>
      </c>
      <c r="B64" s="6" t="s">
        <v>343</v>
      </c>
      <c r="C64" s="9" t="s">
        <v>335</v>
      </c>
      <c r="D64" s="8" t="s">
        <v>339</v>
      </c>
      <c r="E64" s="10" t="s">
        <v>335</v>
      </c>
    </row>
    <row r="65" spans="1:5" ht="15.75" thickBot="1" x14ac:dyDescent="0.3">
      <c r="A65" s="13" t="s">
        <v>104</v>
      </c>
      <c r="B65" s="6" t="s">
        <v>344</v>
      </c>
      <c r="C65" s="9" t="s">
        <v>335</v>
      </c>
      <c r="D65" s="8" t="s">
        <v>339</v>
      </c>
      <c r="E65" s="10" t="s">
        <v>335</v>
      </c>
    </row>
    <row r="66" spans="1:5" ht="15.75" thickBot="1" x14ac:dyDescent="0.3">
      <c r="A66" s="13" t="s">
        <v>114</v>
      </c>
      <c r="B66" s="6" t="s">
        <v>345</v>
      </c>
      <c r="C66" s="9" t="s">
        <v>335</v>
      </c>
      <c r="D66" s="8" t="s">
        <v>339</v>
      </c>
      <c r="E66" s="10" t="s">
        <v>335</v>
      </c>
    </row>
    <row r="67" spans="1:5" ht="15.75" thickBot="1" x14ac:dyDescent="0.3">
      <c r="A67" s="13" t="s">
        <v>158</v>
      </c>
      <c r="B67" s="6" t="s">
        <v>346</v>
      </c>
      <c r="C67" s="12" t="s">
        <v>347</v>
      </c>
      <c r="D67" s="8" t="s">
        <v>339</v>
      </c>
      <c r="E67" s="11"/>
    </row>
    <row r="68" spans="1:5" ht="15.75" thickBot="1" x14ac:dyDescent="0.3">
      <c r="A68" s="13"/>
      <c r="B68" s="6" t="s">
        <v>348</v>
      </c>
      <c r="C68" s="9" t="s">
        <v>333</v>
      </c>
      <c r="D68" s="11"/>
      <c r="E68" s="11"/>
    </row>
    <row r="69" spans="1:5" ht="30.75" thickBot="1" x14ac:dyDescent="0.3">
      <c r="A69" s="13" t="s">
        <v>194</v>
      </c>
      <c r="B69" s="6" t="s">
        <v>349</v>
      </c>
      <c r="C69" s="9" t="s">
        <v>333</v>
      </c>
      <c r="D69" s="8" t="s">
        <v>339</v>
      </c>
      <c r="E69" s="10" t="s">
        <v>350</v>
      </c>
    </row>
    <row r="70" spans="1:5" ht="15.75" thickBot="1" x14ac:dyDescent="0.3">
      <c r="A70" s="13" t="s">
        <v>34</v>
      </c>
      <c r="B70" s="6" t="s">
        <v>351</v>
      </c>
      <c r="C70" s="12" t="s">
        <v>347</v>
      </c>
      <c r="D70" s="8" t="s">
        <v>339</v>
      </c>
      <c r="E70" s="11"/>
    </row>
    <row r="71" spans="1:5" ht="15.75" thickBot="1" x14ac:dyDescent="0.3">
      <c r="A71" s="13" t="s">
        <v>455</v>
      </c>
      <c r="B71" s="6" t="s">
        <v>352</v>
      </c>
      <c r="C71" s="9" t="s">
        <v>333</v>
      </c>
      <c r="D71" s="8" t="s">
        <v>339</v>
      </c>
      <c r="E71" s="11"/>
    </row>
    <row r="72" spans="1:5" ht="15.75" thickBot="1" x14ac:dyDescent="0.3">
      <c r="A72" s="13" t="s">
        <v>182</v>
      </c>
      <c r="B72" s="6" t="s">
        <v>353</v>
      </c>
      <c r="C72" s="9" t="s">
        <v>333</v>
      </c>
      <c r="D72" s="8" t="s">
        <v>339</v>
      </c>
      <c r="E72" s="11"/>
    </row>
    <row r="73" spans="1:5" ht="30.75" thickBot="1" x14ac:dyDescent="0.3">
      <c r="A73" s="13" t="s">
        <v>62</v>
      </c>
      <c r="B73" s="6" t="s">
        <v>354</v>
      </c>
      <c r="C73" s="9" t="s">
        <v>355</v>
      </c>
      <c r="D73" s="8" t="s">
        <v>339</v>
      </c>
      <c r="E73" s="10" t="s">
        <v>350</v>
      </c>
    </row>
    <row r="74" spans="1:5" ht="15.75" thickBot="1" x14ac:dyDescent="0.3">
      <c r="A74" s="13" t="s">
        <v>166</v>
      </c>
      <c r="B74" s="6" t="s">
        <v>356</v>
      </c>
      <c r="C74" s="9" t="s">
        <v>333</v>
      </c>
      <c r="D74" s="8" t="s">
        <v>357</v>
      </c>
      <c r="E74" s="11"/>
    </row>
    <row r="75" spans="1:5" ht="15.75" thickBot="1" x14ac:dyDescent="0.3">
      <c r="A75" s="13" t="s">
        <v>184</v>
      </c>
      <c r="B75" s="6" t="s">
        <v>358</v>
      </c>
      <c r="C75" s="9" t="s">
        <v>333</v>
      </c>
      <c r="D75" s="8" t="s">
        <v>339</v>
      </c>
      <c r="E75" s="11"/>
    </row>
    <row r="76" spans="1:5" ht="15.75" thickBot="1" x14ac:dyDescent="0.3">
      <c r="A76" s="13" t="s">
        <v>202</v>
      </c>
      <c r="B76" s="6" t="s">
        <v>359</v>
      </c>
      <c r="C76" s="9" t="s">
        <v>333</v>
      </c>
      <c r="D76" s="8" t="s">
        <v>360</v>
      </c>
      <c r="E76" s="11"/>
    </row>
    <row r="77" spans="1:5" ht="15.75" thickBot="1" x14ac:dyDescent="0.3">
      <c r="A77" s="13"/>
      <c r="B77" s="6" t="s">
        <v>361</v>
      </c>
      <c r="C77" s="9" t="s">
        <v>333</v>
      </c>
      <c r="D77" s="8" t="s">
        <v>360</v>
      </c>
      <c r="E77" s="11"/>
    </row>
    <row r="78" spans="1:5" ht="15.75" thickBot="1" x14ac:dyDescent="0.3">
      <c r="A78" s="13" t="s">
        <v>106</v>
      </c>
      <c r="B78" s="6" t="s">
        <v>106</v>
      </c>
      <c r="C78" s="9" t="s">
        <v>362</v>
      </c>
      <c r="D78" s="8" t="s">
        <v>357</v>
      </c>
      <c r="E78" s="11"/>
    </row>
    <row r="79" spans="1:5" ht="15.75" thickBot="1" x14ac:dyDescent="0.3">
      <c r="A79" s="13" t="s">
        <v>456</v>
      </c>
      <c r="B79" s="6" t="s">
        <v>363</v>
      </c>
      <c r="C79" s="9" t="s">
        <v>362</v>
      </c>
      <c r="D79" s="8" t="s">
        <v>360</v>
      </c>
      <c r="E79" s="11"/>
    </row>
    <row r="80" spans="1:5" ht="15.75" thickBot="1" x14ac:dyDescent="0.3">
      <c r="A80" s="13" t="s">
        <v>50</v>
      </c>
      <c r="B80" s="6" t="s">
        <v>364</v>
      </c>
      <c r="C80" s="9" t="s">
        <v>365</v>
      </c>
      <c r="D80" s="8" t="s">
        <v>357</v>
      </c>
      <c r="E80" s="10" t="s">
        <v>365</v>
      </c>
    </row>
    <row r="81" spans="1:5" ht="15.75" thickBot="1" x14ac:dyDescent="0.3">
      <c r="A81" s="13" t="s">
        <v>98</v>
      </c>
      <c r="B81" s="6" t="s">
        <v>366</v>
      </c>
      <c r="C81" s="9" t="s">
        <v>365</v>
      </c>
      <c r="D81" s="8" t="s">
        <v>360</v>
      </c>
      <c r="E81" s="11"/>
    </row>
    <row r="82" spans="1:5" ht="15.75" thickBot="1" x14ac:dyDescent="0.3">
      <c r="A82" s="13" t="s">
        <v>178</v>
      </c>
      <c r="B82" s="6" t="s">
        <v>367</v>
      </c>
      <c r="C82" s="9" t="s">
        <v>355</v>
      </c>
      <c r="D82" s="11"/>
      <c r="E82" s="11"/>
    </row>
    <row r="83" spans="1:5" ht="15.75" thickBot="1" x14ac:dyDescent="0.3">
      <c r="A83" s="13" t="s">
        <v>68</v>
      </c>
      <c r="B83" s="6" t="s">
        <v>368</v>
      </c>
      <c r="C83" s="9" t="s">
        <v>365</v>
      </c>
      <c r="D83" s="8" t="s">
        <v>360</v>
      </c>
      <c r="E83" s="11"/>
    </row>
    <row r="84" spans="1:5" ht="30.75" thickBot="1" x14ac:dyDescent="0.3">
      <c r="A84" s="13" t="s">
        <v>78</v>
      </c>
      <c r="B84" s="6" t="s">
        <v>369</v>
      </c>
      <c r="C84" s="9" t="s">
        <v>365</v>
      </c>
      <c r="D84" s="8" t="s">
        <v>360</v>
      </c>
      <c r="E84" s="11"/>
    </row>
    <row r="85" spans="1:5" ht="15.75" thickBot="1" x14ac:dyDescent="0.3">
      <c r="A85" s="13"/>
      <c r="B85" s="6" t="s">
        <v>370</v>
      </c>
      <c r="C85" s="9" t="s">
        <v>365</v>
      </c>
      <c r="D85" s="8" t="s">
        <v>360</v>
      </c>
      <c r="E85" s="11"/>
    </row>
    <row r="86" spans="1:5" ht="15.75" thickBot="1" x14ac:dyDescent="0.3">
      <c r="A86" s="13" t="s">
        <v>208</v>
      </c>
      <c r="B86" s="6" t="s">
        <v>371</v>
      </c>
      <c r="C86" s="9" t="s">
        <v>365</v>
      </c>
      <c r="D86" s="8" t="s">
        <v>360</v>
      </c>
      <c r="E86" s="11"/>
    </row>
    <row r="87" spans="1:5" ht="15.75" thickBot="1" x14ac:dyDescent="0.3">
      <c r="A87" s="13" t="s">
        <v>244</v>
      </c>
      <c r="B87" s="6" t="s">
        <v>372</v>
      </c>
      <c r="C87" s="9" t="s">
        <v>365</v>
      </c>
      <c r="D87" s="8" t="s">
        <v>373</v>
      </c>
      <c r="E87" s="11"/>
    </row>
    <row r="88" spans="1:5" ht="15.75" thickBot="1" x14ac:dyDescent="0.3">
      <c r="A88" s="13" t="s">
        <v>22</v>
      </c>
      <c r="B88" s="6" t="s">
        <v>374</v>
      </c>
      <c r="C88" s="9" t="s">
        <v>365</v>
      </c>
      <c r="D88" s="8" t="s">
        <v>373</v>
      </c>
      <c r="E88" s="11"/>
    </row>
    <row r="89" spans="1:5" ht="15.75" thickBot="1" x14ac:dyDescent="0.3">
      <c r="A89" s="13" t="s">
        <v>28</v>
      </c>
      <c r="B89" s="6" t="s">
        <v>375</v>
      </c>
      <c r="C89" s="9" t="s">
        <v>355</v>
      </c>
      <c r="D89" s="8" t="s">
        <v>373</v>
      </c>
      <c r="E89" s="11"/>
    </row>
    <row r="90" spans="1:5" ht="15.75" thickBot="1" x14ac:dyDescent="0.3">
      <c r="A90" s="13"/>
      <c r="B90" s="6" t="s">
        <v>376</v>
      </c>
      <c r="C90" s="9" t="s">
        <v>365</v>
      </c>
      <c r="D90" s="8" t="s">
        <v>373</v>
      </c>
      <c r="E90" s="11"/>
    </row>
    <row r="91" spans="1:5" ht="15.75" thickBot="1" x14ac:dyDescent="0.3">
      <c r="A91" s="13"/>
      <c r="B91" s="6" t="s">
        <v>377</v>
      </c>
      <c r="C91" s="12"/>
      <c r="D91" s="11"/>
      <c r="E91" s="11"/>
    </row>
    <row r="92" spans="1:5" ht="30.75" thickBot="1" x14ac:dyDescent="0.3">
      <c r="A92" s="13" t="s">
        <v>230</v>
      </c>
      <c r="B92" s="6" t="s">
        <v>378</v>
      </c>
      <c r="C92" s="9" t="s">
        <v>355</v>
      </c>
      <c r="D92" s="8" t="s">
        <v>373</v>
      </c>
      <c r="E92" s="10" t="s">
        <v>350</v>
      </c>
    </row>
    <row r="93" spans="1:5" ht="15.75" thickBot="1" x14ac:dyDescent="0.3">
      <c r="A93" s="13" t="s">
        <v>36</v>
      </c>
      <c r="B93" s="6" t="s">
        <v>379</v>
      </c>
      <c r="C93" s="9" t="s">
        <v>355</v>
      </c>
      <c r="D93" s="8" t="s">
        <v>373</v>
      </c>
      <c r="E93" s="11"/>
    </row>
    <row r="94" spans="1:5" ht="15.75" thickBot="1" x14ac:dyDescent="0.3">
      <c r="A94" s="13" t="s">
        <v>124</v>
      </c>
      <c r="B94" s="6" t="s">
        <v>380</v>
      </c>
      <c r="C94" s="9" t="s">
        <v>355</v>
      </c>
      <c r="D94" s="8" t="s">
        <v>373</v>
      </c>
      <c r="E94" s="11"/>
    </row>
    <row r="95" spans="1:5" ht="15.75" thickBot="1" x14ac:dyDescent="0.3">
      <c r="A95" s="13" t="s">
        <v>108</v>
      </c>
      <c r="B95" s="6" t="s">
        <v>108</v>
      </c>
      <c r="C95" s="9" t="s">
        <v>355</v>
      </c>
      <c r="D95" s="10" t="s">
        <v>381</v>
      </c>
      <c r="E95" s="11"/>
    </row>
    <row r="96" spans="1:5" ht="15.75" thickBot="1" x14ac:dyDescent="0.3">
      <c r="A96" s="13"/>
      <c r="B96" s="6" t="s">
        <v>382</v>
      </c>
      <c r="C96" s="9" t="s">
        <v>383</v>
      </c>
      <c r="D96" s="8" t="s">
        <v>373</v>
      </c>
      <c r="E96" s="11"/>
    </row>
    <row r="97" spans="1:5" ht="15.75" thickBot="1" x14ac:dyDescent="0.3">
      <c r="A97" s="13" t="s">
        <v>168</v>
      </c>
      <c r="B97" s="6" t="s">
        <v>384</v>
      </c>
      <c r="C97" s="12"/>
      <c r="D97" s="10" t="s">
        <v>381</v>
      </c>
      <c r="E97" s="11"/>
    </row>
    <row r="98" spans="1:5" ht="15.75" thickBot="1" x14ac:dyDescent="0.3">
      <c r="A98" s="13"/>
      <c r="B98" s="6" t="s">
        <v>385</v>
      </c>
      <c r="C98" s="9" t="s">
        <v>355</v>
      </c>
      <c r="D98" s="10" t="s">
        <v>381</v>
      </c>
      <c r="E98" s="11"/>
    </row>
    <row r="99" spans="1:5" ht="15.75" thickBot="1" x14ac:dyDescent="0.3">
      <c r="A99" s="13"/>
      <c r="B99" s="6" t="s">
        <v>386</v>
      </c>
      <c r="C99" s="9" t="s">
        <v>383</v>
      </c>
      <c r="D99" s="10" t="s">
        <v>381</v>
      </c>
      <c r="E99" s="11"/>
    </row>
    <row r="100" spans="1:5" ht="15.75" thickBot="1" x14ac:dyDescent="0.3">
      <c r="A100" s="13"/>
      <c r="B100" s="6" t="s">
        <v>387</v>
      </c>
      <c r="C100" s="9" t="s">
        <v>383</v>
      </c>
      <c r="D100" s="11"/>
      <c r="E100" s="11"/>
    </row>
    <row r="101" spans="1:5" ht="15.75" thickBot="1" x14ac:dyDescent="0.3">
      <c r="A101" s="13" t="s">
        <v>164</v>
      </c>
      <c r="B101" s="6" t="s">
        <v>388</v>
      </c>
      <c r="C101" s="9" t="s">
        <v>355</v>
      </c>
      <c r="D101" s="10" t="s">
        <v>381</v>
      </c>
      <c r="E101" s="11"/>
    </row>
    <row r="102" spans="1:5" ht="15.75" thickBot="1" x14ac:dyDescent="0.3">
      <c r="A102" s="13"/>
      <c r="B102" s="6" t="s">
        <v>389</v>
      </c>
      <c r="C102" s="12"/>
      <c r="D102" s="11"/>
      <c r="E102" s="11"/>
    </row>
    <row r="103" spans="1:5" ht="15.75" thickBot="1" x14ac:dyDescent="0.3">
      <c r="A103" s="13" t="s">
        <v>40</v>
      </c>
      <c r="B103" s="6" t="s">
        <v>40</v>
      </c>
      <c r="C103" s="9" t="s">
        <v>383</v>
      </c>
      <c r="D103" s="10" t="s">
        <v>390</v>
      </c>
      <c r="E103" s="11"/>
    </row>
    <row r="104" spans="1:5" ht="15.75" thickBot="1" x14ac:dyDescent="0.3">
      <c r="A104" s="13" t="s">
        <v>162</v>
      </c>
      <c r="B104" s="6" t="s">
        <v>391</v>
      </c>
      <c r="C104" s="9" t="s">
        <v>355</v>
      </c>
      <c r="D104" s="10" t="s">
        <v>390</v>
      </c>
      <c r="E104" s="11"/>
    </row>
    <row r="105" spans="1:5" ht="15.75" thickBot="1" x14ac:dyDescent="0.3">
      <c r="A105" s="13" t="s">
        <v>198</v>
      </c>
      <c r="B105" s="6" t="s">
        <v>392</v>
      </c>
      <c r="C105" s="9" t="s">
        <v>383</v>
      </c>
      <c r="D105" s="10" t="s">
        <v>390</v>
      </c>
      <c r="E105" s="11"/>
    </row>
    <row r="106" spans="1:5" ht="15.75" thickBot="1" x14ac:dyDescent="0.3">
      <c r="A106" s="13" t="s">
        <v>54</v>
      </c>
      <c r="B106" s="6" t="s">
        <v>54</v>
      </c>
      <c r="C106" s="9" t="s">
        <v>383</v>
      </c>
      <c r="D106" s="11"/>
      <c r="E106" s="11"/>
    </row>
    <row r="107" spans="1:5" ht="15.75" thickBot="1" x14ac:dyDescent="0.3">
      <c r="A107" s="13" t="s">
        <v>222</v>
      </c>
      <c r="B107" s="6" t="s">
        <v>393</v>
      </c>
      <c r="C107" s="12"/>
      <c r="D107" s="10" t="s">
        <v>381</v>
      </c>
      <c r="E107" s="11"/>
    </row>
    <row r="108" spans="1:5" ht="15.75" thickBot="1" x14ac:dyDescent="0.3">
      <c r="A108" s="13"/>
      <c r="B108" s="6" t="s">
        <v>394</v>
      </c>
      <c r="C108" s="9" t="s">
        <v>383</v>
      </c>
      <c r="D108" s="10" t="s">
        <v>390</v>
      </c>
      <c r="E108" s="11"/>
    </row>
    <row r="109" spans="1:5" ht="15.75" thickBot="1" x14ac:dyDescent="0.3">
      <c r="A109" s="13" t="s">
        <v>38</v>
      </c>
      <c r="B109" s="6" t="s">
        <v>395</v>
      </c>
      <c r="C109" s="9" t="s">
        <v>396</v>
      </c>
      <c r="D109" s="10" t="s">
        <v>390</v>
      </c>
      <c r="E109" s="11"/>
    </row>
    <row r="110" spans="1:5" ht="15.75" thickBot="1" x14ac:dyDescent="0.3">
      <c r="A110" s="13"/>
      <c r="B110" s="6" t="s">
        <v>397</v>
      </c>
      <c r="C110" s="7" t="s">
        <v>289</v>
      </c>
      <c r="D110" s="10" t="s">
        <v>390</v>
      </c>
      <c r="E110" s="11"/>
    </row>
    <row r="111" spans="1:5" ht="15.75" thickBot="1" x14ac:dyDescent="0.3">
      <c r="A111" s="13" t="s">
        <v>132</v>
      </c>
      <c r="B111" s="6" t="s">
        <v>398</v>
      </c>
      <c r="C111" s="9" t="s">
        <v>383</v>
      </c>
      <c r="D111" s="10" t="s">
        <v>399</v>
      </c>
      <c r="E111" s="11"/>
    </row>
    <row r="112" spans="1:5" ht="15.75" thickBot="1" x14ac:dyDescent="0.3">
      <c r="A112" s="13" t="s">
        <v>140</v>
      </c>
      <c r="B112" s="6" t="s">
        <v>400</v>
      </c>
      <c r="C112" s="12"/>
      <c r="D112" s="11"/>
      <c r="E112" s="11"/>
    </row>
    <row r="113" spans="1:5" ht="15.75" thickBot="1" x14ac:dyDescent="0.3">
      <c r="A113" s="13" t="s">
        <v>176</v>
      </c>
      <c r="B113" s="6" t="s">
        <v>401</v>
      </c>
      <c r="C113" s="9" t="s">
        <v>383</v>
      </c>
      <c r="D113" s="10" t="s">
        <v>390</v>
      </c>
      <c r="E113" s="11"/>
    </row>
    <row r="114" spans="1:5" ht="15.75" thickBot="1" x14ac:dyDescent="0.3">
      <c r="A114" s="13" t="s">
        <v>246</v>
      </c>
      <c r="B114" s="6" t="s">
        <v>402</v>
      </c>
      <c r="C114" s="12" t="s">
        <v>403</v>
      </c>
      <c r="D114" s="8" t="s">
        <v>404</v>
      </c>
      <c r="E114" s="11"/>
    </row>
    <row r="115" spans="1:5" ht="15.75" thickBot="1" x14ac:dyDescent="0.3">
      <c r="A115" s="13" t="s">
        <v>48</v>
      </c>
      <c r="B115" s="6" t="s">
        <v>405</v>
      </c>
      <c r="C115" s="9" t="s">
        <v>383</v>
      </c>
      <c r="D115" s="10" t="s">
        <v>399</v>
      </c>
      <c r="E115" s="11"/>
    </row>
    <row r="116" spans="1:5" ht="15.75" thickBot="1" x14ac:dyDescent="0.3">
      <c r="A116" s="13"/>
      <c r="B116" s="6" t="s">
        <v>406</v>
      </c>
      <c r="C116" s="9" t="s">
        <v>407</v>
      </c>
      <c r="D116" s="10" t="s">
        <v>390</v>
      </c>
      <c r="E116" s="11"/>
    </row>
    <row r="117" spans="1:5" ht="15.75" thickBot="1" x14ac:dyDescent="0.3">
      <c r="A117" s="13" t="s">
        <v>220</v>
      </c>
      <c r="B117" s="6" t="s">
        <v>408</v>
      </c>
      <c r="C117" s="9" t="s">
        <v>396</v>
      </c>
      <c r="D117" s="10" t="s">
        <v>390</v>
      </c>
      <c r="E117" s="11"/>
    </row>
    <row r="118" spans="1:5" ht="15.75" thickBot="1" x14ac:dyDescent="0.3">
      <c r="A118" s="13"/>
      <c r="B118" s="6" t="s">
        <v>409</v>
      </c>
      <c r="C118" s="9" t="s">
        <v>383</v>
      </c>
      <c r="D118" s="10" t="s">
        <v>399</v>
      </c>
      <c r="E118" s="11"/>
    </row>
    <row r="119" spans="1:5" ht="15.75" thickBot="1" x14ac:dyDescent="0.3">
      <c r="A119" s="13"/>
      <c r="B119" s="6" t="s">
        <v>410</v>
      </c>
      <c r="C119" s="9" t="s">
        <v>396</v>
      </c>
      <c r="D119" s="10" t="s">
        <v>399</v>
      </c>
      <c r="E119" s="11"/>
    </row>
    <row r="120" spans="1:5" ht="15.75" thickBot="1" x14ac:dyDescent="0.3">
      <c r="A120" s="13" t="s">
        <v>232</v>
      </c>
      <c r="B120" s="6" t="s">
        <v>232</v>
      </c>
      <c r="C120" s="9" t="s">
        <v>407</v>
      </c>
      <c r="D120" s="10" t="s">
        <v>399</v>
      </c>
      <c r="E120" s="11"/>
    </row>
    <row r="121" spans="1:5" ht="15.75" thickBot="1" x14ac:dyDescent="0.3">
      <c r="A121" s="13" t="s">
        <v>24</v>
      </c>
      <c r="B121" s="6" t="s">
        <v>24</v>
      </c>
      <c r="C121" s="9" t="s">
        <v>407</v>
      </c>
      <c r="D121" s="10" t="s">
        <v>399</v>
      </c>
      <c r="E121" s="11"/>
    </row>
    <row r="122" spans="1:5" ht="15.75" thickBot="1" x14ac:dyDescent="0.3">
      <c r="A122" s="13"/>
      <c r="B122" s="6" t="s">
        <v>411</v>
      </c>
      <c r="C122" s="9" t="s">
        <v>407</v>
      </c>
      <c r="D122" s="11"/>
      <c r="E122" s="11"/>
    </row>
    <row r="123" spans="1:5" ht="15.75" thickBot="1" x14ac:dyDescent="0.3">
      <c r="A123" s="13"/>
      <c r="B123" s="6" t="s">
        <v>412</v>
      </c>
      <c r="C123" s="9" t="s">
        <v>407</v>
      </c>
      <c r="D123" s="10" t="s">
        <v>399</v>
      </c>
      <c r="E123" s="11"/>
    </row>
    <row r="124" spans="1:5" ht="15.75" thickBot="1" x14ac:dyDescent="0.3">
      <c r="A124" s="13" t="s">
        <v>82</v>
      </c>
      <c r="B124" s="6" t="s">
        <v>413</v>
      </c>
      <c r="C124" s="9" t="s">
        <v>396</v>
      </c>
      <c r="D124" s="8" t="s">
        <v>414</v>
      </c>
      <c r="E124" s="11"/>
    </row>
    <row r="125" spans="1:5" ht="15.75" thickBot="1" x14ac:dyDescent="0.3">
      <c r="A125" s="13" t="s">
        <v>84</v>
      </c>
      <c r="B125" s="6" t="s">
        <v>84</v>
      </c>
      <c r="C125" s="9" t="s">
        <v>407</v>
      </c>
      <c r="D125" s="10" t="s">
        <v>399</v>
      </c>
      <c r="E125" s="11"/>
    </row>
    <row r="126" spans="1:5" ht="15.75" thickBot="1" x14ac:dyDescent="0.3">
      <c r="A126" s="13" t="s">
        <v>128</v>
      </c>
      <c r="B126" s="6" t="s">
        <v>415</v>
      </c>
      <c r="C126" s="9" t="s">
        <v>396</v>
      </c>
      <c r="D126" s="10" t="s">
        <v>399</v>
      </c>
      <c r="E126" s="11"/>
    </row>
    <row r="127" spans="1:5" ht="15.75" thickBot="1" x14ac:dyDescent="0.3">
      <c r="A127" s="13" t="s">
        <v>148</v>
      </c>
      <c r="B127" s="6" t="s">
        <v>416</v>
      </c>
      <c r="C127" s="9" t="s">
        <v>407</v>
      </c>
      <c r="D127" s="11"/>
      <c r="E127" s="11"/>
    </row>
    <row r="128" spans="1:5" ht="15.75" thickBot="1" x14ac:dyDescent="0.3">
      <c r="A128" s="13"/>
      <c r="B128" s="6" t="s">
        <v>417</v>
      </c>
      <c r="C128" s="12"/>
      <c r="D128" s="8" t="s">
        <v>414</v>
      </c>
      <c r="E128" s="11"/>
    </row>
    <row r="129" spans="1:5" ht="30.75" thickBot="1" x14ac:dyDescent="0.3">
      <c r="A129" s="13"/>
      <c r="B129" s="6" t="s">
        <v>418</v>
      </c>
      <c r="C129" s="12"/>
      <c r="D129" s="10" t="s">
        <v>399</v>
      </c>
      <c r="E129" s="11"/>
    </row>
    <row r="130" spans="1:5" ht="15.75" thickBot="1" x14ac:dyDescent="0.3">
      <c r="A130" s="13" t="s">
        <v>88</v>
      </c>
      <c r="B130" s="6" t="s">
        <v>419</v>
      </c>
      <c r="C130" s="12"/>
      <c r="D130" s="10" t="s">
        <v>390</v>
      </c>
      <c r="E130" s="11"/>
    </row>
    <row r="131" spans="1:5" ht="15.75" thickBot="1" x14ac:dyDescent="0.3">
      <c r="A131" s="13" t="s">
        <v>56</v>
      </c>
      <c r="B131" s="6" t="s">
        <v>420</v>
      </c>
      <c r="C131" s="9" t="s">
        <v>407</v>
      </c>
      <c r="D131" s="8" t="s">
        <v>414</v>
      </c>
      <c r="E131" s="11"/>
    </row>
    <row r="132" spans="1:5" ht="15.75" thickBot="1" x14ac:dyDescent="0.3">
      <c r="A132" s="13" t="s">
        <v>80</v>
      </c>
      <c r="B132" s="6" t="s">
        <v>421</v>
      </c>
      <c r="C132" s="9" t="s">
        <v>407</v>
      </c>
      <c r="D132" s="8" t="s">
        <v>414</v>
      </c>
      <c r="E132" s="11"/>
    </row>
    <row r="133" spans="1:5" ht="15.75" thickBot="1" x14ac:dyDescent="0.3">
      <c r="A133" s="13" t="s">
        <v>102</v>
      </c>
      <c r="B133" s="6" t="s">
        <v>422</v>
      </c>
      <c r="C133" s="9" t="s">
        <v>407</v>
      </c>
      <c r="D133" s="8" t="s">
        <v>414</v>
      </c>
      <c r="E133" s="11"/>
    </row>
    <row r="134" spans="1:5" ht="15.75" thickBot="1" x14ac:dyDescent="0.3">
      <c r="A134" s="13" t="s">
        <v>116</v>
      </c>
      <c r="B134" s="6" t="s">
        <v>423</v>
      </c>
      <c r="C134" s="9" t="s">
        <v>407</v>
      </c>
      <c r="D134" s="8" t="s">
        <v>414</v>
      </c>
      <c r="E134" s="11"/>
    </row>
    <row r="135" spans="1:5" ht="15.75" thickBot="1" x14ac:dyDescent="0.3">
      <c r="A135" s="13" t="s">
        <v>228</v>
      </c>
      <c r="B135" s="6" t="s">
        <v>424</v>
      </c>
      <c r="C135" s="7" t="s">
        <v>289</v>
      </c>
      <c r="D135" s="8" t="s">
        <v>414</v>
      </c>
      <c r="E135" s="11"/>
    </row>
    <row r="136" spans="1:5" ht="15.75" thickBot="1" x14ac:dyDescent="0.3">
      <c r="A136" s="13" t="s">
        <v>96</v>
      </c>
      <c r="B136" s="6" t="s">
        <v>425</v>
      </c>
      <c r="C136" s="7" t="s">
        <v>289</v>
      </c>
      <c r="D136" s="8" t="s">
        <v>404</v>
      </c>
      <c r="E136" s="11"/>
    </row>
    <row r="137" spans="1:5" ht="15.75" thickBot="1" x14ac:dyDescent="0.3">
      <c r="A137" s="13"/>
      <c r="B137" s="6" t="s">
        <v>426</v>
      </c>
      <c r="C137" s="9" t="s">
        <v>407</v>
      </c>
      <c r="D137" s="8" t="s">
        <v>414</v>
      </c>
      <c r="E137" s="11"/>
    </row>
    <row r="138" spans="1:5" ht="15.75" thickBot="1" x14ac:dyDescent="0.3">
      <c r="A138" s="13" t="s">
        <v>26</v>
      </c>
      <c r="B138" s="6" t="s">
        <v>26</v>
      </c>
      <c r="C138" s="9" t="s">
        <v>407</v>
      </c>
      <c r="D138" s="8" t="s">
        <v>414</v>
      </c>
      <c r="E138" s="10" t="s">
        <v>427</v>
      </c>
    </row>
    <row r="139" spans="1:5" ht="15.75" thickBot="1" x14ac:dyDescent="0.3">
      <c r="A139" s="13" t="s">
        <v>46</v>
      </c>
      <c r="B139" s="6" t="s">
        <v>46</v>
      </c>
      <c r="C139" s="9" t="s">
        <v>407</v>
      </c>
      <c r="D139" s="8" t="s">
        <v>414</v>
      </c>
      <c r="E139" s="11"/>
    </row>
    <row r="140" spans="1:5" ht="15.75" thickBot="1" x14ac:dyDescent="0.3">
      <c r="A140" s="13"/>
      <c r="B140" s="6" t="s">
        <v>428</v>
      </c>
      <c r="C140" s="12" t="s">
        <v>403</v>
      </c>
      <c r="D140" s="11"/>
      <c r="E140" s="11"/>
    </row>
    <row r="141" spans="1:5" ht="15.75" thickBot="1" x14ac:dyDescent="0.3">
      <c r="A141" s="13" t="s">
        <v>154</v>
      </c>
      <c r="B141" s="6" t="s">
        <v>429</v>
      </c>
      <c r="C141" s="12"/>
      <c r="D141" s="8" t="s">
        <v>404</v>
      </c>
      <c r="E141" s="11"/>
    </row>
    <row r="142" spans="1:5" ht="15.75" thickBot="1" x14ac:dyDescent="0.3">
      <c r="A142" s="13"/>
      <c r="B142" s="6" t="s">
        <v>430</v>
      </c>
      <c r="C142" s="12" t="s">
        <v>403</v>
      </c>
      <c r="D142" s="8" t="s">
        <v>414</v>
      </c>
      <c r="E142" s="11"/>
    </row>
    <row r="143" spans="1:5" ht="15.75" thickBot="1" x14ac:dyDescent="0.3">
      <c r="A143" s="13" t="s">
        <v>457</v>
      </c>
      <c r="B143" s="6" t="s">
        <v>431</v>
      </c>
      <c r="C143" s="12" t="s">
        <v>403</v>
      </c>
      <c r="D143" s="8" t="s">
        <v>404</v>
      </c>
      <c r="E143" s="11"/>
    </row>
    <row r="144" spans="1:5" ht="15.75" thickBot="1" x14ac:dyDescent="0.3">
      <c r="A144" s="13" t="s">
        <v>66</v>
      </c>
      <c r="B144" s="6" t="s">
        <v>432</v>
      </c>
      <c r="C144" s="12" t="s">
        <v>403</v>
      </c>
      <c r="D144" s="8" t="s">
        <v>404</v>
      </c>
      <c r="E144" s="11"/>
    </row>
    <row r="145" spans="1:5" ht="15.75" thickBot="1" x14ac:dyDescent="0.3">
      <c r="A145" s="13" t="s">
        <v>134</v>
      </c>
      <c r="B145" s="6" t="s">
        <v>433</v>
      </c>
      <c r="C145" s="12" t="s">
        <v>403</v>
      </c>
      <c r="D145" s="8" t="s">
        <v>404</v>
      </c>
      <c r="E145" s="11"/>
    </row>
    <row r="146" spans="1:5" ht="15.75" thickBot="1" x14ac:dyDescent="0.3">
      <c r="A146" s="13" t="s">
        <v>212</v>
      </c>
      <c r="B146" s="6" t="s">
        <v>434</v>
      </c>
      <c r="C146" s="12" t="s">
        <v>403</v>
      </c>
      <c r="D146" s="8" t="s">
        <v>414</v>
      </c>
      <c r="E146" s="11"/>
    </row>
    <row r="147" spans="1:5" ht="15.75" thickBot="1" x14ac:dyDescent="0.3">
      <c r="A147" s="13"/>
      <c r="B147" s="6" t="s">
        <v>435</v>
      </c>
      <c r="C147" s="12" t="s">
        <v>403</v>
      </c>
      <c r="D147" s="8" t="s">
        <v>414</v>
      </c>
      <c r="E147" s="11"/>
    </row>
    <row r="148" spans="1:5" ht="15.75" thickBot="1" x14ac:dyDescent="0.3">
      <c r="A148" s="13" t="s">
        <v>90</v>
      </c>
      <c r="B148" s="6" t="s">
        <v>436</v>
      </c>
      <c r="C148" s="12" t="s">
        <v>437</v>
      </c>
      <c r="D148" s="8" t="s">
        <v>438</v>
      </c>
      <c r="E148" s="11"/>
    </row>
    <row r="149" spans="1:5" ht="15.75" thickBot="1" x14ac:dyDescent="0.3">
      <c r="A149" s="13"/>
      <c r="B149" s="6" t="s">
        <v>439</v>
      </c>
      <c r="C149" s="12"/>
      <c r="D149" s="8" t="s">
        <v>404</v>
      </c>
      <c r="E149" s="11"/>
    </row>
    <row r="150" spans="1:5" ht="15.75" thickBot="1" x14ac:dyDescent="0.3">
      <c r="A150" s="13"/>
      <c r="B150" s="6" t="s">
        <v>440</v>
      </c>
      <c r="C150" s="12"/>
      <c r="D150" s="8" t="s">
        <v>438</v>
      </c>
      <c r="E150" s="11"/>
    </row>
    <row r="151" spans="1:5" ht="15.75" thickBot="1" x14ac:dyDescent="0.3">
      <c r="A151" s="13" t="s">
        <v>196</v>
      </c>
      <c r="B151" s="6" t="s">
        <v>441</v>
      </c>
      <c r="C151" s="12" t="s">
        <v>302</v>
      </c>
      <c r="D151" s="11" t="s">
        <v>302</v>
      </c>
      <c r="E151" s="11"/>
    </row>
    <row r="152" spans="1:5" ht="15.75" thickBot="1" x14ac:dyDescent="0.3">
      <c r="A152" s="13"/>
      <c r="B152" s="6" t="s">
        <v>442</v>
      </c>
      <c r="C152" s="12" t="s">
        <v>403</v>
      </c>
      <c r="D152" s="8" t="s">
        <v>438</v>
      </c>
      <c r="E152" s="11"/>
    </row>
    <row r="153" spans="1:5" ht="15.75" thickBot="1" x14ac:dyDescent="0.3">
      <c r="A153" s="13" t="s">
        <v>42</v>
      </c>
      <c r="B153" s="6" t="s">
        <v>42</v>
      </c>
      <c r="C153" s="12" t="s">
        <v>302</v>
      </c>
      <c r="D153" s="11" t="s">
        <v>443</v>
      </c>
      <c r="E153" s="11"/>
    </row>
    <row r="154" spans="1:5" ht="15.75" thickBot="1" x14ac:dyDescent="0.3">
      <c r="A154" s="13" t="s">
        <v>138</v>
      </c>
      <c r="B154" s="6" t="s">
        <v>444</v>
      </c>
      <c r="C154" s="12" t="s">
        <v>437</v>
      </c>
      <c r="D154" s="11" t="s">
        <v>443</v>
      </c>
      <c r="E154" s="11"/>
    </row>
    <row r="155" spans="1:5" ht="15.75" thickBot="1" x14ac:dyDescent="0.3">
      <c r="A155" s="13" t="s">
        <v>234</v>
      </c>
      <c r="B155" s="6" t="s">
        <v>445</v>
      </c>
      <c r="C155" s="12" t="s">
        <v>403</v>
      </c>
      <c r="D155" s="8" t="s">
        <v>446</v>
      </c>
      <c r="E155" s="11"/>
    </row>
    <row r="156" spans="1:5" ht="15.75" thickBot="1" x14ac:dyDescent="0.3">
      <c r="A156" s="13"/>
      <c r="B156" s="6" t="s">
        <v>447</v>
      </c>
      <c r="C156" s="7" t="s">
        <v>289</v>
      </c>
      <c r="D156" s="11" t="s">
        <v>443</v>
      </c>
      <c r="E156" s="11"/>
    </row>
    <row r="157" spans="1:5" ht="15.75" thickBot="1" x14ac:dyDescent="0.3">
      <c r="A157" s="13"/>
      <c r="B157" s="6" t="s">
        <v>448</v>
      </c>
      <c r="C157" s="12"/>
      <c r="D157" s="8" t="s">
        <v>289</v>
      </c>
      <c r="E157" s="11"/>
    </row>
    <row r="158" spans="1:5" ht="15.75" thickBot="1" x14ac:dyDescent="0.3">
      <c r="A158" s="13"/>
      <c r="B158" s="6" t="s">
        <v>449</v>
      </c>
      <c r="C158" s="12" t="s">
        <v>450</v>
      </c>
      <c r="D158" s="11"/>
      <c r="E158" s="11"/>
    </row>
    <row r="159" spans="1:5" ht="15.75" thickBot="1" x14ac:dyDescent="0.3">
      <c r="A159" s="13"/>
      <c r="B159" s="6" t="s">
        <v>451</v>
      </c>
      <c r="C159" s="12" t="s">
        <v>437</v>
      </c>
      <c r="D159" s="11"/>
      <c r="E159" s="11"/>
    </row>
    <row r="160" spans="1:5" ht="15.75" thickBot="1" x14ac:dyDescent="0.3">
      <c r="A160" s="13"/>
      <c r="B160" s="6" t="s">
        <v>452</v>
      </c>
      <c r="C160" s="12"/>
      <c r="D160" s="11"/>
      <c r="E160" s="11"/>
    </row>
    <row r="161" spans="1:5" ht="15.75" thickBot="1" x14ac:dyDescent="0.3">
      <c r="A161" s="13" t="s">
        <v>170</v>
      </c>
      <c r="B161" s="6" t="s">
        <v>170</v>
      </c>
      <c r="C161" s="12"/>
      <c r="D161" s="11"/>
      <c r="E161" s="11"/>
    </row>
  </sheetData>
  <hyperlinks>
    <hyperlink ref="B2" r:id="rId1" display="https://pt.tradingeconomics.com/australia/rating"/>
    <hyperlink ref="B3" r:id="rId2" display="https://pt.tradingeconomics.com/canada/rating"/>
    <hyperlink ref="B4" r:id="rId3" display="https://pt.tradingeconomics.com/denmark/rating"/>
    <hyperlink ref="B5" r:id="rId4" display="https://pt.tradingeconomics.com/germany/rating"/>
    <hyperlink ref="B6" r:id="rId5" display="https://pt.tradingeconomics.com/liechtenstein/rating"/>
    <hyperlink ref="B7" r:id="rId6" display="https://pt.tradingeconomics.com/luxembourg/rating"/>
    <hyperlink ref="B8" r:id="rId7" display="https://pt.tradingeconomics.com/netherlands/rating"/>
    <hyperlink ref="B9" r:id="rId8" display="https://pt.tradingeconomics.com/norway/rating"/>
    <hyperlink ref="B10" r:id="rId9" display="https://pt.tradingeconomics.com/switzerland/rating"/>
    <hyperlink ref="B11" r:id="rId10" display="https://pt.tradingeconomics.com/sweden/rating"/>
    <hyperlink ref="B12" r:id="rId11" display="https://pt.tradingeconomics.com/singapore/rating"/>
    <hyperlink ref="B13" r:id="rId12" display="https://pt.tradingeconomics.com/european-union/rating"/>
    <hyperlink ref="B14" r:id="rId13" display="https://pt.tradingeconomics.com/new-zealand/rating"/>
    <hyperlink ref="B15" r:id="rId14" display="https://pt.tradingeconomics.com/united-states/rating"/>
    <hyperlink ref="B16" r:id="rId15" display="https://pt.tradingeconomics.com/austria/rating"/>
    <hyperlink ref="B17" r:id="rId16" display="https://pt.tradingeconomics.com/finland/rating"/>
    <hyperlink ref="B18" r:id="rId17" display="https://pt.tradingeconomics.com/taiwan/rating"/>
    <hyperlink ref="B19" r:id="rId18" display="https://pt.tradingeconomics.com/united-arab-emirates/rating"/>
    <hyperlink ref="B20" r:id="rId19" display="https://pt.tradingeconomics.com/hong-kong/rating"/>
    <hyperlink ref="B21" r:id="rId20" display="https://pt.tradingeconomics.com/ireland/rating"/>
    <hyperlink ref="B22" r:id="rId21" display="https://pt.tradingeconomics.com/qatar/rating"/>
    <hyperlink ref="B23" r:id="rId22" display="https://pt.tradingeconomics.com/isle-of-man/rating"/>
    <hyperlink ref="B24" r:id="rId23" display="https://pt.tradingeconomics.com/macau/rating"/>
    <hyperlink ref="B25" r:id="rId24" display="https://pt.tradingeconomics.com/united-kingdom/rating"/>
    <hyperlink ref="B26" r:id="rId25" display="https://pt.tradingeconomics.com/south-korea/rating"/>
    <hyperlink ref="B27" r:id="rId26" display="https://pt.tradingeconomics.com/belgium/rating"/>
    <hyperlink ref="B28" r:id="rId27" display="https://pt.tradingeconomics.com/cayman-islands/rating"/>
    <hyperlink ref="B29" r:id="rId28" display="https://pt.tradingeconomics.com/czech-republic/rating"/>
    <hyperlink ref="B30" r:id="rId29" display="https://pt.tradingeconomics.com/france/rating"/>
    <hyperlink ref="B31" r:id="rId30" display="https://pt.tradingeconomics.com/kuwait/rating"/>
    <hyperlink ref="B32" r:id="rId31" display="https://pt.tradingeconomics.com/estonia/rating"/>
    <hyperlink ref="B33" r:id="rId32" display="https://pt.tradingeconomics.com/iceland/rating"/>
    <hyperlink ref="B34" r:id="rId33" display="https://pt.tradingeconomics.com/saudi-arabia/rating"/>
    <hyperlink ref="B35" r:id="rId34" display="https://pt.tradingeconomics.com/slovenia/rating"/>
    <hyperlink ref="B36" r:id="rId35" display="https://pt.tradingeconomics.com/bermuda/rating"/>
    <hyperlink ref="B37" r:id="rId36" display="https://pt.tradingeconomics.com/china/rating"/>
    <hyperlink ref="B38" r:id="rId37" display="https://pt.tradingeconomics.com/japan/rating"/>
    <hyperlink ref="B39" r:id="rId38" display="https://pt.tradingeconomics.com/lithuania/rating"/>
    <hyperlink ref="B40" r:id="rId39" display="https://pt.tradingeconomics.com/malta/rating"/>
    <hyperlink ref="B41" r:id="rId40" display="https://pt.tradingeconomics.com/portugal/rating"/>
    <hyperlink ref="B42" r:id="rId41" display="https://pt.tradingeconomics.com/chile/rating"/>
    <hyperlink ref="B43" r:id="rId42" display="https://pt.tradingeconomics.com/slovakia/rating"/>
    <hyperlink ref="B44" r:id="rId43" display="https://pt.tradingeconomics.com/latvia/rating"/>
    <hyperlink ref="B45" r:id="rId44" display="https://pt.tradingeconomics.com/poland/rating"/>
    <hyperlink ref="B46" r:id="rId45" display="https://pt.tradingeconomics.com/spain/rating"/>
    <hyperlink ref="B47" r:id="rId46" display="https://pt.tradingeconomics.com/croatia/rating"/>
    <hyperlink ref="B48" r:id="rId47" display="https://pt.tradingeconomics.com/cyprus/rating"/>
    <hyperlink ref="B49" r:id="rId48" display="https://pt.tradingeconomics.com/israel/rating"/>
    <hyperlink ref="B50" r:id="rId49" display="https://pt.tradingeconomics.com/andorra/rating"/>
    <hyperlink ref="B51" r:id="rId50" display="https://pt.tradingeconomics.com/malaysia/rating"/>
    <hyperlink ref="B52" r:id="rId51" display="https://pt.tradingeconomics.com/italy/rating"/>
    <hyperlink ref="B53" r:id="rId52" display="https://pt.tradingeconomics.com/bulgaria/rating"/>
    <hyperlink ref="B54" r:id="rId53" display="https://pt.tradingeconomics.com/thailand/rating"/>
    <hyperlink ref="B55" r:id="rId54" display="https://pt.tradingeconomics.com/botswana/rating"/>
    <hyperlink ref="B56" r:id="rId55" display="https://pt.tradingeconomics.com/san-marino/rating"/>
    <hyperlink ref="B57" r:id="rId56" display="https://pt.tradingeconomics.com/philippines/rating"/>
    <hyperlink ref="B58" r:id="rId57" display="https://pt.tradingeconomics.com/uruguay/rating"/>
    <hyperlink ref="B59" r:id="rId58" display="https://pt.tradingeconomics.com/aruba/rating"/>
    <hyperlink ref="B60" r:id="rId59" display="https://pt.tradingeconomics.com/indonesia/rating"/>
    <hyperlink ref="B61" r:id="rId60" display="https://pt.tradingeconomics.com/kazakhstan/rating"/>
    <hyperlink ref="B62" r:id="rId61" display="https://pt.tradingeconomics.com/peru/rating"/>
    <hyperlink ref="B63" r:id="rId62" display="https://pt.tradingeconomics.com/hungary/rating"/>
    <hyperlink ref="B64" r:id="rId63" display="https://pt.tradingeconomics.com/mexico/rating"/>
    <hyperlink ref="B65" r:id="rId64" display="https://pt.tradingeconomics.com/greece/rating"/>
    <hyperlink ref="B66" r:id="rId65" display="https://pt.tradingeconomics.com/india/rating"/>
    <hyperlink ref="B67" r:id="rId66" display="https://pt.tradingeconomics.com/mauritius/rating"/>
    <hyperlink ref="B68" r:id="rId67" display="https://pt.tradingeconomics.com/country-list/rating"/>
    <hyperlink ref="B69" r:id="rId68" display="https://pt.tradingeconomics.com/romania/rating"/>
    <hyperlink ref="B70" r:id="rId69" display="https://pt.tradingeconomics.com/azerbaijan/rating"/>
    <hyperlink ref="B71" r:id="rId70" display="https://pt.tradingeconomics.com/oman/rating"/>
    <hyperlink ref="B72" r:id="rId71" display="https://pt.tradingeconomics.com/panama/rating"/>
    <hyperlink ref="B73" r:id="rId72" display="https://pt.tradingeconomics.com/colombia/rating"/>
    <hyperlink ref="B74" r:id="rId73" display="https://pt.tradingeconomics.com/morocco/rating"/>
    <hyperlink ref="B75" r:id="rId74" display="https://pt.tradingeconomics.com/paraguay/rating"/>
    <hyperlink ref="B76" r:id="rId75" display="https://pt.tradingeconomics.com/serbia/rating"/>
    <hyperlink ref="B77" r:id="rId76" display="https://pt.tradingeconomics.com/trinidad-and-tobago/rating"/>
    <hyperlink ref="B78" r:id="rId77" display="https://pt.tradingeconomics.com/guatemala/rating"/>
    <hyperlink ref="B79" r:id="rId78" display="https://pt.tradingeconomics.com/vietnam/rating"/>
    <hyperlink ref="B80" r:id="rId79" display="https://pt.tradingeconomics.com/brazil/rating"/>
    <hyperlink ref="B81" r:id="rId80" display="https://pt.tradingeconomics.com/georgia/rating"/>
    <hyperlink ref="B82" r:id="rId81" display="https://pt.tradingeconomics.com/macedonia/rating"/>
    <hyperlink ref="B83" r:id="rId82" display="https://pt.tradingeconomics.com/costa-rica/rating"/>
    <hyperlink ref="B84" r:id="rId83" display="https://pt.tradingeconomics.com/dominican-republic/rating"/>
    <hyperlink ref="B85" r:id="rId84" display="https://pt.tradingeconomics.com/ivory-coast/rating"/>
    <hyperlink ref="B86" r:id="rId85" display="https://pt.tradingeconomics.com/south-africa/rating"/>
    <hyperlink ref="B87" r:id="rId86" display="https://pt.tradingeconomics.com/uzbekistan/rating"/>
    <hyperlink ref="B88" r:id="rId87" display="https://pt.tradingeconomics.com/albania/rating"/>
    <hyperlink ref="B89" r:id="rId88" display="https://pt.tradingeconomics.com/armenia/rating"/>
    <hyperlink ref="B90" r:id="rId89" display="https://pt.tradingeconomics.com/jamaica/rating"/>
    <hyperlink ref="B91" r:id="rId90" display="https://pt.tradingeconomics.com/seychelles/rating"/>
    <hyperlink ref="B92" r:id="rId91" display="https://pt.tradingeconomics.com/turkey/rating"/>
    <hyperlink ref="B93" r:id="rId92" display="https://pt.tradingeconomics.com/bahamas/rating"/>
    <hyperlink ref="B94" r:id="rId93" display="https://pt.tradingeconomics.com/jordan/rating"/>
    <hyperlink ref="B95" r:id="rId94" display="https://pt.tradingeconomics.com/honduras/rating"/>
    <hyperlink ref="B96" r:id="rId95" display="https://pt.tradingeconomics.com/montenegro/rating"/>
    <hyperlink ref="B97" r:id="rId96" display="https://pt.tradingeconomics.com/namibia/rating"/>
    <hyperlink ref="B98" r:id="rId97" display="https://pt.tradingeconomics.com/benin/rating"/>
    <hyperlink ref="B99" r:id="rId98" display="https://pt.tradingeconomics.com/fiji/rating"/>
    <hyperlink ref="B100" r:id="rId99" display="https://pt.tradingeconomics.com/guinea/rating"/>
    <hyperlink ref="B101" r:id="rId100" display="https://pt.tradingeconomics.com/mongolia/rating"/>
    <hyperlink ref="B102" r:id="rId101" display="https://pt.tradingeconomics.com/turkmenistan/rating"/>
    <hyperlink ref="B103" r:id="rId102" display="https://pt.tradingeconomics.com/bangladesh/rating"/>
    <hyperlink ref="B104" r:id="rId103" display="https://pt.tradingeconomics.com/moldova/rating"/>
    <hyperlink ref="B105" r:id="rId104" display="https://pt.tradingeconomics.com/rwanda/rating"/>
    <hyperlink ref="B106" r:id="rId105" display="https://pt.tradingeconomics.com/cape-verde/rating"/>
    <hyperlink ref="B107" r:id="rId106" display="https://pt.tradingeconomics.com/tanzania/rating"/>
    <hyperlink ref="B108" r:id="rId107" display="https://pt.tradingeconomics.com/barbados/rating"/>
    <hyperlink ref="B109" r:id="rId108" display="https://pt.tradingeconomics.com/bahrain/rating"/>
    <hyperlink ref="B110" r:id="rId109" display="https://pt.tradingeconomics.com/cambodia/rating"/>
    <hyperlink ref="B111" r:id="rId110" display="https://pt.tradingeconomics.com/kyrgyzstan/rating"/>
    <hyperlink ref="B112" r:id="rId111" display="https://pt.tradingeconomics.com/lesotho/rating"/>
    <hyperlink ref="B113" r:id="rId112" display="https://pt.tradingeconomics.com/nicaragua/rating"/>
    <hyperlink ref="B114" r:id="rId113" display="https://pt.tradingeconomics.com/zambia/rating"/>
    <hyperlink ref="B115" r:id="rId114" display="https://pt.tradingeconomics.com/bosnia-and-herzegovina/rating"/>
    <hyperlink ref="B116" r:id="rId115" display="https://pt.tradingeconomics.com/papua-new-guinea/rating"/>
    <hyperlink ref="B117" r:id="rId116" display="https://pt.tradingeconomics.com/tajikistan/rating"/>
    <hyperlink ref="B118" r:id="rId117" display="https://pt.tradingeconomics.com/togo/rating"/>
    <hyperlink ref="B119" r:id="rId118" display="https://pt.tradingeconomics.com/nigeria/rating"/>
    <hyperlink ref="B120" r:id="rId119" display="https://pt.tradingeconomics.com/uganda/rating"/>
    <hyperlink ref="B121" r:id="rId120" display="https://pt.tradingeconomics.com/angola/rating"/>
    <hyperlink ref="B122" r:id="rId121" display="https://pt.tradingeconomics.com/chad/rating"/>
    <hyperlink ref="B123" r:id="rId122" display="https://pt.tradingeconomics.com/congo/rating"/>
    <hyperlink ref="B124" r:id="rId123" display="https://pt.tradingeconomics.com/egypt/rating"/>
    <hyperlink ref="B125" r:id="rId124" display="https://pt.tradingeconomics.com/el-salvador/rating"/>
    <hyperlink ref="B126" r:id="rId125" display="https://pt.tradingeconomics.com/kenya/rating"/>
    <hyperlink ref="B127" r:id="rId126" display="https://pt.tradingeconomics.com/madagascar/rating"/>
    <hyperlink ref="B128" r:id="rId127" display="https://pt.tradingeconomics.com/solomon-islands/rating"/>
    <hyperlink ref="B129" r:id="rId128" display="https://pt.tradingeconomics.com/st-vincent-and-the-grenadines/rating"/>
    <hyperlink ref="B130" r:id="rId129" display="https://pt.tradingeconomics.com/swaziland/rating"/>
    <hyperlink ref="B131" r:id="rId130" display="https://pt.tradingeconomics.com/cameroon/rating"/>
    <hyperlink ref="B132" r:id="rId131" display="https://pt.tradingeconomics.com/ecuador/rating"/>
    <hyperlink ref="B133" r:id="rId132" display="https://pt.tradingeconomics.com/ghana/rating"/>
    <hyperlink ref="B134" r:id="rId133" display="https://pt.tradingeconomics.com/iraq/rating"/>
    <hyperlink ref="B135" r:id="rId134" display="https://pt.tradingeconomics.com/tunisia/rating"/>
    <hyperlink ref="B136" r:id="rId135" display="https://pt.tradingeconomics.com/gabon/rating"/>
    <hyperlink ref="B137" r:id="rId136" display="https://pt.tradingeconomics.com/pakistan/rating"/>
    <hyperlink ref="B138" r:id="rId137" display="https://pt.tradingeconomics.com/argentina/rating"/>
    <hyperlink ref="B139" r:id="rId138" display="https://pt.tradingeconomics.com/belize/rating"/>
    <hyperlink ref="B140" r:id="rId139" display="https://pt.tradingeconomics.com/burkina-faso/rating"/>
    <hyperlink ref="B141" r:id="rId140" display="https://pt.tradingeconomics.com/maldives/rating"/>
    <hyperlink ref="B142" r:id="rId141" display="https://pt.tradingeconomics.com/senegal/rating"/>
    <hyperlink ref="B143" r:id="rId142" display="https://pt.tradingeconomics.com/mozambique/rating"/>
    <hyperlink ref="B144" r:id="rId143" display="https://pt.tradingeconomics.com/republic-of-the-congo/rating"/>
    <hyperlink ref="B145" r:id="rId144" display="https://pt.tradingeconomics.com/laos/rating"/>
    <hyperlink ref="B146" r:id="rId145" display="https://pt.tradingeconomics.com/sri-lanka/rating"/>
    <hyperlink ref="B147" r:id="rId146" display="https://pt.tradingeconomics.com/suriname/rating"/>
    <hyperlink ref="B148" r:id="rId147" display="https://pt.tradingeconomics.com/ethiopia/rating"/>
    <hyperlink ref="B149" r:id="rId148" display="https://pt.tradingeconomics.com/mali/rating"/>
    <hyperlink ref="B150" r:id="rId149" display="https://pt.tradingeconomics.com/niger/rating"/>
    <hyperlink ref="B151" r:id="rId150" display="https://pt.tradingeconomics.com/russia/rating"/>
    <hyperlink ref="B152" r:id="rId151" display="https://pt.tradingeconomics.com/bolivia/rating"/>
    <hyperlink ref="B153" r:id="rId152" display="https://pt.tradingeconomics.com/belarus/rating"/>
    <hyperlink ref="B154" r:id="rId153" display="https://pt.tradingeconomics.com/lebanon/rating"/>
    <hyperlink ref="B155" r:id="rId154" display="https://pt.tradingeconomics.com/ukraine/rating"/>
    <hyperlink ref="B156" r:id="rId155" display="https://pt.tradingeconomics.com/venezuela/rating"/>
    <hyperlink ref="B157" r:id="rId156" display="https://pt.tradingeconomics.com/cuba/rating"/>
    <hyperlink ref="B158" r:id="rId157" display="https://pt.tradingeconomics.com/puerto-rico/rating"/>
    <hyperlink ref="B159" r:id="rId158" display="https://pt.tradingeconomics.com/grenada/rating"/>
    <hyperlink ref="B160" r:id="rId159" display="https://pt.tradingeconomics.com/kosovo/rating"/>
    <hyperlink ref="B161" r:id="rId160" display="https://pt.tradingeconomics.com/nepal/rating"/>
  </hyperlinks>
  <pageMargins left="0.511811024" right="0.511811024" top="0.78740157499999996" bottom="0.78740157499999996" header="0.31496062000000002" footer="0.31496062000000002"/>
  <pageSetup paperSize="9" orientation="portrait" r:id="rId1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Plan2</vt:lpstr>
      <vt:lpstr>Plan3</vt:lpstr>
      <vt:lpstr>ratings</vt:lpstr>
      <vt:lpstr>Plan2!fiscal_risk_index</vt:lpstr>
      <vt:lpstr>Plan2!fiscal_risk_index_1</vt:lpstr>
      <vt:lpstr>Plan2!fiscal_risk_index_2</vt:lpstr>
      <vt:lpstr>Plan2!fiscal_risk_index_3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2026-06-24T11:16:15Z</dcterms:created>
  <dcterms:modified xsi:type="dcterms:W3CDTF">2026-06-25T02:30:12Z</dcterms:modified>
</cp:coreProperties>
</file>